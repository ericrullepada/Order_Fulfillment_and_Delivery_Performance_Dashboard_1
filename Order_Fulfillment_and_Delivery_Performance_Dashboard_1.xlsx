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81fbf393dd0dc113/Desktop/EXCEL PROJECTS/"/>
    </mc:Choice>
  </mc:AlternateContent>
  <xr:revisionPtr revIDLastSave="1370" documentId="8_{A2D54CC9-756E-486B-89C6-7D83120E2BCB}" xr6:coauthVersionLast="47" xr6:coauthVersionMax="47" xr10:uidLastSave="{EF79B2A5-7920-4FF4-85AD-4BCCDF817BC7}"/>
  <bookViews>
    <workbookView xWindow="-120" yWindow="-16320" windowWidth="29040" windowHeight="15720" xr2:uid="{AE7841F4-E66A-46CA-BB06-E908AB6AE84C}"/>
  </bookViews>
  <sheets>
    <sheet name="Dashboard" sheetId="5" r:id="rId1"/>
    <sheet name="Project_Online_Furniture_Retail" sheetId="1" r:id="rId2"/>
    <sheet name="Descriptive Stats" sheetId="3" r:id="rId3"/>
    <sheet name="Pivot Table" sheetId="4" r:id="rId4"/>
  </sheets>
  <definedNames>
    <definedName name="Slicer_Delivery_Statu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2" i="1"/>
</calcChain>
</file>

<file path=xl/sharedStrings.xml><?xml version="1.0" encoding="utf-8"?>
<sst xmlns="http://schemas.openxmlformats.org/spreadsheetml/2006/main" count="9740" uniqueCount="99">
  <si>
    <t>Outdoor</t>
  </si>
  <si>
    <t>Patio Set</t>
  </si>
  <si>
    <t>World Market</t>
  </si>
  <si>
    <t>Failed Delivery</t>
  </si>
  <si>
    <t>Credit Card</t>
  </si>
  <si>
    <t>Living Room</t>
  </si>
  <si>
    <t>Sofa</t>
  </si>
  <si>
    <t>West Elm</t>
  </si>
  <si>
    <t>Cancelled</t>
  </si>
  <si>
    <t>Apple Pay</t>
  </si>
  <si>
    <t>Dining Room</t>
  </si>
  <si>
    <t>Bar Stool</t>
  </si>
  <si>
    <t>Ashley Furniture</t>
  </si>
  <si>
    <t>Delivered</t>
  </si>
  <si>
    <t>Cash on Delivery</t>
  </si>
  <si>
    <t>China Cabinet</t>
  </si>
  <si>
    <t>HomeGoods</t>
  </si>
  <si>
    <t>Pending</t>
  </si>
  <si>
    <t>Google Pay</t>
  </si>
  <si>
    <t>CB2</t>
  </si>
  <si>
    <t>Buffet</t>
  </si>
  <si>
    <t>Rescheduled</t>
  </si>
  <si>
    <t>Bank Transfer</t>
  </si>
  <si>
    <t>Bedroom</t>
  </si>
  <si>
    <t>Mattress</t>
  </si>
  <si>
    <t>IKEA</t>
  </si>
  <si>
    <t>Dining Table</t>
  </si>
  <si>
    <t>Urban Outfitters</t>
  </si>
  <si>
    <t>Debit Card</t>
  </si>
  <si>
    <t>Dining Chair</t>
  </si>
  <si>
    <t>Crate &amp; Barrel</t>
  </si>
  <si>
    <t>Side Table</t>
  </si>
  <si>
    <t>In Transit</t>
  </si>
  <si>
    <t>PayPal</t>
  </si>
  <si>
    <t>Wardrobe</t>
  </si>
  <si>
    <t>Target</t>
  </si>
  <si>
    <t>Coffee Table</t>
  </si>
  <si>
    <t>Lounge Chair</t>
  </si>
  <si>
    <t>Overstock</t>
  </si>
  <si>
    <t>Office</t>
  </si>
  <si>
    <t>Desk</t>
  </si>
  <si>
    <t>Kitchen</t>
  </si>
  <si>
    <t>Pantry Cabinet</t>
  </si>
  <si>
    <t>Umbrella</t>
  </si>
  <si>
    <t>Armchair</t>
  </si>
  <si>
    <t>Pottery Barn</t>
  </si>
  <si>
    <t>Bar Cart</t>
  </si>
  <si>
    <t>Kitchen Island</t>
  </si>
  <si>
    <t>Chest of Drawers</t>
  </si>
  <si>
    <t>Dresser</t>
  </si>
  <si>
    <t>Wayfair</t>
  </si>
  <si>
    <t>Outdoor Table</t>
  </si>
  <si>
    <t>Bookshelf</t>
  </si>
  <si>
    <t>Garden Chair</t>
  </si>
  <si>
    <t>Nightstand</t>
  </si>
  <si>
    <t>Computer Table</t>
  </si>
  <si>
    <t>TV Stand</t>
  </si>
  <si>
    <t>Office Chair</t>
  </si>
  <si>
    <t>Filing Cabinet</t>
  </si>
  <si>
    <t>Ottoman</t>
  </si>
  <si>
    <t>Bed Frame</t>
  </si>
  <si>
    <t>Kitchen Cabinet</t>
  </si>
  <si>
    <t>Product Category</t>
  </si>
  <si>
    <t>Product Subcategory</t>
  </si>
  <si>
    <t>Brand</t>
  </si>
  <si>
    <t>Delivery Status</t>
  </si>
  <si>
    <t>Assembly Service Requested</t>
  </si>
  <si>
    <t>Payment Method</t>
  </si>
  <si>
    <t>Order ID</t>
  </si>
  <si>
    <t>Customer ID</t>
  </si>
  <si>
    <t>Product Price</t>
  </si>
  <si>
    <t>Shipping_Cost</t>
  </si>
  <si>
    <t>Assembly Cost</t>
  </si>
  <si>
    <t>Total Amount</t>
  </si>
  <si>
    <t>Delivery Window Days</t>
  </si>
  <si>
    <t>Customer Rating</t>
  </si>
  <si>
    <t>Mean</t>
  </si>
  <si>
    <t>Standard Error</t>
  </si>
  <si>
    <t>Median</t>
  </si>
  <si>
    <t>Mode</t>
  </si>
  <si>
    <t>Standard Deviation</t>
  </si>
  <si>
    <t>Sample Variance</t>
  </si>
  <si>
    <t>Kurtosis</t>
  </si>
  <si>
    <t>Skewness</t>
  </si>
  <si>
    <t>Range</t>
  </si>
  <si>
    <t>Minimum</t>
  </si>
  <si>
    <t>Maximum</t>
  </si>
  <si>
    <t>Sum</t>
  </si>
  <si>
    <t>Count</t>
  </si>
  <si>
    <t>Delivered or Not Delivered</t>
  </si>
  <si>
    <t>Row Labels</t>
  </si>
  <si>
    <t>Grand Total</t>
  </si>
  <si>
    <t>Count of Order ID</t>
  </si>
  <si>
    <t>FALSE</t>
  </si>
  <si>
    <t>TRUE</t>
  </si>
  <si>
    <t>Column Labels</t>
  </si>
  <si>
    <t xml:space="preserve">Fulfilment Friction </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</si>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</sst>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0" fontId="18" fillId="0" borderId="11" xfId="0" applyFont="1" applyBorder="1" applyAlignment="1">
      <alignment horizontal="center"/>
    </xf>
    <xf numFmtId="9" fontId="0" fillId="0" borderId="0" xfId="42" applyFont="1" applyFill="1" applyBorder="1" applyAlignment="1"/>
    <xf numFmtId="9" fontId="0" fillId="0" borderId="10" xfId="42" applyFont="1" applyFill="1" applyBorder="1" applyAlignment="1"/>
    <xf numFmtId="2" fontId="0" fillId="0" borderId="0" xfId="42" applyNumberFormat="1" applyFont="1" applyFill="1" applyBorder="1" applyAlignment="1"/>
    <xf numFmtId="2" fontId="18" fillId="0" borderId="11" xfId="0" applyNumberFormat="1" applyFont="1" applyBorder="1" applyAlignment="1">
      <alignment horizontal="center"/>
    </xf>
    <xf numFmtId="2" fontId="0" fillId="0" borderId="0" xfId="0" applyNumberFormat="1"/>
    <xf numFmtId="2" fontId="0" fillId="0" borderId="10" xfId="42" applyNumberFormat="1" applyFont="1" applyFill="1" applyBorder="1" applyAlignment="1"/>
    <xf numFmtId="1"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33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[Order_Fulfillment_and_Delivery_Performance_Dashboard_1.xlsx]Pivot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Order Volume by Delivery Statuses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s>
    <c:plotArea>
      <c:layout/>
      <c:barChart>
        <c:barDir val="col"/>
        <c:grouping val="clustered"/>
        <c:varyColors val="0"/>
        <c:ser>
          <c:idx val="0"/>
          <c:order val="0"/>
          <c:tx>
            <c:strRef>
              <c:f>'Pivot Table'!$G$3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87D-4D17-B1A4-2363B978AB74}"/>
              </c:ext>
            </c:extLst>
          </c:dPt>
          <c:dPt>
            <c:idx val="2"/>
            <c:invertIfNegative val="0"/>
            <c:bubble3D val="0"/>
            <c:spPr>
              <a:solidFill>
                <a:srgbClr val="FF0000"/>
              </a:solidFill>
              <a:ln>
                <a:noFill/>
              </a:ln>
              <a:effectLst/>
            </c:spPr>
            <c:extLst>
              <c:ext xmlns:c16="http://schemas.microsoft.com/office/drawing/2014/chart" uri="{C3380CC4-5D6E-409C-BE32-E72D297353CC}">
                <c16:uniqueId val="{00000002-687D-4D17-B1A4-2363B978AB74}"/>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687D-4D17-B1A4-2363B978AB7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687D-4D17-B1A4-2363B978AB74}"/>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687D-4D17-B1A4-2363B978AB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Table'!$F$4:$F$10</c:f>
              <c:strCache>
                <c:ptCount val="6"/>
                <c:pt idx="0">
                  <c:v>Delivered</c:v>
                </c:pt>
                <c:pt idx="1">
                  <c:v>Failed Delivery</c:v>
                </c:pt>
                <c:pt idx="2">
                  <c:v>Cancelled</c:v>
                </c:pt>
                <c:pt idx="3">
                  <c:v>Pending</c:v>
                </c:pt>
                <c:pt idx="4">
                  <c:v>In Transit</c:v>
                </c:pt>
                <c:pt idx="5">
                  <c:v>Rescheduled</c:v>
                </c:pt>
              </c:strCache>
            </c:strRef>
          </c:cat>
          <c:val>
            <c:numRef>
              <c:f>'Pivot Table'!$G$4:$G$10</c:f>
              <c:numCache>
                <c:formatCode>General</c:formatCode>
                <c:ptCount val="6"/>
                <c:pt idx="0">
                  <c:v>345</c:v>
                </c:pt>
                <c:pt idx="1">
                  <c:v>326</c:v>
                </c:pt>
                <c:pt idx="2">
                  <c:v>318</c:v>
                </c:pt>
                <c:pt idx="3">
                  <c:v>318</c:v>
                </c:pt>
                <c:pt idx="4">
                  <c:v>316</c:v>
                </c:pt>
                <c:pt idx="5">
                  <c:v>315</c:v>
                </c:pt>
              </c:numCache>
            </c:numRef>
          </c:val>
          <c:extLst>
            <c:ext xmlns:c16="http://schemas.microsoft.com/office/drawing/2014/chart" uri="{C3380CC4-5D6E-409C-BE32-E72D297353CC}">
              <c16:uniqueId val="{00000000-687D-4D17-B1A4-2363B978AB74}"/>
            </c:ext>
          </c:extLst>
        </c:ser>
        <c:dLbls>
          <c:dLblPos val="outEnd"/>
          <c:showLegendKey val="0"/>
          <c:showVal val="1"/>
          <c:showCatName val="0"/>
          <c:showSerName val="0"/>
          <c:showPercent val="0"/>
          <c:showBubbleSize val="0"/>
        </c:dLbls>
        <c:gapWidth val="219"/>
        <c:overlap val="-27"/>
        <c:axId val="2088673104"/>
        <c:axId val="2088673584"/>
      </c:barChart>
      <c:catAx>
        <c:axId val="208867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73584"/>
        <c:crosses val="autoZero"/>
        <c:auto val="1"/>
        <c:lblAlgn val="ctr"/>
        <c:lblOffset val="100"/>
        <c:noMultiLvlLbl val="0"/>
      </c:catAx>
      <c:valAx>
        <c:axId val="208867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67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[Order_Fulfillment_and_Delivery_Performance_Dashboard_1.xlsx]Pivot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Delivered</a:t>
            </a:r>
            <a:r>
              <a:rPr lang="en-US" baseline="0"/>
              <a:t> Vs. Fulfilment Friction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s>
    <c:plotArea>
      <c:layout/>
      <c:barChart>
        <c:barDir val="col"/>
        <c:grouping val="clustered"/>
        <c:varyColors val="0"/>
        <c:ser>
          <c:idx val="0"/>
          <c:order val="0"/>
          <c:tx>
            <c:strRef>
              <c:f>'Pivot Table'!$D$3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5E0C-4F9C-8F29-29DB230485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Table'!$C$4:$C$6</c:f>
              <c:strCache>
                <c:ptCount val="2"/>
                <c:pt idx="0">
                  <c:v>Delivered</c:v>
                </c:pt>
                <c:pt idx="1">
                  <c:v>Fulfilment Friction </c:v>
                </c:pt>
              </c:strCache>
            </c:strRef>
          </c:cat>
          <c:val>
            <c:numRef>
              <c:f>'Pivot Table'!$D$4:$D$6</c:f>
              <c:numCache>
                <c:formatCode>0.00%</c:formatCode>
                <c:ptCount val="2"/>
                <c:pt idx="0">
                  <c:v>0.17801857585139319</c:v>
                </c:pt>
                <c:pt idx="1">
                  <c:v>0.82198142414860687</c:v>
                </c:pt>
              </c:numCache>
            </c:numRef>
          </c:val>
          <c:extLst>
            <c:ext xmlns:c16="http://schemas.microsoft.com/office/drawing/2014/chart" uri="{C3380CC4-5D6E-409C-BE32-E72D297353CC}">
              <c16:uniqueId val="{00000000-5E0C-4F9C-8F29-29DB230485F6}"/>
            </c:ext>
          </c:extLst>
        </c:ser>
        <c:dLbls>
          <c:showLegendKey val="0"/>
          <c:showVal val="0"/>
          <c:showCatName val="0"/>
          <c:showSerName val="0"/>
          <c:showPercent val="0"/>
          <c:showBubbleSize val="0"/>
        </c:dLbls>
        <c:gapWidth val="219"/>
        <c:overlap val="-27"/>
        <c:axId val="395452592"/>
        <c:axId val="395453072"/>
      </c:barChart>
      <c:catAx>
        <c:axId val="39545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53072"/>
        <c:crosses val="autoZero"/>
        <c:auto val="1"/>
        <c:lblAlgn val="ctr"/>
        <c:lblOffset val="100"/>
        <c:noMultiLvlLbl val="0"/>
      </c:catAx>
      <c:valAx>
        <c:axId val="395453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5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[Order_Fulfillment_and_Delivery_Performance_Dashboard_1.xlsx]Pivot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Delivery</a:t>
            </a:r>
            <a:r>
              <a:rPr lang="en-PH" baseline="0"/>
              <a:t> Status Vs. Assembly Service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Table'!$J$3:$J$4</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Table'!$I$5:$I$11</c:f>
              <c:strCache>
                <c:ptCount val="6"/>
                <c:pt idx="0">
                  <c:v>Delivered</c:v>
                </c:pt>
                <c:pt idx="1">
                  <c:v>Cancelled</c:v>
                </c:pt>
                <c:pt idx="2">
                  <c:v>Rescheduled</c:v>
                </c:pt>
                <c:pt idx="3">
                  <c:v>Pending</c:v>
                </c:pt>
                <c:pt idx="4">
                  <c:v>In Transit</c:v>
                </c:pt>
                <c:pt idx="5">
                  <c:v>Failed Delivery</c:v>
                </c:pt>
              </c:strCache>
            </c:strRef>
          </c:cat>
          <c:val>
            <c:numRef>
              <c:f>'Pivot Table'!$J$5:$J$11</c:f>
              <c:numCache>
                <c:formatCode>0.00%</c:formatCode>
                <c:ptCount val="6"/>
                <c:pt idx="0">
                  <c:v>8.9267285861713105E-2</c:v>
                </c:pt>
                <c:pt idx="1">
                  <c:v>8.720330237358101E-2</c:v>
                </c:pt>
                <c:pt idx="2">
                  <c:v>8.4623323013415894E-2</c:v>
                </c:pt>
                <c:pt idx="3">
                  <c:v>8.4623323013415894E-2</c:v>
                </c:pt>
                <c:pt idx="4">
                  <c:v>8.2043343653250778E-2</c:v>
                </c:pt>
                <c:pt idx="5">
                  <c:v>7.8431372549019607E-2</c:v>
                </c:pt>
              </c:numCache>
            </c:numRef>
          </c:val>
          <c:extLst>
            <c:ext xmlns:c16="http://schemas.microsoft.com/office/drawing/2014/chart" uri="{C3380CC4-5D6E-409C-BE32-E72D297353CC}">
              <c16:uniqueId val="{00000000-7FAE-47E3-81E6-4ED75BB9F2DA}"/>
            </c:ext>
          </c:extLst>
        </c:ser>
        <c:ser>
          <c:idx val="1"/>
          <c:order val="1"/>
          <c:tx>
            <c:strRef>
              <c:f>'Pivot Table'!$K$3:$K$4</c:f>
              <c:strCache>
                <c:ptCount val="1"/>
                <c:pt idx="0">
                  <c:v>FALSE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Table'!$I$5:$I$11</c:f>
              <c:strCache>
                <c:ptCount val="6"/>
                <c:pt idx="0">
                  <c:v>Delivered</c:v>
                </c:pt>
                <c:pt idx="1">
                  <c:v>Cancelled</c:v>
                </c:pt>
                <c:pt idx="2">
                  <c:v>Rescheduled</c:v>
                </c:pt>
                <c:pt idx="3">
                  <c:v>Pending</c:v>
                </c:pt>
                <c:pt idx="4">
                  <c:v>In Transit</c:v>
                </c:pt>
                <c:pt idx="5">
                  <c:v>Failed Delivery</c:v>
                </c:pt>
              </c:strCache>
            </c:strRef>
          </c:cat>
          <c:val>
            <c:numRef>
              <c:f>'Pivot Table'!$K$5:$K$11</c:f>
              <c:numCache>
                <c:formatCode>0.00%</c:formatCode>
                <c:ptCount val="6"/>
                <c:pt idx="0">
                  <c:v>8.8751289989680085E-2</c:v>
                </c:pt>
                <c:pt idx="1">
                  <c:v>7.6883384932920532E-2</c:v>
                </c:pt>
                <c:pt idx="2">
                  <c:v>7.7915376676986586E-2</c:v>
                </c:pt>
                <c:pt idx="3">
                  <c:v>7.9463364293085662E-2</c:v>
                </c:pt>
                <c:pt idx="4">
                  <c:v>8.1011351909184723E-2</c:v>
                </c:pt>
                <c:pt idx="5">
                  <c:v>8.9783281733746126E-2</c:v>
                </c:pt>
              </c:numCache>
            </c:numRef>
          </c:val>
          <c:extLst>
            <c:ext xmlns:c16="http://schemas.microsoft.com/office/drawing/2014/chart" uri="{C3380CC4-5D6E-409C-BE32-E72D297353CC}">
              <c16:uniqueId val="{00000001-7FAE-47E3-81E6-4ED75BB9F2DA}"/>
            </c:ext>
          </c:extLst>
        </c:ser>
        <c:dLbls>
          <c:dLblPos val="outEnd"/>
          <c:showLegendKey val="0"/>
          <c:showVal val="1"/>
          <c:showCatName val="0"/>
          <c:showSerName val="0"/>
          <c:showPercent val="0"/>
          <c:showBubbleSize val="0"/>
        </c:dLbls>
        <c:gapWidth val="219"/>
        <c:overlap val="-27"/>
        <c:axId val="312859504"/>
        <c:axId val="312859984"/>
      </c:barChart>
      <c:catAx>
        <c:axId val="3128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59984"/>
        <c:crosses val="autoZero"/>
        <c:auto val="1"/>
        <c:lblAlgn val="ctr"/>
        <c:lblOffset val="100"/>
        <c:noMultiLvlLbl val="0"/>
      </c:catAx>
      <c:valAx>
        <c:axId val="312859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59504"/>
        <c:crosses val="autoZero"/>
        <c:crossBetween val="between"/>
      </c:valAx>
      <c:spPr>
        <a:noFill/>
        <a:ln>
          <a:noFill/>
        </a:ln>
        <a:effectLst/>
      </c:spPr>
    </c:plotArea>
    <c:legend>
      <c:legendPos val="r"/>
      <c:layout>
        <c:manualLayout>
          <c:xMode val="edge"/>
          <c:yMode val="edge"/>
          <c:x val="0.90604724320154717"/>
          <c:y val="0.35991653217260888"/>
          <c:w val="7.993214957175683E-2"/>
          <c:h val="0.20186433217586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[Order_Fulfillment_and_Delivery_Performance_Dashboard_1.xlsx]Pivot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 by Order Volume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Table'!$C$11:$C$18</c:f>
              <c:strCache>
                <c:ptCount val="7"/>
                <c:pt idx="0">
                  <c:v>PayPal</c:v>
                </c:pt>
                <c:pt idx="1">
                  <c:v>Bank Transfer</c:v>
                </c:pt>
                <c:pt idx="2">
                  <c:v>Google Pay</c:v>
                </c:pt>
                <c:pt idx="3">
                  <c:v>Cash on Delivery</c:v>
                </c:pt>
                <c:pt idx="4">
                  <c:v>Debit Card</c:v>
                </c:pt>
                <c:pt idx="5">
                  <c:v>Apple Pay</c:v>
                </c:pt>
                <c:pt idx="6">
                  <c:v>Credit Card</c:v>
                </c:pt>
              </c:strCache>
            </c:strRef>
          </c:cat>
          <c:val>
            <c:numRef>
              <c:f>'Pivot Table'!$D$11:$D$18</c:f>
              <c:numCache>
                <c:formatCode>General</c:formatCode>
                <c:ptCount val="7"/>
                <c:pt idx="0">
                  <c:v>240</c:v>
                </c:pt>
                <c:pt idx="1">
                  <c:v>257</c:v>
                </c:pt>
                <c:pt idx="2">
                  <c:v>272</c:v>
                </c:pt>
                <c:pt idx="3">
                  <c:v>287</c:v>
                </c:pt>
                <c:pt idx="4">
                  <c:v>287</c:v>
                </c:pt>
                <c:pt idx="5">
                  <c:v>293</c:v>
                </c:pt>
                <c:pt idx="6">
                  <c:v>302</c:v>
                </c:pt>
              </c:numCache>
            </c:numRef>
          </c:val>
          <c:extLst>
            <c:ext xmlns:c16="http://schemas.microsoft.com/office/drawing/2014/chart" uri="{C3380CC4-5D6E-409C-BE32-E72D297353CC}">
              <c16:uniqueId val="{00000000-86D1-42B4-B531-CACD6726C5EA}"/>
            </c:ext>
          </c:extLst>
        </c:ser>
        <c:dLbls>
          <c:dLblPos val="outEnd"/>
          <c:showLegendKey val="0"/>
          <c:showVal val="1"/>
          <c:showCatName val="0"/>
          <c:showSerName val="0"/>
          <c:showPercent val="0"/>
          <c:showBubbleSize val="0"/>
        </c:dLbls>
        <c:gapWidth val="182"/>
        <c:axId val="371590736"/>
        <c:axId val="371591216"/>
      </c:barChart>
      <c:catAx>
        <c:axId val="37159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591216"/>
        <c:crosses val="autoZero"/>
        <c:auto val="1"/>
        <c:lblAlgn val="ctr"/>
        <c:lblOffset val="100"/>
        <c:noMultiLvlLbl val="0"/>
      </c:catAx>
      <c:valAx>
        <c:axId val="371591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59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[Order_Fulfillment_and_Delivery_Performance_Dashboard_1.xlsx]Pivot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a:t>
            </a:r>
            <a:r>
              <a:rPr lang="en-PH" baseline="0"/>
              <a:t> 5 Products by Order Volume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Table'!$F$15:$F$19</c:f>
              <c:strCache>
                <c:ptCount val="5"/>
                <c:pt idx="0">
                  <c:v>Overstock</c:v>
                </c:pt>
                <c:pt idx="1">
                  <c:v>HomeGoods</c:v>
                </c:pt>
                <c:pt idx="2">
                  <c:v>World Market</c:v>
                </c:pt>
                <c:pt idx="3">
                  <c:v>CB2</c:v>
                </c:pt>
                <c:pt idx="4">
                  <c:v>IKEA</c:v>
                </c:pt>
              </c:strCache>
            </c:strRef>
          </c:cat>
          <c:val>
            <c:numRef>
              <c:f>'Pivot Table'!$G$15:$G$19</c:f>
              <c:numCache>
                <c:formatCode>General</c:formatCode>
                <c:ptCount val="5"/>
                <c:pt idx="0">
                  <c:v>168</c:v>
                </c:pt>
                <c:pt idx="1">
                  <c:v>165</c:v>
                </c:pt>
                <c:pt idx="2">
                  <c:v>160</c:v>
                </c:pt>
                <c:pt idx="3">
                  <c:v>154</c:v>
                </c:pt>
                <c:pt idx="4">
                  <c:v>154</c:v>
                </c:pt>
              </c:numCache>
            </c:numRef>
          </c:val>
          <c:extLst>
            <c:ext xmlns:c16="http://schemas.microsoft.com/office/drawing/2014/chart" uri="{C3380CC4-5D6E-409C-BE32-E72D297353CC}">
              <c16:uniqueId val="{00000000-3C78-41DA-B5AC-2F8AD1DBFCF4}"/>
            </c:ext>
          </c:extLst>
        </c:ser>
        <c:dLbls>
          <c:dLblPos val="outEnd"/>
          <c:showLegendKey val="0"/>
          <c:showVal val="1"/>
          <c:showCatName val="0"/>
          <c:showSerName val="0"/>
          <c:showPercent val="0"/>
          <c:showBubbleSize val="0"/>
        </c:dLbls>
        <c:gapWidth val="219"/>
        <c:overlap val="-27"/>
        <c:axId val="449677776"/>
        <c:axId val="449678736"/>
      </c:barChart>
      <c:catAx>
        <c:axId val="4496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78736"/>
        <c:crosses val="autoZero"/>
        <c:auto val="1"/>
        <c:lblAlgn val="ctr"/>
        <c:lblOffset val="100"/>
        <c:noMultiLvlLbl val="0"/>
      </c:catAx>
      <c:valAx>
        <c:axId val="44967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7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532580</xdr:colOff>
      <xdr:row>6</xdr:row>
      <xdr:rowOff>8809</xdr:rowOff>
    </xdr:from>
    <xdr:to>
      <xdr:col>13</xdr:col>
      <xdr:colOff>542105</xdr:colOff>
      <xdr:row>21</xdr:row>
      <xdr:rowOff>10242</xdr:rowOff>
    </xdr:to>
    <xdr:graphicFrame macro="">
      <xdr:nvGraphicFramePr>
        <xdr:cNvPr id="2" name="Chart 1">
          <a:extLst>
            <a:ext uri="{FF2B5EF4-FFF2-40B4-BE49-F238E27FC236}">
              <a16:creationId xmlns:a16="http://schemas.microsoft.com/office/drawing/2014/main" id="{4BAC7248-0150-4461-B72B-00F231B26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10958</xdr:colOff>
      <xdr:row>22</xdr:row>
      <xdr:rowOff>8091</xdr:rowOff>
    </xdr:from>
    <xdr:to>
      <xdr:col>11</xdr:col>
      <xdr:colOff>430161</xdr:colOff>
      <xdr:row>36</xdr:row>
      <xdr:rowOff>40967</xdr:rowOff>
    </xdr:to>
    <xdr:graphicFrame macro="">
      <xdr:nvGraphicFramePr>
        <xdr:cNvPr id="3" name="Chart 2">
          <a:extLst>
            <a:ext uri="{FF2B5EF4-FFF2-40B4-BE49-F238E27FC236}">
              <a16:creationId xmlns:a16="http://schemas.microsoft.com/office/drawing/2014/main" id="{533D8E97-AD82-4EE9-91CC-CE7839B78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6</xdr:row>
      <xdr:rowOff>20483</xdr:rowOff>
    </xdr:from>
    <xdr:to>
      <xdr:col>24</xdr:col>
      <xdr:colOff>0</xdr:colOff>
      <xdr:row>21</xdr:row>
      <xdr:rowOff>20483</xdr:rowOff>
    </xdr:to>
    <xdr:graphicFrame macro="">
      <xdr:nvGraphicFramePr>
        <xdr:cNvPr id="4" name="Chart 3">
          <a:extLst>
            <a:ext uri="{FF2B5EF4-FFF2-40B4-BE49-F238E27FC236}">
              <a16:creationId xmlns:a16="http://schemas.microsoft.com/office/drawing/2014/main" id="{4468082A-6B17-46D7-B9BF-9137A0DC0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419919</xdr:colOff>
      <xdr:row>22</xdr:row>
      <xdr:rowOff>20484</xdr:rowOff>
    </xdr:from>
    <xdr:to>
      <xdr:col>23</xdr:col>
      <xdr:colOff>598845</xdr:colOff>
      <xdr:row>36</xdr:row>
      <xdr:rowOff>39329</xdr:rowOff>
    </xdr:to>
    <xdr:graphicFrame macro="">
      <xdr:nvGraphicFramePr>
        <xdr:cNvPr id="5" name="Chart 4">
          <a:extLst>
            <a:ext uri="{FF2B5EF4-FFF2-40B4-BE49-F238E27FC236}">
              <a16:creationId xmlns:a16="http://schemas.microsoft.com/office/drawing/2014/main" id="{0F03D300-434D-4F05-85F9-30FDF6A9A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573549</xdr:colOff>
      <xdr:row>22</xdr:row>
      <xdr:rowOff>20484</xdr:rowOff>
    </xdr:from>
    <xdr:to>
      <xdr:col>17</xdr:col>
      <xdr:colOff>304493</xdr:colOff>
      <xdr:row>36</xdr:row>
      <xdr:rowOff>39329</xdr:rowOff>
    </xdr:to>
    <xdr:graphicFrame macro="">
      <xdr:nvGraphicFramePr>
        <xdr:cNvPr id="6" name="Chart 5">
          <a:extLst>
            <a:ext uri="{FF2B5EF4-FFF2-40B4-BE49-F238E27FC236}">
              <a16:creationId xmlns:a16="http://schemas.microsoft.com/office/drawing/2014/main" id="{01F243D1-2706-4326-A9C1-5C9D118A5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30725</xdr:colOff>
      <xdr:row>6</xdr:row>
      <xdr:rowOff>10241</xdr:rowOff>
    </xdr:from>
    <xdr:to>
      <xdr:col>5</xdr:col>
      <xdr:colOff>522338</xdr:colOff>
      <xdr:row>21</xdr:row>
      <xdr:rowOff>19439</xdr:rowOff>
    </xdr:to>
    <mc:AlternateContent xmlns:mc="http://schemas.openxmlformats.org/markup-compatibility/2006" xmlns:a14="http://schemas.microsoft.com/office/drawing/2010/main">
      <mc:Choice Requires="a14">
        <xdr:graphicFrame macro="">
          <xdr:nvGraphicFramePr>
            <xdr:cNvPr id="7" name="Delivery Status 1">
              <a:extLst>
                <a:ext uri="{FF2B5EF4-FFF2-40B4-BE49-F238E27FC236}">
                  <a16:creationId xmlns:a16="http://schemas.microsoft.com/office/drawing/2014/main" id="{87255DBA-E419-4C0E-9031-3BAE66D7A63D}"/>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867689" y="1176568"/>
              <a:ext cx="1716256" cy="292501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440403</xdr:colOff>
      <xdr:row>24</xdr:row>
      <xdr:rowOff>51208</xdr:rowOff>
    </xdr:from>
    <xdr:to>
      <xdr:col>8</xdr:col>
      <xdr:colOff>399435</xdr:colOff>
      <xdr:row>29</xdr:row>
      <xdr:rowOff>81936</xdr:rowOff>
    </xdr:to>
    <xdr:sp macro="" textlink="">
      <xdr:nvSpPr>
        <xdr:cNvPr id="8" name="Speech Bubble: Rectangle 7">
          <a:extLst>
            <a:ext uri="{FF2B5EF4-FFF2-40B4-BE49-F238E27FC236}">
              <a16:creationId xmlns:a16="http://schemas.microsoft.com/office/drawing/2014/main" id="{1F3BE17B-79AC-9555-D240-F43A95B73385}"/>
            </a:ext>
          </a:extLst>
        </xdr:cNvPr>
        <xdr:cNvSpPr/>
      </xdr:nvSpPr>
      <xdr:spPr>
        <a:xfrm>
          <a:off x="3512984" y="4721531"/>
          <a:ext cx="1802580" cy="1003711"/>
        </a:xfrm>
        <a:prstGeom prst="wedgeRectCallout">
          <a:avLst>
            <a:gd name="adj1" fmla="val 58713"/>
            <a:gd name="adj2" fmla="val -2933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5</xdr:col>
      <xdr:colOff>481370</xdr:colOff>
      <xdr:row>24</xdr:row>
      <xdr:rowOff>122901</xdr:rowOff>
    </xdr:from>
    <xdr:to>
      <xdr:col>8</xdr:col>
      <xdr:colOff>368710</xdr:colOff>
      <xdr:row>29</xdr:row>
      <xdr:rowOff>81935</xdr:rowOff>
    </xdr:to>
    <xdr:sp macro="" textlink="">
      <xdr:nvSpPr>
        <xdr:cNvPr id="10" name="TextBox 9">
          <a:extLst>
            <a:ext uri="{FF2B5EF4-FFF2-40B4-BE49-F238E27FC236}">
              <a16:creationId xmlns:a16="http://schemas.microsoft.com/office/drawing/2014/main" id="{7C024E1B-95B4-40C2-B587-9D1F3B7683D8}"/>
            </a:ext>
          </a:extLst>
        </xdr:cNvPr>
        <xdr:cNvSpPr txBox="1"/>
      </xdr:nvSpPr>
      <xdr:spPr>
        <a:xfrm>
          <a:off x="3553951" y="4793224"/>
          <a:ext cx="1730888" cy="932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PH" sz="1000" i="0"/>
            <a:t>Over 82% of orders fall under non-delivered statuses, indicating significant fulfillment friction.</a:t>
          </a:r>
        </a:p>
        <a:p>
          <a:endParaRPr lang="en-PH" sz="900"/>
        </a:p>
      </xdr:txBody>
    </xdr:sp>
    <xdr:clientData/>
  </xdr:twoCellAnchor>
  <xdr:twoCellAnchor>
    <xdr:from>
      <xdr:col>18</xdr:col>
      <xdr:colOff>532580</xdr:colOff>
      <xdr:row>7</xdr:row>
      <xdr:rowOff>133147</xdr:rowOff>
    </xdr:from>
    <xdr:to>
      <xdr:col>21</xdr:col>
      <xdr:colOff>491611</xdr:colOff>
      <xdr:row>12</xdr:row>
      <xdr:rowOff>51210</xdr:rowOff>
    </xdr:to>
    <xdr:sp macro="" textlink="">
      <xdr:nvSpPr>
        <xdr:cNvPr id="11" name="Speech Bubble: Rectangle 10">
          <a:extLst>
            <a:ext uri="{FF2B5EF4-FFF2-40B4-BE49-F238E27FC236}">
              <a16:creationId xmlns:a16="http://schemas.microsoft.com/office/drawing/2014/main" id="{019FBFD7-7364-4E94-BFE6-498C7E3C1A82}"/>
            </a:ext>
          </a:extLst>
        </xdr:cNvPr>
        <xdr:cNvSpPr/>
      </xdr:nvSpPr>
      <xdr:spPr>
        <a:xfrm>
          <a:off x="11593870" y="1495324"/>
          <a:ext cx="1802580" cy="891047"/>
        </a:xfrm>
        <a:prstGeom prst="wedgeRectCallout">
          <a:avLst>
            <a:gd name="adj1" fmla="val 58713"/>
            <a:gd name="adj2" fmla="val 20663"/>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18</xdr:col>
      <xdr:colOff>573549</xdr:colOff>
      <xdr:row>7</xdr:row>
      <xdr:rowOff>174113</xdr:rowOff>
    </xdr:from>
    <xdr:to>
      <xdr:col>21</xdr:col>
      <xdr:colOff>450646</xdr:colOff>
      <xdr:row>12</xdr:row>
      <xdr:rowOff>40968</xdr:rowOff>
    </xdr:to>
    <xdr:sp macro="" textlink="">
      <xdr:nvSpPr>
        <xdr:cNvPr id="12" name="TextBox 11">
          <a:extLst>
            <a:ext uri="{FF2B5EF4-FFF2-40B4-BE49-F238E27FC236}">
              <a16:creationId xmlns:a16="http://schemas.microsoft.com/office/drawing/2014/main" id="{2FB6D812-D34B-4044-A6E4-D519EC8DEC8E}"/>
            </a:ext>
          </a:extLst>
        </xdr:cNvPr>
        <xdr:cNvSpPr txBox="1"/>
      </xdr:nvSpPr>
      <xdr:spPr>
        <a:xfrm>
          <a:off x="11634839" y="1536290"/>
          <a:ext cx="1720646" cy="839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i="1"/>
            <a:t>Orders</a:t>
          </a:r>
          <a:r>
            <a:rPr lang="en-PH" sz="900" i="1" baseline="0"/>
            <a:t> that doesn't requested  Assembly Service shows a higher rate in Failed Delivery status, suggesting additional logistical complexity</a:t>
          </a:r>
          <a:endParaRPr lang="en-PH" sz="900" i="1"/>
        </a:p>
      </xdr:txBody>
    </xdr:sp>
    <xdr:clientData/>
  </xdr:twoCellAnchor>
  <xdr:twoCellAnchor>
    <xdr:from>
      <xdr:col>8</xdr:col>
      <xdr:colOff>542823</xdr:colOff>
      <xdr:row>8</xdr:row>
      <xdr:rowOff>51210</xdr:rowOff>
    </xdr:from>
    <xdr:to>
      <xdr:col>12</xdr:col>
      <xdr:colOff>297014</xdr:colOff>
      <xdr:row>12</xdr:row>
      <xdr:rowOff>163870</xdr:rowOff>
    </xdr:to>
    <xdr:sp macro="" textlink="">
      <xdr:nvSpPr>
        <xdr:cNvPr id="15" name="Speech Bubble: Rectangle 14">
          <a:extLst>
            <a:ext uri="{FF2B5EF4-FFF2-40B4-BE49-F238E27FC236}">
              <a16:creationId xmlns:a16="http://schemas.microsoft.com/office/drawing/2014/main" id="{3A0998DE-D581-43EF-A58E-3A499DAA3A24}"/>
            </a:ext>
          </a:extLst>
        </xdr:cNvPr>
        <xdr:cNvSpPr/>
      </xdr:nvSpPr>
      <xdr:spPr>
        <a:xfrm>
          <a:off x="5458952" y="1607984"/>
          <a:ext cx="2212256" cy="891047"/>
        </a:xfrm>
        <a:prstGeom prst="wedgeRectCallout">
          <a:avLst>
            <a:gd name="adj1" fmla="val -16287"/>
            <a:gd name="adj2" fmla="val 5974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8</xdr:col>
      <xdr:colOff>594033</xdr:colOff>
      <xdr:row>9</xdr:row>
      <xdr:rowOff>30726</xdr:rowOff>
    </xdr:from>
    <xdr:to>
      <xdr:col>12</xdr:col>
      <xdr:colOff>256048</xdr:colOff>
      <xdr:row>11</xdr:row>
      <xdr:rowOff>184457</xdr:rowOff>
    </xdr:to>
    <xdr:sp macro="" textlink="">
      <xdr:nvSpPr>
        <xdr:cNvPr id="16" name="TextBox 15">
          <a:extLst>
            <a:ext uri="{FF2B5EF4-FFF2-40B4-BE49-F238E27FC236}">
              <a16:creationId xmlns:a16="http://schemas.microsoft.com/office/drawing/2014/main" id="{D89628FD-B591-4ADD-87BA-6F68F740B468}"/>
            </a:ext>
          </a:extLst>
        </xdr:cNvPr>
        <xdr:cNvSpPr txBox="1"/>
      </xdr:nvSpPr>
      <xdr:spPr>
        <a:xfrm>
          <a:off x="5510162" y="1782097"/>
          <a:ext cx="2120080"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i="1"/>
            <a:t>Delivery issues are spread across multiple statuses.</a:t>
          </a:r>
        </a:p>
        <a:p>
          <a:endParaRPr lang="en-PH" sz="1100"/>
        </a:p>
      </xdr:txBody>
    </xdr:sp>
    <xdr:clientData/>
  </xdr:twoCellAnchor>
  <xdr:twoCellAnchor>
    <xdr:from>
      <xdr:col>9</xdr:col>
      <xdr:colOff>77757</xdr:colOff>
      <xdr:row>3</xdr:row>
      <xdr:rowOff>97194</xdr:rowOff>
    </xdr:from>
    <xdr:to>
      <xdr:col>18</xdr:col>
      <xdr:colOff>495691</xdr:colOff>
      <xdr:row>5</xdr:row>
      <xdr:rowOff>136071</xdr:rowOff>
    </xdr:to>
    <xdr:sp macro="" textlink="">
      <xdr:nvSpPr>
        <xdr:cNvPr id="17" name="TextBox 16">
          <a:extLst>
            <a:ext uri="{FF2B5EF4-FFF2-40B4-BE49-F238E27FC236}">
              <a16:creationId xmlns:a16="http://schemas.microsoft.com/office/drawing/2014/main" id="{DE2FA8E8-B2F3-D83A-A43B-AED4D4A06616}"/>
            </a:ext>
          </a:extLst>
        </xdr:cNvPr>
        <xdr:cNvSpPr txBox="1"/>
      </xdr:nvSpPr>
      <xdr:spPr>
        <a:xfrm>
          <a:off x="5588650" y="680357"/>
          <a:ext cx="5928827" cy="4276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600" b="1"/>
            <a:t>Order Fulfillment &amp; Delivery 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xdr:colOff>
      <xdr:row>2</xdr:row>
      <xdr:rowOff>9526</xdr:rowOff>
    </xdr:from>
    <xdr:to>
      <xdr:col>1</xdr:col>
      <xdr:colOff>828675</xdr:colOff>
      <xdr:row>11</xdr:row>
      <xdr:rowOff>180976</xdr:rowOff>
    </xdr:to>
    <mc:AlternateContent xmlns:mc="http://schemas.openxmlformats.org/markup-compatibility/2006">
      <mc:Choice xmlns:a14="http://schemas.microsoft.com/office/drawing/2010/main" Requires="a14">
        <xdr:graphicFrame macro="">
          <xdr:nvGraphicFramePr>
            <xdr:cNvPr id="9" name="Delivery Status">
              <a:extLst>
                <a:ext uri="{FF2B5EF4-FFF2-40B4-BE49-F238E27FC236}">
                  <a16:creationId xmlns:a16="http://schemas.microsoft.com/office/drawing/2014/main" id="{FC423CAD-83D7-AE27-4FE2-27595A51949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104775" y="390526"/>
              <a:ext cx="1828800" cy="18859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refreshedDate="46056.91682175926" createdVersion="8" refreshedVersion="8" minRefreshableVersion="3" recordCount="1938" xr:uid="{3E8FA2EF-11D3-4521-A115-AE0F8880AFB7}">
  <cacheSource type="worksheet">
    <worksheetSource ref="A1:O1939" sheet="Project_Online_Furniture_Retail"/>
  </cacheSource>
  <cacheFields count="15">
    <cacheField name="Order ID" numFmtId="1">
      <sharedItems containsSemiMixedTypes="0" containsString="0" containsNumber="1" containsInteger="1" minValue="10053" maxValue="99952"/>
    </cacheField>
    <cacheField name="Product Category" numFmtId="49">
      <sharedItems/>
    </cacheField>
    <cacheField name="Product Subcategory" numFmtId="49">
      <sharedItems/>
    </cacheField>
    <cacheField name="Brand" numFmtId="49">
      <sharedItems containsBlank="1" count="13">
        <s v="World Market"/>
        <s v="West Elm"/>
        <s v="Ashley Furniture"/>
        <s v="HomeGoods"/>
        <s v="CB2"/>
        <s v="IKEA"/>
        <s v="Urban Outfitters"/>
        <s v="Crate &amp; Barrel"/>
        <s v="Target"/>
        <s v="Overstock"/>
        <s v="Pottery Barn"/>
        <s v="Wayfair"/>
        <m/>
      </sharedItems>
    </cacheField>
    <cacheField name="Delivery Status" numFmtId="49">
      <sharedItems count="6">
        <s v="Failed Delivery"/>
        <s v="Cancelled"/>
        <s v="Delivered"/>
        <s v="Pending"/>
        <s v="Rescheduled"/>
        <s v="In Transit"/>
      </sharedItems>
    </cacheField>
    <cacheField name="Delivered or Not Delivered" numFmtId="49">
      <sharedItems count="2">
        <s v="Not Delivered"/>
        <s v="Delivered"/>
      </sharedItems>
    </cacheField>
    <cacheField name="Assembly Service Requested" numFmtId="49">
      <sharedItems count="2">
        <b v="1"/>
        <b v="0"/>
      </sharedItems>
    </cacheField>
    <cacheField name="Payment Method" numFmtId="49">
      <sharedItems count="7">
        <s v="Credit Card"/>
        <s v="Apple Pay"/>
        <s v="Cash on Delivery"/>
        <s v="Google Pay"/>
        <s v="Bank Transfer"/>
        <s v="Debit Card"/>
        <s v="PayPal"/>
      </sharedItems>
    </cacheField>
    <cacheField name="Customer ID" numFmtId="1">
      <sharedItems containsSemiMixedTypes="0" containsString="0" containsNumber="1" containsInteger="1" minValue="1009" maxValue="9998"/>
    </cacheField>
    <cacheField name="Product Price" numFmtId="164">
      <sharedItems containsSemiMixedTypes="0" containsString="0" containsNumber="1" minValue="81.430000000000007" maxValue="2979.56"/>
    </cacheField>
    <cacheField name="Shipping_Cost" numFmtId="164">
      <sharedItems containsString="0" containsBlank="1" containsNumber="1" minValue="0" maxValue="150"/>
    </cacheField>
    <cacheField name="Assembly Cost" numFmtId="164">
      <sharedItems containsString="0" containsBlank="1" containsNumber="1" minValue="0" maxValue="299.35000000000002"/>
    </cacheField>
    <cacheField name="Total Amount" numFmtId="164">
      <sharedItems containsSemiMixedTypes="0" containsString="0" containsNumber="1" minValue="146.93" maxValue="3093.29"/>
    </cacheField>
    <cacheField name="Delivery Window Days" numFmtId="1">
      <sharedItems containsSemiMixedTypes="0" containsString="0" containsNumber="1" containsInteger="1" minValue="1" maxValue="14"/>
    </cacheField>
    <cacheField name="Customer Rating" numFmtId="2">
      <sharedItems containsString="0" containsBlank="1" containsNumber="1" minValue="1" maxValue="5"/>
    </cacheField>
  </cacheFields>
  <extLst>
    <ext xmlns:x14="http://schemas.microsoft.com/office/spreadsheetml/2009/9/main" uri="{725AE2AE-9491-48be-B2B4-4EB974FC3084}">
      <x14:pivotCacheDefinition pivotCacheId="281269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8">
  <r>
    <n v="93810"/>
    <s v="Outdoor"/>
    <s v="Patio Set"/>
    <x v="0"/>
    <x v="0"/>
    <x v="0"/>
    <x v="0"/>
    <x v="0"/>
    <n v="2824"/>
    <n v="191.27"/>
    <n v="45.63"/>
    <n v="86.82"/>
    <n v="323.72000000000003"/>
    <n v="11"/>
    <n v="3.2"/>
  </r>
  <r>
    <n v="13278"/>
    <s v="Living Room"/>
    <s v="Sofa"/>
    <x v="1"/>
    <x v="1"/>
    <x v="0"/>
    <x v="0"/>
    <x v="1"/>
    <n v="5506"/>
    <n v="702.87"/>
    <n v="52.65"/>
    <n v="183.07"/>
    <n v="938.59"/>
    <n v="10"/>
    <n v="4.5"/>
  </r>
  <r>
    <n v="42098"/>
    <s v="Dining Room"/>
    <s v="Bar Stool"/>
    <x v="2"/>
    <x v="2"/>
    <x v="1"/>
    <x v="1"/>
    <x v="2"/>
    <n v="4657"/>
    <n v="395.41"/>
    <n v="96.79"/>
    <n v="0"/>
    <n v="492.2"/>
    <n v="2"/>
    <m/>
  </r>
  <r>
    <n v="28289"/>
    <s v="Dining Room"/>
    <s v="China Cabinet"/>
    <x v="3"/>
    <x v="2"/>
    <x v="1"/>
    <x v="1"/>
    <x v="3"/>
    <n v="2679"/>
    <n v="602.59"/>
    <n v="0"/>
    <n v="0"/>
    <n v="602.59"/>
    <n v="9"/>
    <m/>
  </r>
  <r>
    <n v="98696"/>
    <s v="Dining Room"/>
    <s v="China Cabinet"/>
    <x v="4"/>
    <x v="3"/>
    <x v="0"/>
    <x v="0"/>
    <x v="1"/>
    <n v="9935"/>
    <n v="1782.36"/>
    <n v="69.23"/>
    <n v="41.53"/>
    <n v="1893.12"/>
    <n v="13"/>
    <n v="1.3"/>
  </r>
  <r>
    <n v="21395"/>
    <s v="Dining Room"/>
    <s v="Buffet"/>
    <x v="1"/>
    <x v="4"/>
    <x v="0"/>
    <x v="0"/>
    <x v="4"/>
    <n v="7912"/>
    <n v="1307.8"/>
    <m/>
    <n v="170.18"/>
    <n v="1565"/>
    <n v="11"/>
    <n v="3.4"/>
  </r>
  <r>
    <n v="14165"/>
    <s v="Bedroom"/>
    <s v="Mattress"/>
    <x v="5"/>
    <x v="2"/>
    <x v="1"/>
    <x v="0"/>
    <x v="1"/>
    <n v="1488"/>
    <n v="1467.44"/>
    <n v="0"/>
    <n v="184.29"/>
    <n v="1651.73"/>
    <n v="13"/>
    <m/>
  </r>
  <r>
    <n v="22280"/>
    <s v="Dining Room"/>
    <s v="Dining Table"/>
    <x v="6"/>
    <x v="0"/>
    <x v="0"/>
    <x v="1"/>
    <x v="5"/>
    <n v="4582"/>
    <n v="500.87"/>
    <n v="137.63999999999999"/>
    <n v="0"/>
    <n v="638.51"/>
    <n v="4"/>
    <n v="2.6"/>
  </r>
  <r>
    <n v="40495"/>
    <s v="Dining Room"/>
    <s v="Dining Chair"/>
    <x v="1"/>
    <x v="4"/>
    <x v="0"/>
    <x v="1"/>
    <x v="1"/>
    <n v="9279"/>
    <n v="568.59"/>
    <n v="76.27"/>
    <n v="0"/>
    <n v="644.86"/>
    <n v="10"/>
    <n v="1.9"/>
  </r>
  <r>
    <n v="88907"/>
    <s v="Living Room"/>
    <s v="Sofa"/>
    <x v="7"/>
    <x v="2"/>
    <x v="1"/>
    <x v="0"/>
    <x v="3"/>
    <n v="1434"/>
    <n v="2180.54"/>
    <n v="0"/>
    <n v="239.46"/>
    <n v="2420"/>
    <n v="7"/>
    <n v="5"/>
  </r>
  <r>
    <n v="83563"/>
    <s v="Living Room"/>
    <s v="Side Table"/>
    <x v="3"/>
    <x v="5"/>
    <x v="0"/>
    <x v="1"/>
    <x v="1"/>
    <n v="4257"/>
    <n v="1857.66"/>
    <n v="103.7"/>
    <n v="0"/>
    <n v="1961.36"/>
    <n v="13"/>
    <n v="1.4"/>
  </r>
  <r>
    <n v="95181"/>
    <s v="Living Room"/>
    <s v="Side Table"/>
    <x v="4"/>
    <x v="5"/>
    <x v="0"/>
    <x v="0"/>
    <x v="6"/>
    <n v="9928"/>
    <n v="2214.46"/>
    <n v="0"/>
    <n v="46.76"/>
    <n v="2261.2199999999998"/>
    <n v="5"/>
    <n v="3"/>
  </r>
  <r>
    <n v="64987"/>
    <s v="Bedroom"/>
    <s v="Wardrobe"/>
    <x v="8"/>
    <x v="2"/>
    <x v="1"/>
    <x v="1"/>
    <x v="5"/>
    <n v="4611"/>
    <n v="2867.47"/>
    <n v="141.85"/>
    <n v="0"/>
    <n v="3009.32"/>
    <n v="8"/>
    <m/>
  </r>
  <r>
    <n v="68878"/>
    <s v="Living Room"/>
    <s v="Coffee Table"/>
    <x v="7"/>
    <x v="5"/>
    <x v="0"/>
    <x v="1"/>
    <x v="5"/>
    <n v="5557"/>
    <n v="2219.42"/>
    <n v="58.57"/>
    <n v="0"/>
    <n v="2277.9899999999998"/>
    <n v="14"/>
    <m/>
  </r>
  <r>
    <n v="10851"/>
    <s v="Outdoor"/>
    <s v="Lounge Chair"/>
    <x v="9"/>
    <x v="5"/>
    <x v="0"/>
    <x v="1"/>
    <x v="4"/>
    <n v="3615"/>
    <n v="1712.3"/>
    <m/>
    <n v="0"/>
    <n v="1712.3"/>
    <n v="4"/>
    <n v="4"/>
  </r>
  <r>
    <n v="65392"/>
    <s v="Dining Room"/>
    <s v="Buffet"/>
    <x v="5"/>
    <x v="4"/>
    <x v="0"/>
    <x v="1"/>
    <x v="3"/>
    <n v="6574"/>
    <n v="1990.78"/>
    <n v="93.81"/>
    <n v="0"/>
    <n v="2084.59"/>
    <n v="2"/>
    <n v="1.3"/>
  </r>
  <r>
    <n v="46421"/>
    <s v="Bedroom"/>
    <s v="Wardrobe"/>
    <x v="4"/>
    <x v="2"/>
    <x v="1"/>
    <x v="0"/>
    <x v="4"/>
    <n v="3547"/>
    <n v="777.62"/>
    <n v="0"/>
    <n v="53.37"/>
    <n v="830.99"/>
    <n v="1"/>
    <n v="1.3"/>
  </r>
  <r>
    <n v="38221"/>
    <s v="Office"/>
    <s v="Desk"/>
    <x v="4"/>
    <x v="3"/>
    <x v="0"/>
    <x v="1"/>
    <x v="0"/>
    <n v="6514"/>
    <n v="845.71"/>
    <n v="138.24"/>
    <n v="0"/>
    <n v="983.95"/>
    <n v="4"/>
    <n v="4.2"/>
  </r>
  <r>
    <n v="23396"/>
    <s v="Outdoor"/>
    <s v="Lounge Chair"/>
    <x v="4"/>
    <x v="5"/>
    <x v="0"/>
    <x v="0"/>
    <x v="5"/>
    <n v="2519"/>
    <n v="734.59"/>
    <n v="136.38"/>
    <n v="26.52"/>
    <n v="897.49"/>
    <n v="12"/>
    <n v="4.4000000000000004"/>
  </r>
  <r>
    <n v="59797"/>
    <s v="Kitchen"/>
    <s v="Pantry Cabinet"/>
    <x v="7"/>
    <x v="3"/>
    <x v="0"/>
    <x v="1"/>
    <x v="0"/>
    <n v="2584"/>
    <n v="608.4"/>
    <n v="0"/>
    <n v="0"/>
    <n v="608.4"/>
    <n v="4"/>
    <n v="1.3"/>
  </r>
  <r>
    <n v="57052"/>
    <s v="Outdoor"/>
    <s v="Umbrella"/>
    <x v="5"/>
    <x v="5"/>
    <x v="0"/>
    <x v="0"/>
    <x v="1"/>
    <n v="6635"/>
    <n v="1529.45"/>
    <n v="142.63999999999999"/>
    <n v="70.319999999999993"/>
    <n v="1742.41"/>
    <n v="8"/>
    <n v="2.6"/>
  </r>
  <r>
    <n v="89131"/>
    <s v="Living Room"/>
    <s v="Armchair"/>
    <x v="7"/>
    <x v="1"/>
    <x v="0"/>
    <x v="1"/>
    <x v="4"/>
    <n v="5333"/>
    <n v="809.97"/>
    <n v="95.5"/>
    <n v="0"/>
    <n v="905.47"/>
    <n v="12"/>
    <n v="5"/>
  </r>
  <r>
    <n v="15695"/>
    <s v="Office"/>
    <s v="Desk"/>
    <x v="10"/>
    <x v="4"/>
    <x v="0"/>
    <x v="0"/>
    <x v="2"/>
    <n v="8527"/>
    <n v="349.65"/>
    <n v="41.33"/>
    <n v="43.7"/>
    <n v="434.68"/>
    <n v="1"/>
    <m/>
  </r>
  <r>
    <n v="80284"/>
    <s v="Kitchen"/>
    <s v="Bar Cart"/>
    <x v="0"/>
    <x v="5"/>
    <x v="0"/>
    <x v="0"/>
    <x v="3"/>
    <n v="3045"/>
    <n v="425.14"/>
    <n v="63.09"/>
    <n v="39.880000000000003"/>
    <n v="528.11"/>
    <n v="11"/>
    <n v="2.6"/>
  </r>
  <r>
    <n v="59615"/>
    <s v="Kitchen"/>
    <s v="Kitchen Island"/>
    <x v="4"/>
    <x v="2"/>
    <x v="1"/>
    <x v="1"/>
    <x v="1"/>
    <n v="2291"/>
    <n v="1662.64"/>
    <n v="108.37"/>
    <n v="0"/>
    <n v="1771.01"/>
    <n v="5"/>
    <n v="3.9"/>
  </r>
  <r>
    <n v="82357"/>
    <s v="Bedroom"/>
    <s v="Chest of Drawers"/>
    <x v="4"/>
    <x v="4"/>
    <x v="0"/>
    <x v="0"/>
    <x v="6"/>
    <n v="5803"/>
    <n v="1989.68"/>
    <n v="142.9"/>
    <n v="36.46"/>
    <n v="2169.04"/>
    <n v="10"/>
    <n v="1.3"/>
  </r>
  <r>
    <n v="92397"/>
    <s v="Bedroom"/>
    <s v="Dresser"/>
    <x v="6"/>
    <x v="4"/>
    <x v="0"/>
    <x v="0"/>
    <x v="0"/>
    <n v="6925"/>
    <n v="2660.46"/>
    <n v="86.95"/>
    <n v="275.06"/>
    <n v="3022.47"/>
    <n v="12"/>
    <n v="4.9000000000000004"/>
  </r>
  <r>
    <n v="85674"/>
    <s v="Outdoor"/>
    <s v="Umbrella"/>
    <x v="11"/>
    <x v="4"/>
    <x v="0"/>
    <x v="0"/>
    <x v="5"/>
    <n v="4150"/>
    <n v="643.97"/>
    <n v="143.88999999999999"/>
    <n v="111.54"/>
    <n v="899.4"/>
    <n v="2"/>
    <n v="1.6"/>
  </r>
  <r>
    <n v="19116"/>
    <s v="Outdoor"/>
    <s v="Outdoor Table"/>
    <x v="5"/>
    <x v="3"/>
    <x v="0"/>
    <x v="1"/>
    <x v="4"/>
    <n v="1750"/>
    <n v="485.94"/>
    <n v="72.569999999999993"/>
    <n v="0"/>
    <n v="558.51"/>
    <n v="9"/>
    <n v="4.5999999999999996"/>
  </r>
  <r>
    <n v="96673"/>
    <s v="Office"/>
    <s v="Bookshelf"/>
    <x v="12"/>
    <x v="3"/>
    <x v="0"/>
    <x v="0"/>
    <x v="0"/>
    <n v="4733"/>
    <n v="142.6"/>
    <n v="50.02"/>
    <n v="116.16"/>
    <n v="308.77999999999997"/>
    <n v="8"/>
    <n v="2.7"/>
  </r>
  <r>
    <n v="47930"/>
    <s v="Outdoor"/>
    <s v="Garden Chair"/>
    <x v="5"/>
    <x v="2"/>
    <x v="1"/>
    <x v="0"/>
    <x v="5"/>
    <n v="2307"/>
    <n v="1050.22"/>
    <n v="108.25"/>
    <n v="169.12"/>
    <n v="1327.59"/>
    <n v="5"/>
    <n v="4.7"/>
  </r>
  <r>
    <n v="40512"/>
    <s v="Outdoor"/>
    <s v="Garden Chair"/>
    <x v="4"/>
    <x v="5"/>
    <x v="0"/>
    <x v="1"/>
    <x v="2"/>
    <n v="2654"/>
    <n v="1250.44"/>
    <n v="105.99"/>
    <n v="0"/>
    <n v="1356.43"/>
    <n v="10"/>
    <n v="4.7"/>
  </r>
  <r>
    <n v="59823"/>
    <s v="Bedroom"/>
    <s v="Nightstand"/>
    <x v="9"/>
    <x v="5"/>
    <x v="0"/>
    <x v="1"/>
    <x v="6"/>
    <n v="5554"/>
    <n v="220.64"/>
    <n v="80.239999999999995"/>
    <n v="0"/>
    <n v="300.88"/>
    <n v="13"/>
    <n v="4.2"/>
  </r>
  <r>
    <n v="69429"/>
    <s v="Bedroom"/>
    <s v="Chest of Drawers"/>
    <x v="8"/>
    <x v="2"/>
    <x v="1"/>
    <x v="1"/>
    <x v="2"/>
    <n v="6977"/>
    <n v="458.07"/>
    <n v="90.41"/>
    <n v="0"/>
    <n v="548.48"/>
    <n v="4"/>
    <n v="4.7"/>
  </r>
  <r>
    <n v="31319"/>
    <s v="Bedroom"/>
    <s v="Mattress"/>
    <x v="11"/>
    <x v="2"/>
    <x v="1"/>
    <x v="1"/>
    <x v="4"/>
    <n v="7065"/>
    <n v="217.44"/>
    <n v="39.479999999999997"/>
    <n v="0"/>
    <n v="256.92"/>
    <n v="5"/>
    <n v="4.9000000000000004"/>
  </r>
  <r>
    <n v="56566"/>
    <s v="Kitchen"/>
    <s v="Pantry Cabinet"/>
    <x v="11"/>
    <x v="3"/>
    <x v="0"/>
    <x v="0"/>
    <x v="0"/>
    <n v="4432"/>
    <n v="1794.94"/>
    <n v="83.11"/>
    <n v="46.93"/>
    <n v="1924.98"/>
    <n v="5"/>
    <n v="4.9000000000000004"/>
  </r>
  <r>
    <n v="97841"/>
    <s v="Kitchen"/>
    <s v="Pantry Cabinet"/>
    <x v="5"/>
    <x v="4"/>
    <x v="0"/>
    <x v="0"/>
    <x v="2"/>
    <n v="5374"/>
    <n v="1060.51"/>
    <n v="93.64"/>
    <n v="284.93"/>
    <n v="1439.08"/>
    <n v="4"/>
    <n v="3.8"/>
  </r>
  <r>
    <n v="99593"/>
    <s v="Kitchen"/>
    <s v="Bar Cart"/>
    <x v="9"/>
    <x v="2"/>
    <x v="1"/>
    <x v="1"/>
    <x v="3"/>
    <n v="2169"/>
    <n v="1101.29"/>
    <n v="0"/>
    <n v="0"/>
    <n v="1101.29"/>
    <n v="10"/>
    <n v="4.4000000000000004"/>
  </r>
  <r>
    <n v="89840"/>
    <s v="Dining Room"/>
    <s v="Buffet"/>
    <x v="0"/>
    <x v="4"/>
    <x v="0"/>
    <x v="0"/>
    <x v="6"/>
    <n v="3803"/>
    <n v="719.75"/>
    <n v="105.44"/>
    <n v="249.74"/>
    <n v="1074.93"/>
    <n v="7"/>
    <n v="4.5999999999999996"/>
  </r>
  <r>
    <n v="80010"/>
    <s v="Office"/>
    <s v="Computer Table"/>
    <x v="7"/>
    <x v="0"/>
    <x v="0"/>
    <x v="1"/>
    <x v="2"/>
    <n v="5010"/>
    <n v="1263.8900000000001"/>
    <n v="71.02"/>
    <n v="0"/>
    <n v="1334.91"/>
    <n v="8"/>
    <n v="3.7"/>
  </r>
  <r>
    <n v="31417"/>
    <s v="Outdoor"/>
    <s v="Garden Chair"/>
    <x v="6"/>
    <x v="2"/>
    <x v="1"/>
    <x v="1"/>
    <x v="5"/>
    <n v="8573"/>
    <n v="1237.0999999999999"/>
    <n v="0"/>
    <n v="0"/>
    <n v="1237.0999999999999"/>
    <n v="2"/>
    <n v="4"/>
  </r>
  <r>
    <n v="59735"/>
    <s v="Bedroom"/>
    <s v="Mattress"/>
    <x v="3"/>
    <x v="1"/>
    <x v="0"/>
    <x v="1"/>
    <x v="3"/>
    <n v="5422"/>
    <n v="219.61"/>
    <n v="43.36"/>
    <n v="0"/>
    <n v="262.97000000000003"/>
    <n v="10"/>
    <n v="1.3"/>
  </r>
  <r>
    <n v="93886"/>
    <s v="Bedroom"/>
    <s v="Chest of Drawers"/>
    <x v="7"/>
    <x v="0"/>
    <x v="0"/>
    <x v="0"/>
    <x v="0"/>
    <n v="4598"/>
    <n v="2134.61"/>
    <n v="74.400000000000006"/>
    <n v="44.46"/>
    <n v="2253.4699999999998"/>
    <n v="4"/>
    <n v="4.8"/>
  </r>
  <r>
    <n v="99733"/>
    <s v="Kitchen"/>
    <s v="Bar Cart"/>
    <x v="10"/>
    <x v="4"/>
    <x v="0"/>
    <x v="0"/>
    <x v="2"/>
    <n v="6313"/>
    <n v="2318.4299999999998"/>
    <n v="0"/>
    <n v="250.14"/>
    <n v="2568.5700000000002"/>
    <n v="9"/>
    <n v="4.8"/>
  </r>
  <r>
    <n v="17331"/>
    <s v="Outdoor"/>
    <s v="Umbrella"/>
    <x v="7"/>
    <x v="0"/>
    <x v="0"/>
    <x v="0"/>
    <x v="4"/>
    <n v="4752"/>
    <n v="854.12"/>
    <n v="94.59"/>
    <n v="217.51"/>
    <n v="1166.22"/>
    <n v="13"/>
    <n v="3.6"/>
  </r>
  <r>
    <n v="14207"/>
    <s v="Bedroom"/>
    <s v="Dresser"/>
    <x v="1"/>
    <x v="5"/>
    <x v="0"/>
    <x v="1"/>
    <x v="1"/>
    <n v="6168"/>
    <n v="1403.64"/>
    <n v="73.45"/>
    <n v="0"/>
    <n v="1477.09"/>
    <n v="6"/>
    <n v="1.3"/>
  </r>
  <r>
    <n v="62581"/>
    <s v="Outdoor"/>
    <s v="Garden Chair"/>
    <x v="4"/>
    <x v="0"/>
    <x v="0"/>
    <x v="1"/>
    <x v="1"/>
    <n v="5386"/>
    <n v="1315.59"/>
    <n v="0"/>
    <n v="0"/>
    <n v="1315.59"/>
    <n v="6"/>
    <n v="2.7"/>
  </r>
  <r>
    <n v="18675"/>
    <s v="Kitchen"/>
    <s v="Kitchen Island"/>
    <x v="3"/>
    <x v="4"/>
    <x v="0"/>
    <x v="0"/>
    <x v="4"/>
    <n v="4456"/>
    <n v="2184.81"/>
    <n v="88.04"/>
    <n v="129.86000000000001"/>
    <n v="2402.71"/>
    <n v="7"/>
    <n v="4.8"/>
  </r>
  <r>
    <n v="84341"/>
    <s v="Outdoor"/>
    <s v="Umbrella"/>
    <x v="6"/>
    <x v="1"/>
    <x v="0"/>
    <x v="1"/>
    <x v="2"/>
    <n v="6155"/>
    <n v="1469.78"/>
    <n v="98.82"/>
    <n v="0"/>
    <n v="1568.6"/>
    <n v="7"/>
    <n v="2.6"/>
  </r>
  <r>
    <n v="37869"/>
    <s v="Office"/>
    <s v="Desk"/>
    <x v="6"/>
    <x v="0"/>
    <x v="0"/>
    <x v="0"/>
    <x v="5"/>
    <n v="9179"/>
    <n v="1273.52"/>
    <n v="148.07"/>
    <n v="238.78"/>
    <n v="1660.37"/>
    <n v="11"/>
    <m/>
  </r>
  <r>
    <n v="61856"/>
    <s v="Office"/>
    <s v="Desk"/>
    <x v="3"/>
    <x v="2"/>
    <x v="1"/>
    <x v="0"/>
    <x v="2"/>
    <n v="8517"/>
    <n v="151.4"/>
    <n v="53.43"/>
    <m/>
    <n v="403.86"/>
    <n v="13"/>
    <n v="2.1"/>
  </r>
  <r>
    <n v="28726"/>
    <s v="Living Room"/>
    <s v="Armchair"/>
    <x v="6"/>
    <x v="3"/>
    <x v="0"/>
    <x v="1"/>
    <x v="2"/>
    <n v="5339"/>
    <n v="244.58"/>
    <n v="65.459999999999994"/>
    <n v="0"/>
    <n v="310.04000000000002"/>
    <n v="4"/>
    <n v="4.0999999999999996"/>
  </r>
  <r>
    <n v="28301"/>
    <s v="Living Room"/>
    <s v="Coffee Table"/>
    <x v="4"/>
    <x v="0"/>
    <x v="0"/>
    <x v="0"/>
    <x v="4"/>
    <n v="5040"/>
    <n v="658.53"/>
    <n v="0"/>
    <n v="56.31"/>
    <n v="714.84"/>
    <n v="11"/>
    <m/>
  </r>
  <r>
    <n v="83579"/>
    <s v="Dining Room"/>
    <s v="Bar Stool"/>
    <x v="0"/>
    <x v="1"/>
    <x v="0"/>
    <x v="0"/>
    <x v="1"/>
    <n v="9830"/>
    <n v="418.8"/>
    <n v="70.540000000000006"/>
    <n v="98.24"/>
    <n v="587.58000000000004"/>
    <n v="2"/>
    <n v="4.7"/>
  </r>
  <r>
    <n v="44438"/>
    <s v="Office"/>
    <s v="Desk"/>
    <x v="2"/>
    <x v="4"/>
    <x v="0"/>
    <x v="0"/>
    <x v="2"/>
    <n v="8019"/>
    <n v="187.91"/>
    <n v="76.8"/>
    <n v="42.43"/>
    <n v="307.14"/>
    <n v="5"/>
    <n v="3.4"/>
  </r>
  <r>
    <n v="86484"/>
    <s v="Living Room"/>
    <s v="TV Stand"/>
    <x v="2"/>
    <x v="0"/>
    <x v="0"/>
    <x v="1"/>
    <x v="6"/>
    <n v="7543"/>
    <n v="1425.31"/>
    <n v="56.9"/>
    <n v="0"/>
    <n v="1482.21"/>
    <n v="1"/>
    <n v="4.3"/>
  </r>
  <r>
    <n v="57447"/>
    <s v="Outdoor"/>
    <s v="Lounge Chair"/>
    <x v="10"/>
    <x v="0"/>
    <x v="0"/>
    <x v="1"/>
    <x v="1"/>
    <n v="4593"/>
    <n v="1317.06"/>
    <n v="123.38"/>
    <n v="0"/>
    <n v="1440.44"/>
    <n v="10"/>
    <n v="3.2"/>
  </r>
  <r>
    <n v="28131"/>
    <s v="Outdoor"/>
    <s v="Umbrella"/>
    <x v="6"/>
    <x v="0"/>
    <x v="0"/>
    <x v="0"/>
    <x v="6"/>
    <n v="9348"/>
    <n v="592.85"/>
    <n v="133.07"/>
    <n v="188.16"/>
    <n v="914.08"/>
    <n v="4"/>
    <n v="3.3"/>
  </r>
  <r>
    <n v="74686"/>
    <s v="Living Room"/>
    <s v="Armchair"/>
    <x v="11"/>
    <x v="4"/>
    <x v="0"/>
    <x v="0"/>
    <x v="0"/>
    <n v="2489"/>
    <n v="2157.19"/>
    <n v="0"/>
    <n v="179.78"/>
    <n v="2336.9699999999998"/>
    <n v="6"/>
    <n v="3.4"/>
  </r>
  <r>
    <n v="16175"/>
    <s v="Kitchen"/>
    <s v="Bar Cart"/>
    <x v="6"/>
    <x v="1"/>
    <x v="0"/>
    <x v="1"/>
    <x v="1"/>
    <n v="2796"/>
    <n v="488.35"/>
    <n v="79.010000000000005"/>
    <n v="0"/>
    <n v="567.36"/>
    <n v="9"/>
    <n v="3.8"/>
  </r>
  <r>
    <n v="30033"/>
    <s v="Office"/>
    <s v="Office Chair"/>
    <x v="3"/>
    <x v="1"/>
    <x v="0"/>
    <x v="0"/>
    <x v="3"/>
    <n v="3621"/>
    <n v="212.14"/>
    <n v="41.62"/>
    <n v="166.4"/>
    <n v="420.16"/>
    <n v="6"/>
    <n v="3.1"/>
  </r>
  <r>
    <n v="99192"/>
    <s v="Dining Room"/>
    <s v="Bar Stool"/>
    <x v="4"/>
    <x v="2"/>
    <x v="1"/>
    <x v="1"/>
    <x v="0"/>
    <n v="7916"/>
    <n v="1435.42"/>
    <n v="0"/>
    <n v="0"/>
    <n v="1435.42"/>
    <n v="4"/>
    <m/>
  </r>
  <r>
    <n v="88172"/>
    <s v="Outdoor"/>
    <s v="Umbrella"/>
    <x v="7"/>
    <x v="4"/>
    <x v="0"/>
    <x v="1"/>
    <x v="6"/>
    <n v="2040"/>
    <n v="1718.95"/>
    <n v="69.150000000000006"/>
    <n v="0"/>
    <n v="1788.1"/>
    <n v="5"/>
    <n v="4.9000000000000004"/>
  </r>
  <r>
    <n v="60432"/>
    <s v="Living Room"/>
    <s v="Coffee Table"/>
    <x v="1"/>
    <x v="1"/>
    <x v="0"/>
    <x v="0"/>
    <x v="2"/>
    <n v="7252"/>
    <n v="881.37"/>
    <n v="80.23"/>
    <n v="104.55"/>
    <n v="1066.1500000000001"/>
    <n v="1"/>
    <n v="3.8"/>
  </r>
  <r>
    <n v="88104"/>
    <s v="Office"/>
    <s v="Office Chair"/>
    <x v="10"/>
    <x v="3"/>
    <x v="0"/>
    <x v="1"/>
    <x v="2"/>
    <n v="8668"/>
    <n v="1319.26"/>
    <n v="96.94"/>
    <n v="0"/>
    <n v="1416.2"/>
    <n v="6"/>
    <n v="1.2"/>
  </r>
  <r>
    <n v="79352"/>
    <s v="Living Room"/>
    <s v="Armchair"/>
    <x v="12"/>
    <x v="3"/>
    <x v="0"/>
    <x v="0"/>
    <x v="3"/>
    <n v="5119"/>
    <n v="1331.02"/>
    <n v="118.65"/>
    <n v="90.56"/>
    <n v="1540.23"/>
    <n v="5"/>
    <m/>
  </r>
  <r>
    <n v="82512"/>
    <s v="Office"/>
    <s v="Computer Table"/>
    <x v="0"/>
    <x v="0"/>
    <x v="0"/>
    <x v="1"/>
    <x v="6"/>
    <n v="1188"/>
    <n v="926.5"/>
    <n v="127.57"/>
    <n v="0"/>
    <n v="1054.07"/>
    <n v="8"/>
    <n v="2.2000000000000002"/>
  </r>
  <r>
    <n v="99166"/>
    <s v="Kitchen"/>
    <s v="Kitchen Island"/>
    <x v="2"/>
    <x v="5"/>
    <x v="0"/>
    <x v="0"/>
    <x v="0"/>
    <n v="2876"/>
    <n v="1641.19"/>
    <n v="144.76"/>
    <n v="63.23"/>
    <n v="1849.18"/>
    <n v="2"/>
    <n v="1.7"/>
  </r>
  <r>
    <n v="99353"/>
    <s v="Office"/>
    <s v="Filing Cabinet"/>
    <x v="2"/>
    <x v="1"/>
    <x v="0"/>
    <x v="1"/>
    <x v="5"/>
    <n v="9797"/>
    <n v="1058.9100000000001"/>
    <n v="53.26"/>
    <n v="0"/>
    <n v="1112.17"/>
    <n v="12"/>
    <n v="4.4000000000000004"/>
  </r>
  <r>
    <n v="44973"/>
    <s v="Dining Room"/>
    <s v="China Cabinet"/>
    <x v="5"/>
    <x v="5"/>
    <x v="0"/>
    <x v="0"/>
    <x v="2"/>
    <n v="6573"/>
    <n v="1356.25"/>
    <n v="92.51"/>
    <n v="95.42"/>
    <n v="1544.18"/>
    <n v="14"/>
    <m/>
  </r>
  <r>
    <n v="24621"/>
    <s v="Dining Room"/>
    <s v="China Cabinet"/>
    <x v="12"/>
    <x v="0"/>
    <x v="0"/>
    <x v="0"/>
    <x v="1"/>
    <n v="5808"/>
    <n v="1523.02"/>
    <n v="78.86"/>
    <n v="253.3"/>
    <n v="1855.18"/>
    <n v="12"/>
    <n v="2.1"/>
  </r>
  <r>
    <n v="66985"/>
    <s v="Living Room"/>
    <s v="Ottoman"/>
    <x v="6"/>
    <x v="4"/>
    <x v="0"/>
    <x v="1"/>
    <x v="3"/>
    <n v="3591"/>
    <n v="291.68"/>
    <n v="57.4"/>
    <n v="0"/>
    <n v="349.08"/>
    <n v="10"/>
    <n v="1.4"/>
  </r>
  <r>
    <n v="69470"/>
    <s v="Living Room"/>
    <s v="Side Table"/>
    <x v="0"/>
    <x v="0"/>
    <x v="0"/>
    <x v="0"/>
    <x v="4"/>
    <n v="1053"/>
    <n v="2089.27"/>
    <n v="126.31"/>
    <n v="227.84"/>
    <n v="2443.42"/>
    <n v="8"/>
    <n v="1.7"/>
  </r>
  <r>
    <n v="44522"/>
    <s v="Office"/>
    <s v="Office Chair"/>
    <x v="3"/>
    <x v="4"/>
    <x v="0"/>
    <x v="0"/>
    <x v="0"/>
    <n v="9201"/>
    <n v="747.41"/>
    <n v="82.11"/>
    <n v="66.489999999999995"/>
    <n v="896.01"/>
    <n v="12"/>
    <n v="3.7"/>
  </r>
  <r>
    <n v="33416"/>
    <s v="Office"/>
    <s v="Office Chair"/>
    <x v="6"/>
    <x v="4"/>
    <x v="0"/>
    <x v="1"/>
    <x v="1"/>
    <n v="9317"/>
    <n v="526.61"/>
    <n v="147.02000000000001"/>
    <n v="0"/>
    <n v="673.63"/>
    <n v="14"/>
    <n v="5"/>
  </r>
  <r>
    <n v="23947"/>
    <s v="Office"/>
    <s v="Office Chair"/>
    <x v="11"/>
    <x v="4"/>
    <x v="0"/>
    <x v="1"/>
    <x v="5"/>
    <n v="5889"/>
    <n v="346.37"/>
    <n v="52.13"/>
    <n v="0"/>
    <n v="398.5"/>
    <n v="11"/>
    <n v="1.2"/>
  </r>
  <r>
    <n v="93748"/>
    <s v="Dining Room"/>
    <s v="Buffet"/>
    <x v="2"/>
    <x v="0"/>
    <x v="0"/>
    <x v="0"/>
    <x v="0"/>
    <n v="9317"/>
    <n v="1773.61"/>
    <n v="52.89"/>
    <n v="65.540000000000006"/>
    <n v="1892.04"/>
    <n v="1"/>
    <n v="1.4"/>
  </r>
  <r>
    <n v="89818"/>
    <s v="Outdoor"/>
    <s v="Garden Chair"/>
    <x v="4"/>
    <x v="0"/>
    <x v="0"/>
    <x v="1"/>
    <x v="3"/>
    <n v="4258"/>
    <n v="972.32"/>
    <n v="100.89"/>
    <n v="0"/>
    <n v="1073.21"/>
    <n v="7"/>
    <n v="4.9000000000000004"/>
  </r>
  <r>
    <n v="30032"/>
    <s v="Bedroom"/>
    <s v="Nightstand"/>
    <x v="7"/>
    <x v="2"/>
    <x v="1"/>
    <x v="0"/>
    <x v="2"/>
    <n v="7126"/>
    <n v="693.24"/>
    <n v="124.63"/>
    <n v="31.91"/>
    <n v="849.78"/>
    <n v="13"/>
    <n v="2.4"/>
  </r>
  <r>
    <n v="31174"/>
    <s v="Living Room"/>
    <s v="TV Stand"/>
    <x v="7"/>
    <x v="0"/>
    <x v="0"/>
    <x v="1"/>
    <x v="6"/>
    <n v="9837"/>
    <n v="1869.92"/>
    <m/>
    <m/>
    <n v="1977.91"/>
    <n v="14"/>
    <m/>
  </r>
  <r>
    <n v="79514"/>
    <s v="Dining Room"/>
    <s v="China Cabinet"/>
    <x v="8"/>
    <x v="1"/>
    <x v="0"/>
    <x v="0"/>
    <x v="1"/>
    <n v="1009"/>
    <n v="1549.46"/>
    <n v="143.29"/>
    <n v="78.59"/>
    <n v="1771.34"/>
    <n v="4"/>
    <n v="2.6"/>
  </r>
  <r>
    <n v="88504"/>
    <s v="Outdoor"/>
    <s v="Lounge Chair"/>
    <x v="2"/>
    <x v="0"/>
    <x v="0"/>
    <x v="0"/>
    <x v="0"/>
    <n v="6310"/>
    <n v="787.03"/>
    <n v="132.07"/>
    <n v="294.72000000000003"/>
    <n v="1213.82"/>
    <n v="3"/>
    <n v="3.4"/>
  </r>
  <r>
    <n v="74042"/>
    <s v="Kitchen"/>
    <s v="Pantry Cabinet"/>
    <x v="6"/>
    <x v="3"/>
    <x v="0"/>
    <x v="0"/>
    <x v="2"/>
    <n v="1319"/>
    <n v="333.76"/>
    <n v="35.81"/>
    <n v="36.74"/>
    <n v="406.31"/>
    <n v="5"/>
    <n v="3.8"/>
  </r>
  <r>
    <n v="24662"/>
    <s v="Dining Room"/>
    <s v="China Cabinet"/>
    <x v="4"/>
    <x v="1"/>
    <x v="0"/>
    <x v="1"/>
    <x v="4"/>
    <n v="6947"/>
    <n v="822.02"/>
    <n v="121.87"/>
    <n v="0"/>
    <n v="943.89"/>
    <n v="14"/>
    <n v="3.5"/>
  </r>
  <r>
    <n v="50306"/>
    <s v="Dining Room"/>
    <s v="Dining Chair"/>
    <x v="5"/>
    <x v="2"/>
    <x v="1"/>
    <x v="0"/>
    <x v="6"/>
    <n v="4923"/>
    <n v="1518.86"/>
    <n v="59.84"/>
    <n v="174.95"/>
    <n v="1753.65"/>
    <n v="5"/>
    <n v="1.2"/>
  </r>
  <r>
    <n v="17592"/>
    <s v="Dining Room"/>
    <s v="Buffet"/>
    <x v="4"/>
    <x v="0"/>
    <x v="0"/>
    <x v="0"/>
    <x v="3"/>
    <n v="4946"/>
    <n v="376.58"/>
    <n v="64.84"/>
    <n v="58.75"/>
    <n v="500.17"/>
    <n v="10"/>
    <n v="3.5"/>
  </r>
  <r>
    <n v="84364"/>
    <s v="Bedroom"/>
    <s v="Mattress"/>
    <x v="10"/>
    <x v="2"/>
    <x v="1"/>
    <x v="1"/>
    <x v="4"/>
    <n v="2290"/>
    <n v="1464.28"/>
    <n v="0"/>
    <n v="0"/>
    <n v="1464.28"/>
    <n v="11"/>
    <m/>
  </r>
  <r>
    <n v="21226"/>
    <s v="Kitchen"/>
    <s v="Bar Cart"/>
    <x v="10"/>
    <x v="2"/>
    <x v="1"/>
    <x v="1"/>
    <x v="5"/>
    <n v="8962"/>
    <n v="462.5"/>
    <n v="95.89"/>
    <n v="0"/>
    <n v="558.39"/>
    <n v="11"/>
    <n v="3.8"/>
  </r>
  <r>
    <n v="19071"/>
    <s v="Office"/>
    <s v="Filing Cabinet"/>
    <x v="5"/>
    <x v="1"/>
    <x v="0"/>
    <x v="1"/>
    <x v="1"/>
    <n v="9727"/>
    <n v="231.45"/>
    <n v="53.6"/>
    <n v="0"/>
    <n v="285.05"/>
    <n v="10"/>
    <n v="3.8"/>
  </r>
  <r>
    <n v="26483"/>
    <s v="Dining Room"/>
    <s v="Dining Table"/>
    <x v="8"/>
    <x v="5"/>
    <x v="0"/>
    <x v="0"/>
    <x v="4"/>
    <n v="3103"/>
    <n v="1175.27"/>
    <n v="124.47"/>
    <n v="274.93"/>
    <n v="1574.67"/>
    <n v="5"/>
    <n v="1.9"/>
  </r>
  <r>
    <n v="96474"/>
    <s v="Bedroom"/>
    <s v="Wardrobe"/>
    <x v="10"/>
    <x v="3"/>
    <x v="0"/>
    <x v="0"/>
    <x v="3"/>
    <n v="8787"/>
    <n v="864.29"/>
    <n v="126.75"/>
    <n v="47.59"/>
    <n v="1038.6300000000001"/>
    <n v="11"/>
    <m/>
  </r>
  <r>
    <n v="82063"/>
    <s v="Dining Room"/>
    <s v="Dining Chair"/>
    <x v="8"/>
    <x v="4"/>
    <x v="0"/>
    <x v="1"/>
    <x v="3"/>
    <n v="3705"/>
    <n v="271.25"/>
    <n v="47.13"/>
    <n v="0"/>
    <n v="318.38"/>
    <n v="3"/>
    <n v="4.0999999999999996"/>
  </r>
  <r>
    <n v="44741"/>
    <s v="Dining Room"/>
    <s v="Dining Chair"/>
    <x v="10"/>
    <x v="3"/>
    <x v="0"/>
    <x v="1"/>
    <x v="5"/>
    <n v="9645"/>
    <n v="588.24"/>
    <n v="98.18"/>
    <n v="0"/>
    <n v="686.42"/>
    <n v="12"/>
    <n v="4.2"/>
  </r>
  <r>
    <n v="89507"/>
    <s v="Bedroom"/>
    <s v="Chest of Drawers"/>
    <x v="7"/>
    <x v="3"/>
    <x v="0"/>
    <x v="1"/>
    <x v="1"/>
    <n v="7932"/>
    <n v="2214.02"/>
    <n v="146.72999999999999"/>
    <n v="0"/>
    <n v="2360.75"/>
    <n v="2"/>
    <n v="1.1000000000000001"/>
  </r>
  <r>
    <n v="37760"/>
    <s v="Dining Room"/>
    <s v="Bar Stool"/>
    <x v="0"/>
    <x v="5"/>
    <x v="0"/>
    <x v="0"/>
    <x v="4"/>
    <n v="9835"/>
    <n v="1210.6600000000001"/>
    <n v="144.03"/>
    <n v="73.569999999999993"/>
    <n v="1428.26"/>
    <n v="10"/>
    <n v="3.2"/>
  </r>
  <r>
    <n v="36365"/>
    <s v="Living Room"/>
    <s v="Side Table"/>
    <x v="5"/>
    <x v="2"/>
    <x v="1"/>
    <x v="1"/>
    <x v="1"/>
    <n v="6107"/>
    <n v="2094.87"/>
    <n v="80.22"/>
    <n v="0"/>
    <n v="2175.09"/>
    <n v="2"/>
    <m/>
  </r>
  <r>
    <n v="62296"/>
    <s v="Living Room"/>
    <s v="Sofa"/>
    <x v="7"/>
    <x v="0"/>
    <x v="0"/>
    <x v="1"/>
    <x v="3"/>
    <n v="7118"/>
    <n v="740.04"/>
    <n v="88.86"/>
    <n v="0"/>
    <n v="828.9"/>
    <n v="11"/>
    <n v="3.8"/>
  </r>
  <r>
    <n v="67422"/>
    <s v="Outdoor"/>
    <s v="Garden Chair"/>
    <x v="8"/>
    <x v="5"/>
    <x v="0"/>
    <x v="1"/>
    <x v="1"/>
    <n v="9479"/>
    <n v="1610.93"/>
    <n v="133.37"/>
    <n v="0"/>
    <n v="1744.3"/>
    <n v="5"/>
    <m/>
  </r>
  <r>
    <n v="69177"/>
    <s v="Office"/>
    <s v="Desk"/>
    <x v="5"/>
    <x v="0"/>
    <x v="0"/>
    <x v="1"/>
    <x v="6"/>
    <n v="2982"/>
    <n v="1294.74"/>
    <n v="0"/>
    <n v="0"/>
    <n v="1294.74"/>
    <n v="9"/>
    <n v="3.6"/>
  </r>
  <r>
    <n v="42493"/>
    <s v="Bedroom"/>
    <s v="Bed Frame"/>
    <x v="12"/>
    <x v="5"/>
    <x v="0"/>
    <x v="0"/>
    <x v="0"/>
    <n v="4681"/>
    <n v="2854.68"/>
    <n v="59.17"/>
    <n v="26.26"/>
    <n v="2940.11"/>
    <n v="6"/>
    <n v="1.5"/>
  </r>
  <r>
    <n v="18392"/>
    <s v="Kitchen"/>
    <s v="Bar Cart"/>
    <x v="1"/>
    <x v="3"/>
    <x v="0"/>
    <x v="0"/>
    <x v="4"/>
    <n v="6539"/>
    <n v="1590.04"/>
    <n v="73.3"/>
    <n v="31.93"/>
    <n v="1695.27"/>
    <n v="3"/>
    <n v="3.2"/>
  </r>
  <r>
    <n v="12757"/>
    <s v="Living Room"/>
    <s v="Coffee Table"/>
    <x v="9"/>
    <x v="0"/>
    <x v="0"/>
    <x v="0"/>
    <x v="3"/>
    <n v="4770"/>
    <n v="234.18"/>
    <n v="84.25"/>
    <m/>
    <n v="420.01"/>
    <n v="5"/>
    <m/>
  </r>
  <r>
    <n v="87128"/>
    <s v="Living Room"/>
    <s v="Side Table"/>
    <x v="4"/>
    <x v="4"/>
    <x v="0"/>
    <x v="1"/>
    <x v="0"/>
    <n v="4608"/>
    <n v="346.18"/>
    <n v="58.62"/>
    <n v="0"/>
    <n v="404.8"/>
    <n v="9"/>
    <n v="2.8"/>
  </r>
  <r>
    <n v="10942"/>
    <s v="Outdoor"/>
    <s v="Umbrella"/>
    <x v="10"/>
    <x v="1"/>
    <x v="0"/>
    <x v="1"/>
    <x v="1"/>
    <n v="2163"/>
    <n v="647.69000000000005"/>
    <n v="53.12"/>
    <n v="0"/>
    <n v="700.81"/>
    <n v="14"/>
    <n v="3.7"/>
  </r>
  <r>
    <n v="92719"/>
    <s v="Living Room"/>
    <s v="Sofa"/>
    <x v="0"/>
    <x v="4"/>
    <x v="0"/>
    <x v="0"/>
    <x v="6"/>
    <n v="1964"/>
    <n v="940.86"/>
    <n v="0"/>
    <n v="162.43"/>
    <n v="1103.29"/>
    <n v="10"/>
    <n v="2.2999999999999998"/>
  </r>
  <r>
    <n v="40007"/>
    <s v="Office"/>
    <s v="Computer Table"/>
    <x v="3"/>
    <x v="0"/>
    <x v="0"/>
    <x v="0"/>
    <x v="4"/>
    <n v="2104"/>
    <n v="939.71"/>
    <n v="0"/>
    <n v="71.5"/>
    <n v="1011.21"/>
    <n v="4"/>
    <n v="4.3"/>
  </r>
  <r>
    <n v="14117"/>
    <s v="Living Room"/>
    <s v="TV Stand"/>
    <x v="3"/>
    <x v="3"/>
    <x v="0"/>
    <x v="0"/>
    <x v="4"/>
    <n v="6413"/>
    <n v="1181.56"/>
    <n v="87.43"/>
    <n v="160.07"/>
    <n v="1429.06"/>
    <n v="14"/>
    <m/>
  </r>
  <r>
    <n v="19287"/>
    <s v="Outdoor"/>
    <s v="Outdoor Table"/>
    <x v="8"/>
    <x v="1"/>
    <x v="0"/>
    <x v="1"/>
    <x v="2"/>
    <n v="9423"/>
    <n v="1489.42"/>
    <n v="108.65"/>
    <n v="0"/>
    <n v="1598.07"/>
    <n v="11"/>
    <m/>
  </r>
  <r>
    <n v="41195"/>
    <s v="Office"/>
    <s v="Office Chair"/>
    <x v="7"/>
    <x v="2"/>
    <x v="1"/>
    <x v="0"/>
    <x v="0"/>
    <n v="5562"/>
    <n v="1455.13"/>
    <n v="85.16"/>
    <n v="82.84"/>
    <n v="1623.13"/>
    <n v="4"/>
    <n v="2.4"/>
  </r>
  <r>
    <n v="97684"/>
    <s v="Dining Room"/>
    <s v="China Cabinet"/>
    <x v="8"/>
    <x v="2"/>
    <x v="1"/>
    <x v="0"/>
    <x v="0"/>
    <n v="8953"/>
    <n v="529.70000000000005"/>
    <n v="106.1"/>
    <n v="102.9"/>
    <n v="738.7"/>
    <n v="5"/>
    <n v="2.2000000000000002"/>
  </r>
  <r>
    <n v="38080"/>
    <s v="Bedroom"/>
    <s v="Mattress"/>
    <x v="1"/>
    <x v="2"/>
    <x v="1"/>
    <x v="0"/>
    <x v="6"/>
    <n v="9834"/>
    <n v="1764.02"/>
    <n v="64.19"/>
    <n v="43.65"/>
    <n v="1871.86"/>
    <n v="4"/>
    <n v="2.8"/>
  </r>
  <r>
    <n v="27342"/>
    <s v="Outdoor"/>
    <s v="Outdoor Table"/>
    <x v="12"/>
    <x v="2"/>
    <x v="1"/>
    <x v="0"/>
    <x v="1"/>
    <n v="8744"/>
    <n v="1431.78"/>
    <n v="58.5"/>
    <n v="57.87"/>
    <n v="1548.15"/>
    <n v="10"/>
    <m/>
  </r>
  <r>
    <n v="41850"/>
    <s v="Outdoor"/>
    <s v="Lounge Chair"/>
    <x v="7"/>
    <x v="1"/>
    <x v="0"/>
    <x v="0"/>
    <x v="6"/>
    <n v="8749"/>
    <n v="951.34"/>
    <n v="77.319999999999993"/>
    <n v="142.99"/>
    <n v="1171.6500000000001"/>
    <n v="5"/>
    <n v="3.4"/>
  </r>
  <r>
    <n v="63354"/>
    <s v="Living Room"/>
    <s v="Coffee Table"/>
    <x v="11"/>
    <x v="2"/>
    <x v="1"/>
    <x v="1"/>
    <x v="0"/>
    <n v="4119"/>
    <n v="1109.1099999999999"/>
    <n v="50.77"/>
    <n v="0"/>
    <n v="1159.8800000000001"/>
    <n v="4"/>
    <n v="4.0999999999999996"/>
  </r>
  <r>
    <n v="22363"/>
    <s v="Living Room"/>
    <s v="Armchair"/>
    <x v="6"/>
    <x v="2"/>
    <x v="1"/>
    <x v="1"/>
    <x v="0"/>
    <n v="2588"/>
    <n v="1918.13"/>
    <n v="0"/>
    <n v="0"/>
    <n v="1918.13"/>
    <n v="9"/>
    <n v="3"/>
  </r>
  <r>
    <n v="96374"/>
    <s v="Office"/>
    <s v="Office Chair"/>
    <x v="6"/>
    <x v="0"/>
    <x v="0"/>
    <x v="1"/>
    <x v="6"/>
    <n v="8062"/>
    <n v="699.43"/>
    <n v="57.79"/>
    <n v="0"/>
    <n v="757.22"/>
    <n v="10"/>
    <n v="2.6"/>
  </r>
  <r>
    <n v="56438"/>
    <s v="Living Room"/>
    <s v="Armchair"/>
    <x v="3"/>
    <x v="3"/>
    <x v="0"/>
    <x v="1"/>
    <x v="5"/>
    <n v="7939"/>
    <n v="247.97"/>
    <n v="49.36"/>
    <m/>
    <n v="297.33"/>
    <n v="14"/>
    <n v="2.4"/>
  </r>
  <r>
    <n v="63883"/>
    <s v="Office"/>
    <s v="Computer Table"/>
    <x v="1"/>
    <x v="3"/>
    <x v="0"/>
    <x v="1"/>
    <x v="3"/>
    <n v="8651"/>
    <n v="648.64"/>
    <n v="0"/>
    <n v="0"/>
    <n v="648.64"/>
    <n v="12"/>
    <n v="2.2999999999999998"/>
  </r>
  <r>
    <n v="17100"/>
    <s v="Outdoor"/>
    <s v="Patio Set"/>
    <x v="1"/>
    <x v="5"/>
    <x v="0"/>
    <x v="1"/>
    <x v="0"/>
    <n v="2612"/>
    <n v="1025.5"/>
    <n v="0"/>
    <n v="0"/>
    <n v="1025.5"/>
    <n v="6"/>
    <n v="4.3"/>
  </r>
  <r>
    <n v="17944"/>
    <s v="Bedroom"/>
    <s v="Dresser"/>
    <x v="0"/>
    <x v="0"/>
    <x v="0"/>
    <x v="0"/>
    <x v="4"/>
    <n v="7596"/>
    <n v="712.22"/>
    <n v="126.02"/>
    <n v="97.56"/>
    <n v="935.8"/>
    <n v="11"/>
    <n v="4"/>
  </r>
  <r>
    <n v="54473"/>
    <s v="Kitchen"/>
    <s v="Kitchen Cabinet"/>
    <x v="12"/>
    <x v="4"/>
    <x v="0"/>
    <x v="0"/>
    <x v="0"/>
    <n v="2790"/>
    <n v="2201.34"/>
    <n v="65.099999999999994"/>
    <n v="216.33"/>
    <n v="2482.77"/>
    <n v="5"/>
    <n v="3.4"/>
  </r>
  <r>
    <n v="42591"/>
    <s v="Dining Room"/>
    <s v="Buffet"/>
    <x v="2"/>
    <x v="4"/>
    <x v="0"/>
    <x v="1"/>
    <x v="3"/>
    <n v="4139"/>
    <n v="958.64"/>
    <n v="0"/>
    <n v="0"/>
    <n v="958.64"/>
    <n v="2"/>
    <n v="4.9000000000000004"/>
  </r>
  <r>
    <n v="34931"/>
    <s v="Kitchen"/>
    <s v="Pantry Cabinet"/>
    <x v="10"/>
    <x v="4"/>
    <x v="0"/>
    <x v="0"/>
    <x v="5"/>
    <n v="9786"/>
    <n v="1317.97"/>
    <n v="129.18"/>
    <n v="286.36"/>
    <n v="1733.51"/>
    <n v="10"/>
    <n v="2.2999999999999998"/>
  </r>
  <r>
    <n v="68800"/>
    <s v="Living Room"/>
    <s v="Armchair"/>
    <x v="6"/>
    <x v="5"/>
    <x v="0"/>
    <x v="1"/>
    <x v="0"/>
    <n v="3296"/>
    <n v="438.05"/>
    <n v="92.43"/>
    <n v="0"/>
    <n v="530.48"/>
    <n v="12"/>
    <m/>
  </r>
  <r>
    <n v="65296"/>
    <s v="Bedroom"/>
    <s v="Chest of Drawers"/>
    <x v="6"/>
    <x v="4"/>
    <x v="0"/>
    <x v="0"/>
    <x v="0"/>
    <n v="4006"/>
    <n v="1397.61"/>
    <n v="102.27"/>
    <n v="137.29"/>
    <n v="1637.17"/>
    <n v="5"/>
    <n v="4.0999999999999996"/>
  </r>
  <r>
    <n v="46509"/>
    <s v="Outdoor"/>
    <s v="Outdoor Table"/>
    <x v="0"/>
    <x v="5"/>
    <x v="0"/>
    <x v="1"/>
    <x v="6"/>
    <n v="8579"/>
    <n v="258.75"/>
    <n v="32.090000000000003"/>
    <n v="0"/>
    <n v="290.83999999999997"/>
    <n v="5"/>
    <n v="4.4000000000000004"/>
  </r>
  <r>
    <n v="42742"/>
    <s v="Living Room"/>
    <s v="Ottoman"/>
    <x v="11"/>
    <x v="4"/>
    <x v="0"/>
    <x v="1"/>
    <x v="1"/>
    <n v="2235"/>
    <n v="1726.31"/>
    <n v="81.02"/>
    <n v="0"/>
    <n v="1807.33"/>
    <n v="3"/>
    <n v="4.8"/>
  </r>
  <r>
    <n v="68082"/>
    <s v="Outdoor"/>
    <s v="Outdoor Table"/>
    <x v="4"/>
    <x v="2"/>
    <x v="1"/>
    <x v="0"/>
    <x v="2"/>
    <n v="2604"/>
    <n v="1491.75"/>
    <n v="132.9"/>
    <n v="226.27"/>
    <n v="1850.92"/>
    <n v="1"/>
    <n v="1.7"/>
  </r>
  <r>
    <n v="16630"/>
    <s v="Office"/>
    <s v="Desk"/>
    <x v="9"/>
    <x v="4"/>
    <x v="0"/>
    <x v="0"/>
    <x v="0"/>
    <n v="9856"/>
    <n v="401.69"/>
    <n v="35.32"/>
    <n v="184.44"/>
    <n v="621.45000000000005"/>
    <n v="2"/>
    <n v="3.2"/>
  </r>
  <r>
    <n v="11934"/>
    <s v="Outdoor"/>
    <s v="Outdoor Table"/>
    <x v="1"/>
    <x v="1"/>
    <x v="0"/>
    <x v="0"/>
    <x v="1"/>
    <n v="2528"/>
    <n v="1596.05"/>
    <n v="109.72"/>
    <n v="59.04"/>
    <n v="1764.81"/>
    <n v="12"/>
    <n v="4.2"/>
  </r>
  <r>
    <n v="40982"/>
    <s v="Living Room"/>
    <s v="Armchair"/>
    <x v="7"/>
    <x v="5"/>
    <x v="0"/>
    <x v="1"/>
    <x v="6"/>
    <n v="3724"/>
    <n v="1037.8900000000001"/>
    <n v="146.96"/>
    <m/>
    <n v="1184.8499999999999"/>
    <n v="13"/>
    <n v="2.8"/>
  </r>
  <r>
    <n v="63269"/>
    <s v="Office"/>
    <s v="Desk"/>
    <x v="7"/>
    <x v="0"/>
    <x v="0"/>
    <x v="1"/>
    <x v="5"/>
    <n v="8956"/>
    <n v="602.33000000000004"/>
    <n v="148.44"/>
    <n v="0"/>
    <n v="750.77"/>
    <n v="13"/>
    <n v="2.5"/>
  </r>
  <r>
    <n v="73092"/>
    <s v="Bedroom"/>
    <s v="Wardrobe"/>
    <x v="9"/>
    <x v="4"/>
    <x v="0"/>
    <x v="1"/>
    <x v="2"/>
    <n v="4502"/>
    <n v="544.44000000000005"/>
    <n v="0"/>
    <n v="0"/>
    <n v="544.44000000000005"/>
    <n v="14"/>
    <n v="4.7"/>
  </r>
  <r>
    <n v="62565"/>
    <s v="Living Room"/>
    <s v="TV Stand"/>
    <x v="3"/>
    <x v="3"/>
    <x v="0"/>
    <x v="1"/>
    <x v="5"/>
    <n v="1960"/>
    <n v="392.91"/>
    <n v="37.020000000000003"/>
    <n v="0"/>
    <n v="429.93"/>
    <n v="9"/>
    <m/>
  </r>
  <r>
    <n v="31579"/>
    <s v="Office"/>
    <s v="Bookshelf"/>
    <x v="4"/>
    <x v="3"/>
    <x v="0"/>
    <x v="1"/>
    <x v="6"/>
    <n v="7209"/>
    <n v="1401.27"/>
    <n v="89.65"/>
    <n v="0"/>
    <n v="1490.92"/>
    <n v="4"/>
    <n v="1.3"/>
  </r>
  <r>
    <n v="10282"/>
    <s v="Living Room"/>
    <s v="Side Table"/>
    <x v="12"/>
    <x v="0"/>
    <x v="0"/>
    <x v="1"/>
    <x v="1"/>
    <n v="7396"/>
    <n v="1694.91"/>
    <n v="63.76"/>
    <n v="0"/>
    <n v="1758.67"/>
    <n v="14"/>
    <n v="4.3"/>
  </r>
  <r>
    <n v="44760"/>
    <s v="Kitchen"/>
    <s v="Kitchen Island"/>
    <x v="11"/>
    <x v="5"/>
    <x v="0"/>
    <x v="0"/>
    <x v="6"/>
    <n v="8454"/>
    <n v="2292.89"/>
    <n v="0"/>
    <n v="77.44"/>
    <n v="2370.33"/>
    <n v="12"/>
    <n v="2.7"/>
  </r>
  <r>
    <n v="47388"/>
    <s v="Living Room"/>
    <s v="Sofa"/>
    <x v="7"/>
    <x v="4"/>
    <x v="0"/>
    <x v="0"/>
    <x v="5"/>
    <n v="7930"/>
    <n v="748.41"/>
    <n v="112.28"/>
    <n v="45.92"/>
    <n v="906.61"/>
    <n v="8"/>
    <n v="1.1000000000000001"/>
  </r>
  <r>
    <n v="82845"/>
    <s v="Outdoor"/>
    <s v="Garden Chair"/>
    <x v="6"/>
    <x v="3"/>
    <x v="0"/>
    <x v="1"/>
    <x v="3"/>
    <n v="8973"/>
    <n v="630.6"/>
    <n v="0"/>
    <n v="0"/>
    <n v="630.6"/>
    <n v="4"/>
    <n v="1.7"/>
  </r>
  <r>
    <n v="30289"/>
    <s v="Dining Room"/>
    <s v="Dining Table"/>
    <x v="11"/>
    <x v="1"/>
    <x v="0"/>
    <x v="0"/>
    <x v="0"/>
    <n v="4111"/>
    <n v="1911.47"/>
    <n v="128.63999999999999"/>
    <n v="281"/>
    <n v="2321.11"/>
    <n v="1"/>
    <n v="4.9000000000000004"/>
  </r>
  <r>
    <n v="48890"/>
    <s v="Dining Room"/>
    <s v="Dining Table"/>
    <x v="7"/>
    <x v="2"/>
    <x v="1"/>
    <x v="1"/>
    <x v="2"/>
    <n v="4566"/>
    <n v="755.12"/>
    <n v="112.83"/>
    <n v="0"/>
    <n v="867.95"/>
    <n v="3"/>
    <m/>
  </r>
  <r>
    <n v="17665"/>
    <s v="Outdoor"/>
    <s v="Garden Chair"/>
    <x v="9"/>
    <x v="0"/>
    <x v="0"/>
    <x v="1"/>
    <x v="0"/>
    <n v="9883"/>
    <n v="1520.13"/>
    <n v="148.08000000000001"/>
    <n v="0"/>
    <n v="1668.21"/>
    <n v="11"/>
    <n v="1.5"/>
  </r>
  <r>
    <n v="17989"/>
    <s v="Dining Room"/>
    <s v="Dining Chair"/>
    <x v="10"/>
    <x v="2"/>
    <x v="1"/>
    <x v="0"/>
    <x v="0"/>
    <n v="6138"/>
    <n v="183.23"/>
    <n v="39.96"/>
    <n v="193.34"/>
    <n v="416.53"/>
    <n v="9"/>
    <n v="4.3"/>
  </r>
  <r>
    <n v="17492"/>
    <s v="Outdoor"/>
    <s v="Garden Chair"/>
    <x v="8"/>
    <x v="0"/>
    <x v="0"/>
    <x v="1"/>
    <x v="1"/>
    <n v="1821"/>
    <n v="622.08000000000004"/>
    <n v="54.78"/>
    <n v="0"/>
    <n v="676.86"/>
    <n v="5"/>
    <m/>
  </r>
  <r>
    <n v="86569"/>
    <s v="Outdoor"/>
    <s v="Lounge Chair"/>
    <x v="7"/>
    <x v="2"/>
    <x v="1"/>
    <x v="1"/>
    <x v="2"/>
    <n v="8811"/>
    <n v="1626.15"/>
    <n v="147.37"/>
    <n v="0"/>
    <n v="1773.52"/>
    <n v="12"/>
    <n v="4.7"/>
  </r>
  <r>
    <n v="75909"/>
    <s v="Living Room"/>
    <s v="Side Table"/>
    <x v="10"/>
    <x v="4"/>
    <x v="0"/>
    <x v="0"/>
    <x v="4"/>
    <n v="9701"/>
    <n v="1176.3499999999999"/>
    <n v="149.51"/>
    <n v="132.12"/>
    <n v="1457.98"/>
    <n v="2"/>
    <n v="2.2000000000000002"/>
  </r>
  <r>
    <n v="30635"/>
    <s v="Office"/>
    <s v="Desk"/>
    <x v="5"/>
    <x v="3"/>
    <x v="0"/>
    <x v="1"/>
    <x v="4"/>
    <n v="1931"/>
    <n v="1059.47"/>
    <n v="54.24"/>
    <n v="0"/>
    <n v="1113.71"/>
    <n v="10"/>
    <n v="2.1"/>
  </r>
  <r>
    <n v="76562"/>
    <s v="Outdoor"/>
    <s v="Lounge Chair"/>
    <x v="2"/>
    <x v="5"/>
    <x v="0"/>
    <x v="0"/>
    <x v="2"/>
    <n v="2312"/>
    <n v="749.46"/>
    <n v="117.94"/>
    <n v="92.43"/>
    <n v="959.83"/>
    <n v="11"/>
    <n v="1.1000000000000001"/>
  </r>
  <r>
    <n v="34356"/>
    <s v="Outdoor"/>
    <s v="Outdoor Table"/>
    <x v="1"/>
    <x v="4"/>
    <x v="0"/>
    <x v="0"/>
    <x v="6"/>
    <n v="2122"/>
    <n v="747.55"/>
    <n v="53.24"/>
    <n v="292.32"/>
    <n v="1093.1099999999999"/>
    <n v="6"/>
    <n v="1.3"/>
  </r>
  <r>
    <n v="87992"/>
    <s v="Office"/>
    <s v="Bookshelf"/>
    <x v="2"/>
    <x v="2"/>
    <x v="1"/>
    <x v="0"/>
    <x v="2"/>
    <n v="2113"/>
    <n v="1002.38"/>
    <n v="0"/>
    <n v="43.39"/>
    <n v="1045.77"/>
    <n v="8"/>
    <n v="4.7"/>
  </r>
  <r>
    <n v="98501"/>
    <s v="Dining Room"/>
    <s v="Buffet"/>
    <x v="2"/>
    <x v="0"/>
    <x v="0"/>
    <x v="1"/>
    <x v="5"/>
    <n v="4853"/>
    <n v="507.68"/>
    <n v="119.4"/>
    <n v="0"/>
    <n v="627.08000000000004"/>
    <n v="4"/>
    <m/>
  </r>
  <r>
    <n v="62923"/>
    <s v="Outdoor"/>
    <s v="Lounge Chair"/>
    <x v="7"/>
    <x v="2"/>
    <x v="1"/>
    <x v="1"/>
    <x v="6"/>
    <n v="2964"/>
    <n v="1795.48"/>
    <n v="146.76"/>
    <n v="0"/>
    <n v="1942.24"/>
    <n v="11"/>
    <n v="1.3"/>
  </r>
  <r>
    <n v="84668"/>
    <s v="Bedroom"/>
    <s v="Chest of Drawers"/>
    <x v="1"/>
    <x v="5"/>
    <x v="0"/>
    <x v="1"/>
    <x v="2"/>
    <n v="5033"/>
    <n v="2172.2600000000002"/>
    <n v="67.41"/>
    <n v="0"/>
    <n v="2239.67"/>
    <n v="9"/>
    <n v="4.9000000000000004"/>
  </r>
  <r>
    <n v="85880"/>
    <s v="Office"/>
    <s v="Office Chair"/>
    <x v="7"/>
    <x v="0"/>
    <x v="0"/>
    <x v="0"/>
    <x v="2"/>
    <n v="1651"/>
    <n v="592.47"/>
    <n v="96.74"/>
    <n v="26.64"/>
    <n v="715.85"/>
    <n v="7"/>
    <n v="3.9"/>
  </r>
  <r>
    <n v="91183"/>
    <s v="Office"/>
    <s v="Computer Table"/>
    <x v="7"/>
    <x v="1"/>
    <x v="0"/>
    <x v="0"/>
    <x v="3"/>
    <n v="2343"/>
    <n v="184.73"/>
    <n v="97.93"/>
    <n v="219.87"/>
    <n v="502.53"/>
    <n v="9"/>
    <n v="4.5"/>
  </r>
  <r>
    <n v="64948"/>
    <s v="Bedroom"/>
    <s v="Mattress"/>
    <x v="8"/>
    <x v="4"/>
    <x v="0"/>
    <x v="0"/>
    <x v="6"/>
    <n v="9565"/>
    <n v="1382.96"/>
    <n v="55.54"/>
    <n v="65.209999999999994"/>
    <n v="1503.71"/>
    <n v="3"/>
    <n v="3.8"/>
  </r>
  <r>
    <n v="51467"/>
    <s v="Living Room"/>
    <s v="TV Stand"/>
    <x v="1"/>
    <x v="4"/>
    <x v="0"/>
    <x v="1"/>
    <x v="3"/>
    <n v="5272"/>
    <n v="651.49"/>
    <n v="77.45"/>
    <n v="0"/>
    <n v="728.94"/>
    <n v="10"/>
    <n v="3"/>
  </r>
  <r>
    <n v="36772"/>
    <s v="Bedroom"/>
    <s v="Mattress"/>
    <x v="4"/>
    <x v="4"/>
    <x v="0"/>
    <x v="0"/>
    <x v="1"/>
    <n v="6147"/>
    <n v="2027.39"/>
    <n v="110.51"/>
    <n v="27.03"/>
    <n v="2164.9299999999998"/>
    <n v="11"/>
    <n v="2.1"/>
  </r>
  <r>
    <n v="41285"/>
    <s v="Kitchen"/>
    <s v="Kitchen Island"/>
    <x v="3"/>
    <x v="2"/>
    <x v="1"/>
    <x v="1"/>
    <x v="1"/>
    <n v="5351"/>
    <n v="1395.68"/>
    <n v="78.97"/>
    <n v="0"/>
    <n v="1474.65"/>
    <n v="8"/>
    <n v="4.2"/>
  </r>
  <r>
    <n v="61876"/>
    <s v="Living Room"/>
    <s v="Side Table"/>
    <x v="8"/>
    <x v="1"/>
    <x v="0"/>
    <x v="1"/>
    <x v="6"/>
    <n v="3144"/>
    <n v="337.8"/>
    <n v="57.97"/>
    <n v="0"/>
    <n v="395.77"/>
    <n v="8"/>
    <n v="3.4"/>
  </r>
  <r>
    <n v="98039"/>
    <s v="Outdoor"/>
    <s v="Outdoor Table"/>
    <x v="10"/>
    <x v="3"/>
    <x v="0"/>
    <x v="1"/>
    <x v="6"/>
    <n v="5915"/>
    <n v="1759.37"/>
    <n v="0"/>
    <n v="0"/>
    <n v="1759.37"/>
    <n v="9"/>
    <n v="2.2999999999999998"/>
  </r>
  <r>
    <n v="69929"/>
    <s v="Office"/>
    <s v="Desk"/>
    <x v="1"/>
    <x v="2"/>
    <x v="1"/>
    <x v="1"/>
    <x v="3"/>
    <n v="6180"/>
    <n v="280.05"/>
    <n v="28.8"/>
    <n v="0"/>
    <n v="308.85000000000002"/>
    <n v="14"/>
    <n v="2"/>
  </r>
  <r>
    <n v="19508"/>
    <s v="Outdoor"/>
    <s v="Outdoor Table"/>
    <x v="2"/>
    <x v="0"/>
    <x v="0"/>
    <x v="1"/>
    <x v="3"/>
    <n v="1152"/>
    <n v="463.23"/>
    <n v="36.950000000000003"/>
    <n v="0"/>
    <n v="500.18"/>
    <n v="8"/>
    <n v="3"/>
  </r>
  <r>
    <n v="70068"/>
    <s v="Office"/>
    <s v="Desk"/>
    <x v="7"/>
    <x v="3"/>
    <x v="0"/>
    <x v="0"/>
    <x v="2"/>
    <n v="2638"/>
    <n v="385.51"/>
    <n v="51.47"/>
    <n v="149.49"/>
    <n v="586.47"/>
    <n v="14"/>
    <n v="2.9"/>
  </r>
  <r>
    <n v="19602"/>
    <s v="Living Room"/>
    <s v="Armchair"/>
    <x v="5"/>
    <x v="4"/>
    <x v="0"/>
    <x v="1"/>
    <x v="3"/>
    <n v="9808"/>
    <n v="508.05"/>
    <n v="0"/>
    <n v="0"/>
    <n v="508.05"/>
    <n v="13"/>
    <n v="1.2"/>
  </r>
  <r>
    <n v="37938"/>
    <s v="Bedroom"/>
    <s v="Dresser"/>
    <x v="0"/>
    <x v="1"/>
    <x v="0"/>
    <x v="1"/>
    <x v="3"/>
    <n v="9288"/>
    <n v="1726.69"/>
    <m/>
    <n v="0"/>
    <n v="1726.69"/>
    <n v="13"/>
    <n v="4.3"/>
  </r>
  <r>
    <n v="44760"/>
    <s v="Living Room"/>
    <s v="Coffee Table"/>
    <x v="4"/>
    <x v="4"/>
    <x v="0"/>
    <x v="1"/>
    <x v="3"/>
    <n v="3170"/>
    <n v="2442.69"/>
    <n v="129.49"/>
    <n v="0"/>
    <n v="2572.1799999999998"/>
    <n v="9"/>
    <n v="4"/>
  </r>
  <r>
    <n v="55745"/>
    <s v="Office"/>
    <s v="Computer Table"/>
    <x v="0"/>
    <x v="4"/>
    <x v="0"/>
    <x v="1"/>
    <x v="5"/>
    <n v="2127"/>
    <n v="137.16"/>
    <n v="27.92"/>
    <m/>
    <n v="165.08"/>
    <n v="13"/>
    <n v="2.8"/>
  </r>
  <r>
    <n v="42018"/>
    <s v="Dining Room"/>
    <s v="China Cabinet"/>
    <x v="7"/>
    <x v="0"/>
    <x v="0"/>
    <x v="1"/>
    <x v="4"/>
    <n v="7054"/>
    <n v="705.21"/>
    <n v="111.65"/>
    <n v="0"/>
    <n v="816.86"/>
    <n v="10"/>
    <n v="4.3"/>
  </r>
  <r>
    <n v="47353"/>
    <s v="Kitchen"/>
    <s v="Kitchen Cabinet"/>
    <x v="3"/>
    <x v="4"/>
    <x v="0"/>
    <x v="1"/>
    <x v="6"/>
    <n v="3584"/>
    <n v="1344.76"/>
    <n v="0"/>
    <n v="0"/>
    <n v="1344.76"/>
    <n v="11"/>
    <m/>
  </r>
  <r>
    <n v="67433"/>
    <s v="Outdoor"/>
    <s v="Patio Set"/>
    <x v="3"/>
    <x v="5"/>
    <x v="0"/>
    <x v="0"/>
    <x v="2"/>
    <n v="9900"/>
    <n v="1134.9000000000001"/>
    <n v="0"/>
    <n v="39.590000000000003"/>
    <n v="1174.49"/>
    <n v="3"/>
    <n v="3.9"/>
  </r>
  <r>
    <n v="49651"/>
    <s v="Outdoor"/>
    <s v="Garden Chair"/>
    <x v="4"/>
    <x v="0"/>
    <x v="0"/>
    <x v="0"/>
    <x v="3"/>
    <n v="9666"/>
    <n v="202.09"/>
    <n v="96.12"/>
    <n v="50.95"/>
    <n v="349.16"/>
    <n v="6"/>
    <n v="2.7"/>
  </r>
  <r>
    <n v="11025"/>
    <s v="Kitchen"/>
    <s v="Pantry Cabinet"/>
    <x v="1"/>
    <x v="0"/>
    <x v="0"/>
    <x v="0"/>
    <x v="3"/>
    <n v="5905"/>
    <n v="2220.1999999999998"/>
    <n v="56.23"/>
    <n v="78.040000000000006"/>
    <n v="2354.4699999999998"/>
    <n v="11"/>
    <n v="2.5"/>
  </r>
  <r>
    <n v="96951"/>
    <s v="Dining Room"/>
    <s v="China Cabinet"/>
    <x v="11"/>
    <x v="4"/>
    <x v="0"/>
    <x v="1"/>
    <x v="6"/>
    <n v="2697"/>
    <n v="773.15"/>
    <n v="122.09"/>
    <n v="0"/>
    <n v="895.24"/>
    <n v="10"/>
    <n v="4.8"/>
  </r>
  <r>
    <n v="27601"/>
    <s v="Bedroom"/>
    <s v="Dresser"/>
    <x v="9"/>
    <x v="2"/>
    <x v="1"/>
    <x v="1"/>
    <x v="6"/>
    <n v="5333"/>
    <n v="2347.85"/>
    <n v="119.02"/>
    <n v="0"/>
    <n v="2466.87"/>
    <n v="6"/>
    <n v="3.2"/>
  </r>
  <r>
    <n v="25129"/>
    <s v="Living Room"/>
    <s v="Ottoman"/>
    <x v="11"/>
    <x v="1"/>
    <x v="0"/>
    <x v="1"/>
    <x v="0"/>
    <n v="2753"/>
    <n v="1756.23"/>
    <n v="148.02000000000001"/>
    <n v="0"/>
    <n v="1904.25"/>
    <n v="13"/>
    <n v="2.2000000000000002"/>
  </r>
  <r>
    <n v="82512"/>
    <s v="Dining Room"/>
    <s v="Buffet"/>
    <x v="0"/>
    <x v="1"/>
    <x v="0"/>
    <x v="1"/>
    <x v="3"/>
    <n v="3546"/>
    <n v="1346.35"/>
    <n v="71.400000000000006"/>
    <n v="0"/>
    <n v="1417.75"/>
    <n v="9"/>
    <n v="1.5"/>
  </r>
  <r>
    <n v="45697"/>
    <s v="Bedroom"/>
    <s v="Mattress"/>
    <x v="6"/>
    <x v="5"/>
    <x v="0"/>
    <x v="0"/>
    <x v="0"/>
    <n v="5616"/>
    <n v="294.68"/>
    <n v="92.89"/>
    <n v="52.62"/>
    <n v="440.19"/>
    <n v="7"/>
    <n v="2.9"/>
  </r>
  <r>
    <n v="89276"/>
    <s v="Kitchen"/>
    <s v="Bar Cart"/>
    <x v="8"/>
    <x v="2"/>
    <x v="1"/>
    <x v="1"/>
    <x v="4"/>
    <n v="4450"/>
    <n v="1195.2"/>
    <n v="137.84"/>
    <n v="0"/>
    <n v="1333.04"/>
    <n v="11"/>
    <n v="4.9000000000000004"/>
  </r>
  <r>
    <n v="54942"/>
    <s v="Living Room"/>
    <s v="Sofa"/>
    <x v="3"/>
    <x v="0"/>
    <x v="0"/>
    <x v="0"/>
    <x v="5"/>
    <n v="4335"/>
    <n v="1700.29"/>
    <n v="0"/>
    <n v="70.89"/>
    <n v="1771.18"/>
    <n v="14"/>
    <n v="4.7"/>
  </r>
  <r>
    <n v="93130"/>
    <s v="Outdoor"/>
    <s v="Outdoor Table"/>
    <x v="1"/>
    <x v="4"/>
    <x v="0"/>
    <x v="0"/>
    <x v="1"/>
    <n v="5325"/>
    <n v="1596.63"/>
    <n v="0"/>
    <n v="128.46"/>
    <n v="1725.09"/>
    <n v="11"/>
    <n v="3"/>
  </r>
  <r>
    <n v="76244"/>
    <s v="Dining Room"/>
    <s v="Dining Chair"/>
    <x v="11"/>
    <x v="4"/>
    <x v="0"/>
    <x v="1"/>
    <x v="4"/>
    <n v="9004"/>
    <n v="1636.75"/>
    <n v="123.11"/>
    <n v="0"/>
    <n v="1759.86"/>
    <n v="12"/>
    <n v="3.9"/>
  </r>
  <r>
    <n v="42914"/>
    <s v="Bedroom"/>
    <s v="Mattress"/>
    <x v="2"/>
    <x v="5"/>
    <x v="0"/>
    <x v="1"/>
    <x v="5"/>
    <n v="1832"/>
    <n v="1891.22"/>
    <n v="90.55"/>
    <n v="0"/>
    <n v="1981.77"/>
    <n v="9"/>
    <n v="2.6"/>
  </r>
  <r>
    <n v="22097"/>
    <s v="Office"/>
    <s v="Bookshelf"/>
    <x v="8"/>
    <x v="2"/>
    <x v="1"/>
    <x v="1"/>
    <x v="3"/>
    <n v="7939"/>
    <n v="1408.87"/>
    <n v="0"/>
    <n v="0"/>
    <n v="1408.87"/>
    <n v="4"/>
    <n v="2.1"/>
  </r>
  <r>
    <n v="46265"/>
    <s v="Outdoor"/>
    <s v="Umbrella"/>
    <x v="7"/>
    <x v="1"/>
    <x v="0"/>
    <x v="0"/>
    <x v="2"/>
    <n v="1722"/>
    <n v="168.87"/>
    <n v="74.03"/>
    <n v="41.69"/>
    <n v="284.58999999999997"/>
    <n v="8"/>
    <n v="2.6"/>
  </r>
  <r>
    <n v="10464"/>
    <s v="Dining Room"/>
    <s v="Dining Table"/>
    <x v="0"/>
    <x v="2"/>
    <x v="1"/>
    <x v="0"/>
    <x v="1"/>
    <n v="6464"/>
    <n v="1313.55"/>
    <n v="86.75"/>
    <n v="97.87"/>
    <n v="1498.17"/>
    <n v="8"/>
    <n v="4"/>
  </r>
  <r>
    <n v="27146"/>
    <s v="Outdoor"/>
    <s v="Umbrella"/>
    <x v="10"/>
    <x v="4"/>
    <x v="0"/>
    <x v="0"/>
    <x v="4"/>
    <n v="5291"/>
    <n v="1656.11"/>
    <n v="130.19999999999999"/>
    <n v="84.02"/>
    <n v="1870.33"/>
    <n v="10"/>
    <n v="1.3"/>
  </r>
  <r>
    <n v="31178"/>
    <s v="Dining Room"/>
    <s v="Dining Table"/>
    <x v="4"/>
    <x v="1"/>
    <x v="0"/>
    <x v="0"/>
    <x v="3"/>
    <n v="8239"/>
    <n v="1842.76"/>
    <n v="0"/>
    <n v="58.23"/>
    <n v="1900.99"/>
    <n v="14"/>
    <n v="1.5"/>
  </r>
  <r>
    <n v="82309"/>
    <s v="Office"/>
    <s v="Office Chair"/>
    <x v="12"/>
    <x v="1"/>
    <x v="0"/>
    <x v="0"/>
    <x v="0"/>
    <n v="8007"/>
    <n v="1356.42"/>
    <n v="55.56"/>
    <n v="218.52"/>
    <n v="1630.5"/>
    <n v="1"/>
    <n v="3.7"/>
  </r>
  <r>
    <n v="83519"/>
    <s v="Office"/>
    <s v="Bookshelf"/>
    <x v="2"/>
    <x v="0"/>
    <x v="0"/>
    <x v="0"/>
    <x v="0"/>
    <n v="1158"/>
    <n v="1239.3599999999999"/>
    <n v="107.83"/>
    <n v="201.68"/>
    <n v="1548.87"/>
    <n v="2"/>
    <n v="1.2"/>
  </r>
  <r>
    <n v="24663"/>
    <s v="Dining Room"/>
    <s v="Buffet"/>
    <x v="3"/>
    <x v="0"/>
    <x v="0"/>
    <x v="1"/>
    <x v="0"/>
    <n v="2232"/>
    <n v="441.96"/>
    <n v="35.159999999999997"/>
    <n v="0"/>
    <n v="477.12"/>
    <n v="6"/>
    <n v="2.5"/>
  </r>
  <r>
    <n v="29536"/>
    <s v="Outdoor"/>
    <s v="Umbrella"/>
    <x v="4"/>
    <x v="3"/>
    <x v="0"/>
    <x v="0"/>
    <x v="2"/>
    <n v="9938"/>
    <n v="369.43"/>
    <n v="89.52"/>
    <n v="99.64"/>
    <n v="558.59"/>
    <n v="7"/>
    <n v="3.9"/>
  </r>
  <r>
    <n v="14722"/>
    <s v="Living Room"/>
    <s v="TV Stand"/>
    <x v="1"/>
    <x v="2"/>
    <x v="1"/>
    <x v="1"/>
    <x v="5"/>
    <n v="7049"/>
    <n v="1264.9100000000001"/>
    <n v="92.41"/>
    <n v="0"/>
    <n v="1357.32"/>
    <n v="14"/>
    <n v="2.8"/>
  </r>
  <r>
    <n v="86350"/>
    <s v="Outdoor"/>
    <s v="Patio Set"/>
    <x v="6"/>
    <x v="1"/>
    <x v="0"/>
    <x v="0"/>
    <x v="2"/>
    <n v="3426"/>
    <n v="203.16"/>
    <n v="74.510000000000005"/>
    <n v="60.3"/>
    <n v="337.97"/>
    <n v="2"/>
    <n v="2.8"/>
  </r>
  <r>
    <n v="66333"/>
    <s v="Living Room"/>
    <s v="Coffee Table"/>
    <x v="0"/>
    <x v="2"/>
    <x v="1"/>
    <x v="0"/>
    <x v="3"/>
    <n v="3088"/>
    <n v="1903.24"/>
    <n v="73.430000000000007"/>
    <n v="28.5"/>
    <n v="2005.17"/>
    <n v="5"/>
    <n v="4.7"/>
  </r>
  <r>
    <n v="15482"/>
    <s v="Kitchen"/>
    <s v="Kitchen Cabinet"/>
    <x v="9"/>
    <x v="5"/>
    <x v="0"/>
    <x v="0"/>
    <x v="4"/>
    <n v="6050"/>
    <n v="821.19"/>
    <n v="148.57"/>
    <n v="195.08"/>
    <n v="1164.8399999999999"/>
    <n v="1"/>
    <n v="3.4"/>
  </r>
  <r>
    <n v="57795"/>
    <s v="Outdoor"/>
    <s v="Lounge Chair"/>
    <x v="12"/>
    <x v="1"/>
    <x v="0"/>
    <x v="1"/>
    <x v="1"/>
    <n v="1653"/>
    <n v="1067.1500000000001"/>
    <n v="0"/>
    <n v="0"/>
    <n v="1067.1500000000001"/>
    <n v="11"/>
    <n v="4.0999999999999996"/>
  </r>
  <r>
    <n v="56898"/>
    <s v="Office"/>
    <s v="Desk"/>
    <x v="9"/>
    <x v="5"/>
    <x v="0"/>
    <x v="1"/>
    <x v="2"/>
    <n v="4441"/>
    <n v="505.84"/>
    <n v="0"/>
    <n v="0"/>
    <n v="505.84"/>
    <n v="4"/>
    <n v="2.2000000000000002"/>
  </r>
  <r>
    <n v="99399"/>
    <s v="Office"/>
    <s v="Office Chair"/>
    <x v="10"/>
    <x v="2"/>
    <x v="1"/>
    <x v="0"/>
    <x v="0"/>
    <n v="5088"/>
    <n v="878.59"/>
    <n v="105.73"/>
    <n v="186.43"/>
    <n v="1170.75"/>
    <n v="4"/>
    <n v="1.3"/>
  </r>
  <r>
    <n v="97416"/>
    <s v="Kitchen"/>
    <s v="Bar Cart"/>
    <x v="4"/>
    <x v="0"/>
    <x v="0"/>
    <x v="0"/>
    <x v="5"/>
    <n v="2684"/>
    <n v="413.38"/>
    <n v="53.29"/>
    <n v="29.7"/>
    <n v="496.37"/>
    <n v="13"/>
    <n v="3.7"/>
  </r>
  <r>
    <n v="56357"/>
    <s v="Dining Room"/>
    <s v="Bar Stool"/>
    <x v="0"/>
    <x v="1"/>
    <x v="0"/>
    <x v="0"/>
    <x v="5"/>
    <n v="7658"/>
    <n v="1918.34"/>
    <n v="0"/>
    <n v="43.67"/>
    <n v="1962.01"/>
    <n v="13"/>
    <n v="2"/>
  </r>
  <r>
    <n v="91351"/>
    <s v="Office"/>
    <s v="Desk"/>
    <x v="10"/>
    <x v="0"/>
    <x v="0"/>
    <x v="1"/>
    <x v="0"/>
    <n v="3532"/>
    <n v="863.95"/>
    <n v="88.07"/>
    <n v="0"/>
    <n v="952.02"/>
    <n v="5"/>
    <n v="3.1"/>
  </r>
  <r>
    <n v="41029"/>
    <s v="Outdoor"/>
    <s v="Lounge Chair"/>
    <x v="4"/>
    <x v="1"/>
    <x v="0"/>
    <x v="1"/>
    <x v="5"/>
    <n v="3662"/>
    <n v="1406.69"/>
    <n v="70.31"/>
    <n v="0"/>
    <n v="1477"/>
    <n v="7"/>
    <m/>
  </r>
  <r>
    <n v="33206"/>
    <s v="Living Room"/>
    <s v="TV Stand"/>
    <x v="0"/>
    <x v="5"/>
    <x v="0"/>
    <x v="1"/>
    <x v="1"/>
    <n v="7755"/>
    <n v="1472.62"/>
    <n v="122"/>
    <n v="0"/>
    <n v="1594.62"/>
    <n v="3"/>
    <n v="1.9"/>
  </r>
  <r>
    <n v="13248"/>
    <s v="Kitchen"/>
    <s v="Kitchen Cabinet"/>
    <x v="1"/>
    <x v="5"/>
    <x v="0"/>
    <x v="1"/>
    <x v="4"/>
    <n v="3938"/>
    <n v="866.12"/>
    <n v="146.65"/>
    <n v="0"/>
    <n v="1012.77"/>
    <n v="8"/>
    <n v="4.2"/>
  </r>
  <r>
    <n v="53540"/>
    <s v="Kitchen"/>
    <s v="Pantry Cabinet"/>
    <x v="5"/>
    <x v="0"/>
    <x v="0"/>
    <x v="0"/>
    <x v="5"/>
    <n v="7745"/>
    <n v="704.91"/>
    <n v="149.03"/>
    <n v="45.98"/>
    <n v="899.92"/>
    <n v="2"/>
    <n v="3.7"/>
  </r>
  <r>
    <n v="97806"/>
    <s v="Outdoor"/>
    <s v="Garden Chair"/>
    <x v="10"/>
    <x v="1"/>
    <x v="0"/>
    <x v="0"/>
    <x v="1"/>
    <n v="5065"/>
    <n v="262.14999999999998"/>
    <n v="36.33"/>
    <n v="205.98"/>
    <n v="504.46"/>
    <n v="10"/>
    <n v="4.7"/>
  </r>
  <r>
    <n v="44970"/>
    <s v="Living Room"/>
    <s v="Sofa"/>
    <x v="9"/>
    <x v="1"/>
    <x v="0"/>
    <x v="1"/>
    <x v="1"/>
    <n v="3608"/>
    <n v="1424.09"/>
    <n v="51.67"/>
    <n v="0"/>
    <n v="1475.76"/>
    <n v="9"/>
    <n v="1.1000000000000001"/>
  </r>
  <r>
    <n v="24168"/>
    <s v="Bedroom"/>
    <s v="Bed Frame"/>
    <x v="2"/>
    <x v="2"/>
    <x v="1"/>
    <x v="1"/>
    <x v="1"/>
    <n v="7267"/>
    <n v="2766.44"/>
    <n v="74.099999999999994"/>
    <n v="0"/>
    <n v="2840.54"/>
    <n v="14"/>
    <n v="4.2"/>
  </r>
  <r>
    <n v="15075"/>
    <s v="Office"/>
    <s v="Computer Table"/>
    <x v="6"/>
    <x v="3"/>
    <x v="0"/>
    <x v="1"/>
    <x v="0"/>
    <n v="8711"/>
    <n v="425.36"/>
    <n v="77.290000000000006"/>
    <n v="0"/>
    <n v="502.65"/>
    <n v="11"/>
    <n v="1.3"/>
  </r>
  <r>
    <n v="39154"/>
    <s v="Office"/>
    <s v="Filing Cabinet"/>
    <x v="2"/>
    <x v="4"/>
    <x v="0"/>
    <x v="0"/>
    <x v="0"/>
    <n v="4269"/>
    <n v="615.58000000000004"/>
    <n v="113.67"/>
    <n v="37.5"/>
    <n v="766.75"/>
    <n v="7"/>
    <n v="2.2999999999999998"/>
  </r>
  <r>
    <n v="70332"/>
    <s v="Bedroom"/>
    <s v="Mattress"/>
    <x v="11"/>
    <x v="4"/>
    <x v="0"/>
    <x v="1"/>
    <x v="3"/>
    <n v="6728"/>
    <n v="2718.63"/>
    <n v="106.68"/>
    <n v="0"/>
    <n v="2825.31"/>
    <n v="1"/>
    <n v="3.7"/>
  </r>
  <r>
    <n v="50001"/>
    <s v="Outdoor"/>
    <s v="Patio Set"/>
    <x v="12"/>
    <x v="2"/>
    <x v="1"/>
    <x v="0"/>
    <x v="5"/>
    <n v="4728"/>
    <n v="445.93"/>
    <n v="88.78"/>
    <n v="79.349999999999994"/>
    <n v="614.05999999999995"/>
    <n v="13"/>
    <n v="4.3"/>
  </r>
  <r>
    <n v="39219"/>
    <s v="Kitchen"/>
    <s v="Bar Cart"/>
    <x v="9"/>
    <x v="1"/>
    <x v="0"/>
    <x v="1"/>
    <x v="0"/>
    <n v="1387"/>
    <n v="1546.73"/>
    <n v="117.7"/>
    <n v="0"/>
    <n v="1664.43"/>
    <n v="7"/>
    <n v="1.6"/>
  </r>
  <r>
    <n v="96511"/>
    <s v="Kitchen"/>
    <s v="Kitchen Cabinet"/>
    <x v="8"/>
    <x v="3"/>
    <x v="0"/>
    <x v="0"/>
    <x v="4"/>
    <n v="4164"/>
    <n v="418.13"/>
    <m/>
    <n v="160.52000000000001"/>
    <n v="636.42999999999995"/>
    <n v="10"/>
    <n v="2.6"/>
  </r>
  <r>
    <n v="62227"/>
    <s v="Dining Room"/>
    <s v="Buffet"/>
    <x v="2"/>
    <x v="4"/>
    <x v="0"/>
    <x v="1"/>
    <x v="6"/>
    <n v="6378"/>
    <n v="1032.1500000000001"/>
    <n v="144.11000000000001"/>
    <n v="0"/>
    <n v="1176.26"/>
    <n v="3"/>
    <n v="3.6"/>
  </r>
  <r>
    <n v="46517"/>
    <s v="Bedroom"/>
    <s v="Chest of Drawers"/>
    <x v="3"/>
    <x v="2"/>
    <x v="1"/>
    <x v="1"/>
    <x v="6"/>
    <n v="2137"/>
    <n v="359.49"/>
    <n v="45.1"/>
    <n v="0"/>
    <n v="404.59"/>
    <n v="12"/>
    <n v="1.6"/>
  </r>
  <r>
    <n v="46585"/>
    <s v="Living Room"/>
    <s v="Sofa"/>
    <x v="1"/>
    <x v="0"/>
    <x v="0"/>
    <x v="1"/>
    <x v="1"/>
    <n v="6753"/>
    <n v="211.95"/>
    <n v="48.12"/>
    <n v="0"/>
    <n v="260.07"/>
    <n v="13"/>
    <n v="1.5"/>
  </r>
  <r>
    <n v="94080"/>
    <s v="Kitchen"/>
    <s v="Pantry Cabinet"/>
    <x v="2"/>
    <x v="1"/>
    <x v="0"/>
    <x v="0"/>
    <x v="3"/>
    <n v="9346"/>
    <n v="527.24"/>
    <n v="0"/>
    <n v="186.37"/>
    <n v="713.61"/>
    <n v="1"/>
    <n v="2.6"/>
  </r>
  <r>
    <n v="62386"/>
    <s v="Bedroom"/>
    <s v="Wardrobe"/>
    <x v="1"/>
    <x v="0"/>
    <x v="0"/>
    <x v="1"/>
    <x v="6"/>
    <n v="9785"/>
    <n v="1635.15"/>
    <n v="66.95"/>
    <n v="0"/>
    <n v="1702.1"/>
    <n v="5"/>
    <n v="1.6"/>
  </r>
  <r>
    <n v="53404"/>
    <s v="Office"/>
    <s v="Bookshelf"/>
    <x v="0"/>
    <x v="5"/>
    <x v="0"/>
    <x v="1"/>
    <x v="1"/>
    <n v="1452"/>
    <n v="767.61"/>
    <n v="0"/>
    <n v="0"/>
    <n v="767.61"/>
    <n v="4"/>
    <n v="3"/>
  </r>
  <r>
    <n v="25118"/>
    <s v="Living Room"/>
    <s v="Coffee Table"/>
    <x v="3"/>
    <x v="1"/>
    <x v="0"/>
    <x v="1"/>
    <x v="3"/>
    <n v="5279"/>
    <n v="900.71"/>
    <n v="83.22"/>
    <n v="0"/>
    <n v="983.93"/>
    <n v="13"/>
    <n v="2.8"/>
  </r>
  <r>
    <n v="33405"/>
    <s v="Bedroom"/>
    <s v="Dresser"/>
    <x v="11"/>
    <x v="1"/>
    <x v="0"/>
    <x v="1"/>
    <x v="4"/>
    <n v="5349"/>
    <n v="1063.9000000000001"/>
    <n v="70.09"/>
    <n v="0"/>
    <n v="1133.99"/>
    <n v="3"/>
    <n v="4.9000000000000004"/>
  </r>
  <r>
    <n v="15014"/>
    <s v="Outdoor"/>
    <s v="Lounge Chair"/>
    <x v="0"/>
    <x v="5"/>
    <x v="0"/>
    <x v="1"/>
    <x v="3"/>
    <n v="2776"/>
    <n v="1746.81"/>
    <n v="82.59"/>
    <n v="0"/>
    <n v="1829.4"/>
    <n v="14"/>
    <n v="2.5"/>
  </r>
  <r>
    <n v="88193"/>
    <s v="Kitchen"/>
    <s v="Bar Cart"/>
    <x v="9"/>
    <x v="3"/>
    <x v="0"/>
    <x v="1"/>
    <x v="2"/>
    <n v="8119"/>
    <n v="1799.77"/>
    <n v="145.30000000000001"/>
    <n v="0"/>
    <n v="1945.07"/>
    <n v="12"/>
    <n v="4.2"/>
  </r>
  <r>
    <n v="55309"/>
    <s v="Office"/>
    <s v="Filing Cabinet"/>
    <x v="3"/>
    <x v="3"/>
    <x v="0"/>
    <x v="1"/>
    <x v="1"/>
    <n v="6139"/>
    <n v="277.63"/>
    <n v="47.71"/>
    <n v="0"/>
    <n v="325.33999999999997"/>
    <n v="11"/>
    <n v="2.7"/>
  </r>
  <r>
    <n v="67199"/>
    <s v="Kitchen"/>
    <s v="Pantry Cabinet"/>
    <x v="8"/>
    <x v="1"/>
    <x v="0"/>
    <x v="1"/>
    <x v="2"/>
    <n v="9379"/>
    <n v="1580.94"/>
    <n v="142.35"/>
    <n v="0"/>
    <n v="1723.29"/>
    <n v="9"/>
    <m/>
  </r>
  <r>
    <n v="25157"/>
    <s v="Kitchen"/>
    <s v="Kitchen Island"/>
    <x v="6"/>
    <x v="1"/>
    <x v="0"/>
    <x v="1"/>
    <x v="4"/>
    <n v="7311"/>
    <n v="540.61"/>
    <n v="0"/>
    <n v="0"/>
    <n v="540.61"/>
    <n v="3"/>
    <n v="1.2"/>
  </r>
  <r>
    <n v="85574"/>
    <s v="Office"/>
    <s v="Bookshelf"/>
    <x v="0"/>
    <x v="1"/>
    <x v="0"/>
    <x v="1"/>
    <x v="3"/>
    <n v="4114"/>
    <n v="1451.32"/>
    <n v="51.05"/>
    <n v="0"/>
    <n v="1502.37"/>
    <n v="4"/>
    <n v="3.1"/>
  </r>
  <r>
    <n v="43386"/>
    <s v="Bedroom"/>
    <s v="Nightstand"/>
    <x v="3"/>
    <x v="3"/>
    <x v="0"/>
    <x v="0"/>
    <x v="0"/>
    <n v="1727"/>
    <n v="1216.24"/>
    <n v="117.96"/>
    <n v="199.77"/>
    <n v="1533.97"/>
    <n v="8"/>
    <m/>
  </r>
  <r>
    <n v="67154"/>
    <s v="Outdoor"/>
    <s v="Garden Chair"/>
    <x v="9"/>
    <x v="0"/>
    <x v="0"/>
    <x v="1"/>
    <x v="6"/>
    <n v="1027"/>
    <n v="724.74"/>
    <n v="128.43"/>
    <m/>
    <n v="853.17"/>
    <n v="6"/>
    <n v="2.8"/>
  </r>
  <r>
    <n v="78146"/>
    <s v="Living Room"/>
    <s v="TV Stand"/>
    <x v="9"/>
    <x v="5"/>
    <x v="0"/>
    <x v="0"/>
    <x v="3"/>
    <n v="9821"/>
    <n v="302.77"/>
    <n v="78.31"/>
    <n v="164.8"/>
    <n v="545.88"/>
    <n v="11"/>
    <n v="4.7"/>
  </r>
  <r>
    <n v="97900"/>
    <s v="Bedroom"/>
    <s v="Wardrobe"/>
    <x v="5"/>
    <x v="1"/>
    <x v="0"/>
    <x v="0"/>
    <x v="3"/>
    <n v="4228"/>
    <n v="606.39"/>
    <n v="145.85"/>
    <n v="244.46"/>
    <n v="996.7"/>
    <n v="3"/>
    <n v="2.7"/>
  </r>
  <r>
    <n v="57739"/>
    <s v="Bedroom"/>
    <s v="Nightstand"/>
    <x v="12"/>
    <x v="5"/>
    <x v="0"/>
    <x v="0"/>
    <x v="6"/>
    <n v="8066"/>
    <n v="1837.78"/>
    <n v="120.47"/>
    <n v="175.23"/>
    <n v="2133.48"/>
    <n v="13"/>
    <n v="3.3"/>
  </r>
  <r>
    <n v="19171"/>
    <s v="Dining Room"/>
    <s v="Dining Chair"/>
    <x v="3"/>
    <x v="4"/>
    <x v="0"/>
    <x v="1"/>
    <x v="1"/>
    <n v="6409"/>
    <n v="969.35"/>
    <n v="0"/>
    <n v="0"/>
    <n v="969.35"/>
    <n v="9"/>
    <n v="2.2999999999999998"/>
  </r>
  <r>
    <n v="91678"/>
    <s v="Kitchen"/>
    <s v="Kitchen Island"/>
    <x v="8"/>
    <x v="3"/>
    <x v="0"/>
    <x v="1"/>
    <x v="5"/>
    <n v="6143"/>
    <n v="1065.43"/>
    <n v="111.74"/>
    <n v="0"/>
    <n v="1177.17"/>
    <n v="10"/>
    <n v="3.7"/>
  </r>
  <r>
    <n v="96951"/>
    <s v="Dining Room"/>
    <s v="Dining Table"/>
    <x v="3"/>
    <x v="5"/>
    <x v="0"/>
    <x v="1"/>
    <x v="1"/>
    <n v="3041"/>
    <n v="447.78"/>
    <n v="77.010000000000005"/>
    <n v="0"/>
    <n v="524.79"/>
    <n v="7"/>
    <n v="3.3"/>
  </r>
  <r>
    <n v="49363"/>
    <s v="Outdoor"/>
    <s v="Umbrella"/>
    <x v="5"/>
    <x v="2"/>
    <x v="1"/>
    <x v="0"/>
    <x v="0"/>
    <n v="9308"/>
    <n v="1294.1600000000001"/>
    <n v="149.99"/>
    <n v="193.33"/>
    <n v="1637.48"/>
    <n v="3"/>
    <n v="2.8"/>
  </r>
  <r>
    <n v="50538"/>
    <s v="Office"/>
    <s v="Desk"/>
    <x v="10"/>
    <x v="0"/>
    <x v="0"/>
    <x v="1"/>
    <x v="5"/>
    <n v="7691"/>
    <n v="357.08"/>
    <n v="53.8"/>
    <n v="0"/>
    <n v="410.88"/>
    <n v="7"/>
    <n v="2.7"/>
  </r>
  <r>
    <n v="52753"/>
    <s v="Living Room"/>
    <s v="Ottoman"/>
    <x v="1"/>
    <x v="0"/>
    <x v="0"/>
    <x v="1"/>
    <x v="3"/>
    <n v="7592"/>
    <n v="270.98"/>
    <n v="82.08"/>
    <n v="0"/>
    <n v="353.06"/>
    <n v="1"/>
    <n v="3.2"/>
  </r>
  <r>
    <n v="48752"/>
    <s v="Outdoor"/>
    <s v="Lounge Chair"/>
    <x v="5"/>
    <x v="1"/>
    <x v="0"/>
    <x v="0"/>
    <x v="1"/>
    <n v="3085"/>
    <n v="1057.05"/>
    <n v="0"/>
    <n v="177.51"/>
    <n v="1234.56"/>
    <n v="14"/>
    <n v="3.2"/>
  </r>
  <r>
    <n v="35144"/>
    <s v="Kitchen"/>
    <s v="Bar Cart"/>
    <x v="2"/>
    <x v="0"/>
    <x v="0"/>
    <x v="0"/>
    <x v="2"/>
    <n v="7888"/>
    <n v="2477.5100000000002"/>
    <n v="0"/>
    <n v="187.48"/>
    <n v="2664.99"/>
    <n v="1"/>
    <n v="2.4"/>
  </r>
  <r>
    <n v="97153"/>
    <s v="Living Room"/>
    <s v="Coffee Table"/>
    <x v="4"/>
    <x v="3"/>
    <x v="0"/>
    <x v="1"/>
    <x v="3"/>
    <n v="7211"/>
    <n v="682.72"/>
    <n v="118.91"/>
    <n v="0"/>
    <n v="801.63"/>
    <n v="3"/>
    <n v="4.0999999999999996"/>
  </r>
  <r>
    <n v="98777"/>
    <s v="Dining Room"/>
    <s v="China Cabinet"/>
    <x v="7"/>
    <x v="1"/>
    <x v="0"/>
    <x v="1"/>
    <x v="2"/>
    <n v="3851"/>
    <n v="634.05999999999995"/>
    <n v="82.37"/>
    <n v="0"/>
    <n v="716.43"/>
    <n v="5"/>
    <n v="4.8"/>
  </r>
  <r>
    <n v="90676"/>
    <s v="Living Room"/>
    <s v="Coffee Table"/>
    <x v="1"/>
    <x v="5"/>
    <x v="0"/>
    <x v="1"/>
    <x v="5"/>
    <n v="5930"/>
    <n v="2414.38"/>
    <n v="141.88"/>
    <n v="0"/>
    <n v="2556.2600000000002"/>
    <n v="14"/>
    <n v="3.8"/>
  </r>
  <r>
    <n v="63225"/>
    <s v="Outdoor"/>
    <s v="Outdoor Table"/>
    <x v="3"/>
    <x v="0"/>
    <x v="0"/>
    <x v="1"/>
    <x v="1"/>
    <n v="9977"/>
    <n v="1516.99"/>
    <n v="117.62"/>
    <n v="0"/>
    <n v="1634.61"/>
    <n v="3"/>
    <n v="2.1"/>
  </r>
  <r>
    <n v="10053"/>
    <s v="Living Room"/>
    <s v="Side Table"/>
    <x v="10"/>
    <x v="2"/>
    <x v="1"/>
    <x v="1"/>
    <x v="3"/>
    <n v="5978"/>
    <n v="2027.58"/>
    <n v="90.29"/>
    <n v="0"/>
    <n v="2117.87"/>
    <n v="12"/>
    <n v="2.5"/>
  </r>
  <r>
    <n v="47606"/>
    <s v="Living Room"/>
    <s v="Side Table"/>
    <x v="12"/>
    <x v="0"/>
    <x v="0"/>
    <x v="1"/>
    <x v="5"/>
    <n v="4443"/>
    <n v="414.23"/>
    <n v="97.91"/>
    <n v="0"/>
    <n v="512.14"/>
    <n v="14"/>
    <m/>
  </r>
  <r>
    <n v="66346"/>
    <s v="Office"/>
    <s v="Desk"/>
    <x v="6"/>
    <x v="0"/>
    <x v="0"/>
    <x v="0"/>
    <x v="0"/>
    <n v="6279"/>
    <n v="782.5"/>
    <n v="78.36"/>
    <n v="268.25"/>
    <n v="1129.1099999999999"/>
    <n v="11"/>
    <n v="1.2"/>
  </r>
  <r>
    <n v="70946"/>
    <s v="Living Room"/>
    <s v="Coffee Table"/>
    <x v="6"/>
    <x v="2"/>
    <x v="1"/>
    <x v="1"/>
    <x v="5"/>
    <n v="8238"/>
    <n v="1214.96"/>
    <n v="0"/>
    <n v="0"/>
    <n v="1214.96"/>
    <n v="4"/>
    <n v="4.5999999999999996"/>
  </r>
  <r>
    <n v="67954"/>
    <s v="Dining Room"/>
    <s v="Dining Table"/>
    <x v="3"/>
    <x v="1"/>
    <x v="0"/>
    <x v="1"/>
    <x v="6"/>
    <n v="4501"/>
    <n v="1343.72"/>
    <n v="0"/>
    <n v="0"/>
    <n v="1343.72"/>
    <n v="11"/>
    <n v="1.7"/>
  </r>
  <r>
    <n v="77000"/>
    <s v="Outdoor"/>
    <s v="Garden Chair"/>
    <x v="12"/>
    <x v="4"/>
    <x v="0"/>
    <x v="0"/>
    <x v="4"/>
    <n v="8752"/>
    <n v="858.23"/>
    <n v="0"/>
    <n v="30.34"/>
    <n v="888.57"/>
    <n v="2"/>
    <m/>
  </r>
  <r>
    <n v="32241"/>
    <s v="Office"/>
    <s v="Office Chair"/>
    <x v="3"/>
    <x v="3"/>
    <x v="0"/>
    <x v="0"/>
    <x v="4"/>
    <n v="2389"/>
    <n v="91.45"/>
    <n v="50.77"/>
    <n v="254.1"/>
    <n v="396.32"/>
    <n v="8"/>
    <m/>
  </r>
  <r>
    <n v="47196"/>
    <s v="Living Room"/>
    <s v="Sofa"/>
    <x v="6"/>
    <x v="5"/>
    <x v="0"/>
    <x v="0"/>
    <x v="1"/>
    <n v="9445"/>
    <n v="920.71"/>
    <n v="63.71"/>
    <n v="53.42"/>
    <n v="1037.8399999999999"/>
    <n v="10"/>
    <m/>
  </r>
  <r>
    <n v="97012"/>
    <s v="Dining Room"/>
    <s v="Dining Chair"/>
    <x v="12"/>
    <x v="3"/>
    <x v="0"/>
    <x v="1"/>
    <x v="5"/>
    <n v="6491"/>
    <n v="1293.3499999999999"/>
    <n v="0"/>
    <n v="0"/>
    <n v="1293.3499999999999"/>
    <n v="10"/>
    <n v="4.4000000000000004"/>
  </r>
  <r>
    <n v="22240"/>
    <s v="Living Room"/>
    <s v="Ottoman"/>
    <x v="9"/>
    <x v="4"/>
    <x v="0"/>
    <x v="0"/>
    <x v="6"/>
    <n v="4848"/>
    <n v="1879.02"/>
    <n v="92.94"/>
    <n v="63.85"/>
    <n v="2035.81"/>
    <n v="2"/>
    <n v="3.4"/>
  </r>
  <r>
    <n v="98184"/>
    <s v="Outdoor"/>
    <s v="Patio Set"/>
    <x v="4"/>
    <x v="0"/>
    <x v="0"/>
    <x v="0"/>
    <x v="1"/>
    <n v="6085"/>
    <n v="1549.02"/>
    <n v="80.16"/>
    <n v="194.33"/>
    <n v="1823.51"/>
    <n v="1"/>
    <n v="4.2"/>
  </r>
  <r>
    <n v="39444"/>
    <s v="Living Room"/>
    <s v="Coffee Table"/>
    <x v="3"/>
    <x v="2"/>
    <x v="1"/>
    <x v="0"/>
    <x v="3"/>
    <n v="4262"/>
    <n v="1349.04"/>
    <n v="102.83"/>
    <n v="193.39"/>
    <n v="1645.26"/>
    <n v="3"/>
    <n v="4.4000000000000004"/>
  </r>
  <r>
    <n v="29313"/>
    <s v="Outdoor"/>
    <s v="Garden Chair"/>
    <x v="5"/>
    <x v="0"/>
    <x v="0"/>
    <x v="0"/>
    <x v="3"/>
    <n v="1400"/>
    <n v="1408.5"/>
    <n v="127.04"/>
    <n v="25.34"/>
    <n v="1560.88"/>
    <n v="4"/>
    <m/>
  </r>
  <r>
    <n v="16057"/>
    <s v="Dining Room"/>
    <s v="China Cabinet"/>
    <x v="1"/>
    <x v="4"/>
    <x v="0"/>
    <x v="0"/>
    <x v="6"/>
    <n v="5011"/>
    <n v="1557.51"/>
    <n v="90.23"/>
    <n v="108.36"/>
    <n v="1756.1"/>
    <n v="2"/>
    <n v="1.8"/>
  </r>
  <r>
    <n v="72277"/>
    <s v="Office"/>
    <s v="Computer Table"/>
    <x v="4"/>
    <x v="3"/>
    <x v="0"/>
    <x v="0"/>
    <x v="1"/>
    <n v="2193"/>
    <n v="980.7"/>
    <n v="118.11"/>
    <n v="169.87"/>
    <n v="1268.68"/>
    <n v="12"/>
    <n v="2"/>
  </r>
  <r>
    <n v="69692"/>
    <s v="Living Room"/>
    <s v="Armchair"/>
    <x v="8"/>
    <x v="4"/>
    <x v="0"/>
    <x v="0"/>
    <x v="3"/>
    <n v="7790"/>
    <n v="1608.28"/>
    <n v="0"/>
    <n v="25.32"/>
    <n v="1633.6"/>
    <n v="3"/>
    <n v="1.7"/>
  </r>
  <r>
    <n v="92544"/>
    <s v="Outdoor"/>
    <s v="Outdoor Table"/>
    <x v="5"/>
    <x v="2"/>
    <x v="1"/>
    <x v="1"/>
    <x v="2"/>
    <n v="4185"/>
    <n v="425.49"/>
    <n v="34.520000000000003"/>
    <n v="0"/>
    <n v="460.01"/>
    <n v="12"/>
    <n v="4.0999999999999996"/>
  </r>
  <r>
    <n v="60328"/>
    <s v="Office"/>
    <s v="Bookshelf"/>
    <x v="0"/>
    <x v="5"/>
    <x v="0"/>
    <x v="0"/>
    <x v="6"/>
    <n v="9099"/>
    <n v="823.87"/>
    <n v="0"/>
    <n v="218.28"/>
    <n v="1042.1500000000001"/>
    <n v="6"/>
    <m/>
  </r>
  <r>
    <n v="62383"/>
    <s v="Bedroom"/>
    <s v="Dresser"/>
    <x v="5"/>
    <x v="5"/>
    <x v="0"/>
    <x v="0"/>
    <x v="0"/>
    <n v="4997"/>
    <n v="2353.9899999999998"/>
    <n v="117.41"/>
    <n v="87.04"/>
    <n v="2558.44"/>
    <n v="1"/>
    <m/>
  </r>
  <r>
    <n v="29342"/>
    <s v="Office"/>
    <s v="Bookshelf"/>
    <x v="11"/>
    <x v="3"/>
    <x v="0"/>
    <x v="0"/>
    <x v="3"/>
    <n v="1090"/>
    <n v="623.83000000000004"/>
    <n v="0"/>
    <n v="183.68"/>
    <n v="807.51"/>
    <n v="4"/>
    <n v="3.9"/>
  </r>
  <r>
    <n v="23970"/>
    <s v="Dining Room"/>
    <s v="Dining Table"/>
    <x v="11"/>
    <x v="2"/>
    <x v="1"/>
    <x v="0"/>
    <x v="0"/>
    <n v="7965"/>
    <n v="1053.8800000000001"/>
    <n v="67.930000000000007"/>
    <n v="160.34"/>
    <n v="1282.1500000000001"/>
    <n v="8"/>
    <n v="4.0999999999999996"/>
  </r>
  <r>
    <n v="38683"/>
    <s v="Kitchen"/>
    <s v="Pantry Cabinet"/>
    <x v="0"/>
    <x v="0"/>
    <x v="0"/>
    <x v="1"/>
    <x v="2"/>
    <n v="3881"/>
    <n v="317.52999999999997"/>
    <n v="40.049999999999997"/>
    <n v="0"/>
    <n v="357.58"/>
    <n v="12"/>
    <n v="2.9"/>
  </r>
  <r>
    <n v="77889"/>
    <s v="Bedroom"/>
    <s v="Chest of Drawers"/>
    <x v="5"/>
    <x v="2"/>
    <x v="1"/>
    <x v="0"/>
    <x v="0"/>
    <n v="8611"/>
    <n v="2716.26"/>
    <n v="74.510000000000005"/>
    <n v="153.59"/>
    <n v="2944.36"/>
    <n v="9"/>
    <n v="4.4000000000000004"/>
  </r>
  <r>
    <n v="16582"/>
    <s v="Outdoor"/>
    <s v="Lounge Chair"/>
    <x v="11"/>
    <x v="3"/>
    <x v="0"/>
    <x v="0"/>
    <x v="0"/>
    <n v="5082"/>
    <n v="1550.86"/>
    <n v="60.39"/>
    <n v="223.8"/>
    <n v="1835.05"/>
    <n v="1"/>
    <n v="1.6"/>
  </r>
  <r>
    <n v="25906"/>
    <s v="Bedroom"/>
    <s v="Wardrobe"/>
    <x v="12"/>
    <x v="3"/>
    <x v="0"/>
    <x v="0"/>
    <x v="1"/>
    <n v="8478"/>
    <n v="1327.21"/>
    <n v="95.85"/>
    <n v="37.64"/>
    <n v="1460.7"/>
    <n v="11"/>
    <n v="1.3"/>
  </r>
  <r>
    <n v="27477"/>
    <s v="Outdoor"/>
    <s v="Garden Chair"/>
    <x v="8"/>
    <x v="2"/>
    <x v="1"/>
    <x v="1"/>
    <x v="1"/>
    <n v="8612"/>
    <n v="540.66999999999996"/>
    <n v="0"/>
    <n v="0"/>
    <n v="540.66999999999996"/>
    <n v="13"/>
    <n v="4.3"/>
  </r>
  <r>
    <n v="97500"/>
    <s v="Dining Room"/>
    <s v="Dining Chair"/>
    <x v="7"/>
    <x v="2"/>
    <x v="1"/>
    <x v="0"/>
    <x v="2"/>
    <n v="9702"/>
    <n v="241.91"/>
    <n v="40.200000000000003"/>
    <n v="55.28"/>
    <n v="337.39"/>
    <n v="8"/>
    <n v="2.6"/>
  </r>
  <r>
    <n v="83259"/>
    <s v="Bedroom"/>
    <s v="Nightstand"/>
    <x v="0"/>
    <x v="3"/>
    <x v="0"/>
    <x v="0"/>
    <x v="5"/>
    <n v="6198"/>
    <n v="1028.68"/>
    <n v="0"/>
    <n v="28.94"/>
    <n v="1057.6199999999999"/>
    <n v="11"/>
    <n v="3.8"/>
  </r>
  <r>
    <n v="68008"/>
    <s v="Dining Room"/>
    <s v="Dining Chair"/>
    <x v="11"/>
    <x v="5"/>
    <x v="0"/>
    <x v="1"/>
    <x v="0"/>
    <n v="9270"/>
    <n v="273.3"/>
    <n v="43.62"/>
    <n v="0"/>
    <n v="316.92"/>
    <n v="7"/>
    <n v="3.7"/>
  </r>
  <r>
    <n v="65933"/>
    <s v="Office"/>
    <s v="Filing Cabinet"/>
    <x v="12"/>
    <x v="5"/>
    <x v="0"/>
    <x v="0"/>
    <x v="2"/>
    <n v="9976"/>
    <n v="869.45"/>
    <n v="59.47"/>
    <n v="56.07"/>
    <n v="984.99"/>
    <n v="1"/>
    <n v="4.9000000000000004"/>
  </r>
  <r>
    <n v="68446"/>
    <s v="Office"/>
    <s v="Bookshelf"/>
    <x v="2"/>
    <x v="5"/>
    <x v="0"/>
    <x v="1"/>
    <x v="4"/>
    <n v="3607"/>
    <n v="1054.53"/>
    <n v="58.4"/>
    <n v="0"/>
    <n v="1112.93"/>
    <n v="14"/>
    <m/>
  </r>
  <r>
    <n v="72216"/>
    <s v="Office"/>
    <s v="Desk"/>
    <x v="10"/>
    <x v="3"/>
    <x v="0"/>
    <x v="1"/>
    <x v="5"/>
    <n v="8373"/>
    <n v="210.61"/>
    <n v="88.55"/>
    <n v="0"/>
    <n v="299.16000000000003"/>
    <n v="2"/>
    <m/>
  </r>
  <r>
    <n v="43972"/>
    <s v="Kitchen"/>
    <s v="Pantry Cabinet"/>
    <x v="11"/>
    <x v="2"/>
    <x v="1"/>
    <x v="1"/>
    <x v="1"/>
    <n v="5050"/>
    <n v="2107.71"/>
    <n v="52.95"/>
    <n v="0"/>
    <n v="2160.66"/>
    <n v="3"/>
    <n v="4.5999999999999996"/>
  </r>
  <r>
    <n v="93579"/>
    <s v="Bedroom"/>
    <s v="Bed Frame"/>
    <x v="2"/>
    <x v="2"/>
    <x v="1"/>
    <x v="1"/>
    <x v="1"/>
    <n v="5543"/>
    <n v="1900.2"/>
    <n v="114.73"/>
    <n v="0"/>
    <n v="2014.93"/>
    <n v="7"/>
    <n v="2.9"/>
  </r>
  <r>
    <n v="78327"/>
    <s v="Bedroom"/>
    <s v="Nightstand"/>
    <x v="8"/>
    <x v="4"/>
    <x v="0"/>
    <x v="0"/>
    <x v="3"/>
    <n v="8939"/>
    <n v="718.45"/>
    <n v="102.58"/>
    <n v="267.29000000000002"/>
    <n v="1088.32"/>
    <n v="6"/>
    <n v="4.0999999999999996"/>
  </r>
  <r>
    <n v="92149"/>
    <s v="Dining Room"/>
    <s v="Buffet"/>
    <x v="10"/>
    <x v="4"/>
    <x v="0"/>
    <x v="0"/>
    <x v="6"/>
    <n v="4919"/>
    <n v="613.83000000000004"/>
    <n v="0"/>
    <n v="47.39"/>
    <n v="661.22"/>
    <n v="13"/>
    <n v="4.2"/>
  </r>
  <r>
    <n v="45992"/>
    <s v="Kitchen"/>
    <s v="Bar Cart"/>
    <x v="4"/>
    <x v="4"/>
    <x v="0"/>
    <x v="0"/>
    <x v="2"/>
    <n v="8206"/>
    <n v="2442.7600000000002"/>
    <n v="0"/>
    <n v="153.37"/>
    <n v="2596.13"/>
    <n v="13"/>
    <n v="1.2"/>
  </r>
  <r>
    <n v="20155"/>
    <s v="Office"/>
    <s v="Bookshelf"/>
    <x v="9"/>
    <x v="1"/>
    <x v="0"/>
    <x v="0"/>
    <x v="6"/>
    <n v="5681"/>
    <n v="1407.99"/>
    <n v="67.37"/>
    <n v="180.62"/>
    <n v="1655.98"/>
    <n v="12"/>
    <n v="3.4"/>
  </r>
  <r>
    <n v="40735"/>
    <s v="Kitchen"/>
    <s v="Bar Cart"/>
    <x v="2"/>
    <x v="3"/>
    <x v="0"/>
    <x v="1"/>
    <x v="5"/>
    <n v="5451"/>
    <n v="1538.84"/>
    <n v="0"/>
    <m/>
    <n v="1538.84"/>
    <n v="9"/>
    <n v="3"/>
  </r>
  <r>
    <n v="54020"/>
    <s v="Kitchen"/>
    <s v="Bar Cart"/>
    <x v="9"/>
    <x v="5"/>
    <x v="0"/>
    <x v="1"/>
    <x v="2"/>
    <n v="6238"/>
    <n v="343.84"/>
    <n v="60.85"/>
    <n v="0"/>
    <n v="404.69"/>
    <n v="10"/>
    <n v="1.5"/>
  </r>
  <r>
    <n v="80798"/>
    <s v="Dining Room"/>
    <s v="Dining Table"/>
    <x v="9"/>
    <x v="1"/>
    <x v="0"/>
    <x v="0"/>
    <x v="1"/>
    <n v="2320"/>
    <n v="141.63"/>
    <n v="69"/>
    <n v="46.16"/>
    <n v="256.79000000000002"/>
    <n v="14"/>
    <n v="1.3"/>
  </r>
  <r>
    <n v="28136"/>
    <s v="Kitchen"/>
    <s v="Kitchen Island"/>
    <x v="8"/>
    <x v="5"/>
    <x v="0"/>
    <x v="1"/>
    <x v="4"/>
    <n v="3471"/>
    <n v="1040.43"/>
    <n v="147.59"/>
    <n v="0"/>
    <n v="1188.02"/>
    <n v="13"/>
    <n v="2.9"/>
  </r>
  <r>
    <n v="40311"/>
    <s v="Kitchen"/>
    <s v="Kitchen Cabinet"/>
    <x v="9"/>
    <x v="3"/>
    <x v="0"/>
    <x v="1"/>
    <x v="4"/>
    <n v="7275"/>
    <n v="791.12"/>
    <n v="67.540000000000006"/>
    <n v="0"/>
    <n v="858.66"/>
    <n v="12"/>
    <n v="1.5"/>
  </r>
  <r>
    <n v="30028"/>
    <s v="Kitchen"/>
    <s v="Pantry Cabinet"/>
    <x v="10"/>
    <x v="5"/>
    <x v="0"/>
    <x v="0"/>
    <x v="6"/>
    <n v="4505"/>
    <n v="2171.67"/>
    <n v="106.75"/>
    <n v="192.1"/>
    <n v="2470.52"/>
    <n v="10"/>
    <n v="3.3"/>
  </r>
  <r>
    <n v="18418"/>
    <s v="Outdoor"/>
    <s v="Patio Set"/>
    <x v="8"/>
    <x v="2"/>
    <x v="1"/>
    <x v="0"/>
    <x v="2"/>
    <n v="7797"/>
    <n v="542.69000000000005"/>
    <n v="66.790000000000006"/>
    <n v="144.66"/>
    <n v="754.14"/>
    <n v="5"/>
    <n v="3.8"/>
  </r>
  <r>
    <n v="63424"/>
    <s v="Living Room"/>
    <s v="Side Table"/>
    <x v="3"/>
    <x v="2"/>
    <x v="1"/>
    <x v="1"/>
    <x v="3"/>
    <n v="6421"/>
    <n v="202.95"/>
    <m/>
    <n v="0"/>
    <n v="256.89999999999998"/>
    <n v="3"/>
    <n v="3"/>
  </r>
  <r>
    <n v="81121"/>
    <s v="Office"/>
    <s v="Office Chair"/>
    <x v="8"/>
    <x v="2"/>
    <x v="1"/>
    <x v="0"/>
    <x v="0"/>
    <n v="8633"/>
    <n v="1256.9100000000001"/>
    <n v="107.81"/>
    <n v="72.56"/>
    <n v="1437.28"/>
    <n v="13"/>
    <n v="2.2000000000000002"/>
  </r>
  <r>
    <n v="64496"/>
    <s v="Living Room"/>
    <s v="TV Stand"/>
    <x v="3"/>
    <x v="1"/>
    <x v="0"/>
    <x v="0"/>
    <x v="5"/>
    <n v="2020"/>
    <n v="591.24"/>
    <n v="123.2"/>
    <n v="159.4"/>
    <n v="873.84"/>
    <n v="10"/>
    <n v="3.8"/>
  </r>
  <r>
    <n v="37110"/>
    <s v="Kitchen"/>
    <s v="Pantry Cabinet"/>
    <x v="11"/>
    <x v="1"/>
    <x v="0"/>
    <x v="0"/>
    <x v="6"/>
    <n v="7883"/>
    <n v="645.63"/>
    <n v="0"/>
    <n v="70.459999999999994"/>
    <n v="716.09"/>
    <n v="9"/>
    <n v="3.9"/>
  </r>
  <r>
    <n v="61049"/>
    <s v="Dining Room"/>
    <s v="Dining Chair"/>
    <x v="5"/>
    <x v="0"/>
    <x v="0"/>
    <x v="1"/>
    <x v="0"/>
    <n v="1320"/>
    <n v="282.24"/>
    <n v="54.47"/>
    <n v="0"/>
    <n v="336.71"/>
    <n v="3"/>
    <m/>
  </r>
  <r>
    <n v="85456"/>
    <s v="Dining Room"/>
    <s v="China Cabinet"/>
    <x v="3"/>
    <x v="0"/>
    <x v="0"/>
    <x v="0"/>
    <x v="1"/>
    <n v="7232"/>
    <n v="1012.62"/>
    <n v="0"/>
    <n v="81.91"/>
    <n v="1094.53"/>
    <n v="2"/>
    <n v="1.5"/>
  </r>
  <r>
    <n v="72518"/>
    <s v="Outdoor"/>
    <s v="Outdoor Table"/>
    <x v="12"/>
    <x v="0"/>
    <x v="0"/>
    <x v="0"/>
    <x v="6"/>
    <n v="1096"/>
    <n v="300.38"/>
    <n v="65.81"/>
    <m/>
    <n v="554.74"/>
    <n v="6"/>
    <n v="1.2"/>
  </r>
  <r>
    <n v="56105"/>
    <s v="Bedroom"/>
    <s v="Dresser"/>
    <x v="12"/>
    <x v="5"/>
    <x v="0"/>
    <x v="0"/>
    <x v="3"/>
    <n v="5892"/>
    <n v="1758.1"/>
    <n v="0"/>
    <n v="41.7"/>
    <n v="1799.8"/>
    <n v="13"/>
    <n v="4.9000000000000004"/>
  </r>
  <r>
    <n v="61116"/>
    <s v="Living Room"/>
    <s v="Armchair"/>
    <x v="2"/>
    <x v="0"/>
    <x v="0"/>
    <x v="1"/>
    <x v="2"/>
    <n v="7865"/>
    <n v="2082.33"/>
    <n v="103.55"/>
    <n v="0"/>
    <n v="2185.88"/>
    <n v="10"/>
    <n v="2.9"/>
  </r>
  <r>
    <n v="80545"/>
    <s v="Outdoor"/>
    <s v="Patio Set"/>
    <x v="4"/>
    <x v="5"/>
    <x v="0"/>
    <x v="0"/>
    <x v="5"/>
    <n v="9947"/>
    <n v="978.47"/>
    <n v="130.05000000000001"/>
    <n v="48.73"/>
    <n v="1157.25"/>
    <n v="8"/>
    <n v="4.9000000000000004"/>
  </r>
  <r>
    <n v="89069"/>
    <s v="Living Room"/>
    <s v="Armchair"/>
    <x v="2"/>
    <x v="3"/>
    <x v="0"/>
    <x v="0"/>
    <x v="1"/>
    <n v="4613"/>
    <n v="380.25"/>
    <n v="76.23"/>
    <n v="91.71"/>
    <n v="548.19000000000005"/>
    <n v="5"/>
    <n v="3.9"/>
  </r>
  <r>
    <n v="73993"/>
    <s v="Kitchen"/>
    <s v="Pantry Cabinet"/>
    <x v="0"/>
    <x v="4"/>
    <x v="0"/>
    <x v="0"/>
    <x v="2"/>
    <n v="4595"/>
    <n v="1514.52"/>
    <n v="101.97"/>
    <n v="166.88"/>
    <n v="1783.37"/>
    <n v="3"/>
    <m/>
  </r>
  <r>
    <n v="45774"/>
    <s v="Living Room"/>
    <s v="Sofa"/>
    <x v="3"/>
    <x v="2"/>
    <x v="1"/>
    <x v="1"/>
    <x v="1"/>
    <n v="8140"/>
    <n v="1494.17"/>
    <n v="0"/>
    <n v="0"/>
    <n v="1494.17"/>
    <n v="14"/>
    <n v="2.4"/>
  </r>
  <r>
    <n v="73654"/>
    <s v="Outdoor"/>
    <s v="Lounge Chair"/>
    <x v="3"/>
    <x v="3"/>
    <x v="0"/>
    <x v="1"/>
    <x v="1"/>
    <n v="1475"/>
    <n v="1093.8399999999999"/>
    <n v="67.22"/>
    <n v="0"/>
    <n v="1161.06"/>
    <n v="3"/>
    <n v="3.7"/>
  </r>
  <r>
    <n v="60968"/>
    <s v="Dining Room"/>
    <s v="Dining Chair"/>
    <x v="11"/>
    <x v="2"/>
    <x v="1"/>
    <x v="1"/>
    <x v="6"/>
    <n v="6507"/>
    <n v="193.65"/>
    <n v="60.64"/>
    <n v="0"/>
    <n v="254.29"/>
    <n v="6"/>
    <m/>
  </r>
  <r>
    <n v="97670"/>
    <s v="Office"/>
    <s v="Office Chair"/>
    <x v="11"/>
    <x v="1"/>
    <x v="0"/>
    <x v="1"/>
    <x v="1"/>
    <n v="7624"/>
    <n v="1460.95"/>
    <n v="0"/>
    <n v="0"/>
    <n v="1460.95"/>
    <n v="12"/>
    <n v="4.3"/>
  </r>
  <r>
    <n v="31632"/>
    <s v="Kitchen"/>
    <s v="Kitchen Island"/>
    <x v="12"/>
    <x v="3"/>
    <x v="0"/>
    <x v="1"/>
    <x v="3"/>
    <n v="8657"/>
    <n v="713.46"/>
    <n v="0"/>
    <n v="0"/>
    <n v="713.46"/>
    <n v="12"/>
    <n v="3.1"/>
  </r>
  <r>
    <n v="26728"/>
    <s v="Bedroom"/>
    <s v="Bed Frame"/>
    <x v="5"/>
    <x v="0"/>
    <x v="0"/>
    <x v="0"/>
    <x v="0"/>
    <n v="9751"/>
    <n v="1036.7"/>
    <n v="63.56"/>
    <n v="59.64"/>
    <n v="1159.9000000000001"/>
    <n v="14"/>
    <n v="1.2"/>
  </r>
  <r>
    <n v="13534"/>
    <s v="Dining Room"/>
    <s v="Dining Chair"/>
    <x v="10"/>
    <x v="4"/>
    <x v="0"/>
    <x v="0"/>
    <x v="3"/>
    <n v="7455"/>
    <n v="620.55999999999995"/>
    <n v="100.51"/>
    <n v="31.05"/>
    <n v="752.12"/>
    <n v="8"/>
    <n v="1.7"/>
  </r>
  <r>
    <n v="87580"/>
    <s v="Dining Room"/>
    <s v="Bar Stool"/>
    <x v="4"/>
    <x v="5"/>
    <x v="0"/>
    <x v="0"/>
    <x v="4"/>
    <n v="1444"/>
    <n v="410.68"/>
    <n v="92.09"/>
    <n v="102.75"/>
    <n v="605.52"/>
    <n v="1"/>
    <n v="3.3"/>
  </r>
  <r>
    <n v="21003"/>
    <s v="Bedroom"/>
    <s v="Chest of Drawers"/>
    <x v="4"/>
    <x v="2"/>
    <x v="1"/>
    <x v="0"/>
    <x v="3"/>
    <n v="8022"/>
    <n v="739.18"/>
    <n v="101.33"/>
    <n v="286.73"/>
    <n v="1127.24"/>
    <n v="11"/>
    <n v="4.2"/>
  </r>
  <r>
    <n v="27786"/>
    <s v="Dining Room"/>
    <s v="Bar Stool"/>
    <x v="0"/>
    <x v="0"/>
    <x v="0"/>
    <x v="1"/>
    <x v="3"/>
    <n v="8564"/>
    <n v="905.23"/>
    <n v="84.87"/>
    <n v="0"/>
    <n v="990.1"/>
    <n v="4"/>
    <n v="3.7"/>
  </r>
  <r>
    <n v="33819"/>
    <s v="Living Room"/>
    <s v="Sofa"/>
    <x v="11"/>
    <x v="1"/>
    <x v="0"/>
    <x v="1"/>
    <x v="0"/>
    <n v="1823"/>
    <n v="1376.48"/>
    <n v="134.33000000000001"/>
    <n v="0"/>
    <n v="1510.81"/>
    <n v="9"/>
    <n v="3.4"/>
  </r>
  <r>
    <n v="44099"/>
    <s v="Office"/>
    <s v="Office Chair"/>
    <x v="6"/>
    <x v="2"/>
    <x v="1"/>
    <x v="1"/>
    <x v="5"/>
    <n v="7211"/>
    <n v="557.52"/>
    <n v="0"/>
    <n v="0"/>
    <n v="557.52"/>
    <n v="14"/>
    <n v="3.6"/>
  </r>
  <r>
    <n v="52906"/>
    <s v="Bedroom"/>
    <s v="Wardrobe"/>
    <x v="5"/>
    <x v="1"/>
    <x v="0"/>
    <x v="1"/>
    <x v="1"/>
    <n v="4467"/>
    <n v="2331.6"/>
    <n v="130.54"/>
    <n v="0"/>
    <n v="2462.14"/>
    <n v="11"/>
    <n v="1.6"/>
  </r>
  <r>
    <n v="69598"/>
    <s v="Dining Room"/>
    <s v="Bar Stool"/>
    <x v="10"/>
    <x v="1"/>
    <x v="0"/>
    <x v="0"/>
    <x v="6"/>
    <n v="6355"/>
    <n v="1823.13"/>
    <n v="123.67"/>
    <n v="172.65"/>
    <n v="2119.4499999999998"/>
    <n v="4"/>
    <n v="3.6"/>
  </r>
  <r>
    <n v="54236"/>
    <s v="Kitchen"/>
    <s v="Kitchen Cabinet"/>
    <x v="7"/>
    <x v="5"/>
    <x v="0"/>
    <x v="0"/>
    <x v="4"/>
    <n v="7211"/>
    <n v="2159.92"/>
    <n v="137.65"/>
    <n v="109.76"/>
    <n v="2407.33"/>
    <n v="3"/>
    <n v="3.9"/>
  </r>
  <r>
    <n v="46471"/>
    <s v="Dining Room"/>
    <s v="Dining Table"/>
    <x v="11"/>
    <x v="4"/>
    <x v="0"/>
    <x v="1"/>
    <x v="6"/>
    <n v="7906"/>
    <n v="522.28"/>
    <n v="0"/>
    <n v="0"/>
    <n v="522.28"/>
    <n v="7"/>
    <n v="2.2999999999999998"/>
  </r>
  <r>
    <n v="43065"/>
    <s v="Office"/>
    <s v="Office Chair"/>
    <x v="6"/>
    <x v="0"/>
    <x v="0"/>
    <x v="0"/>
    <x v="3"/>
    <n v="2341"/>
    <n v="748.16"/>
    <n v="108.36"/>
    <m/>
    <n v="1139.93"/>
    <n v="9"/>
    <m/>
  </r>
  <r>
    <n v="71644"/>
    <s v="Dining Room"/>
    <s v="Buffet"/>
    <x v="1"/>
    <x v="2"/>
    <x v="1"/>
    <x v="0"/>
    <x v="2"/>
    <n v="1317"/>
    <n v="202.72"/>
    <n v="89.07"/>
    <n v="67.13"/>
    <n v="358.92"/>
    <n v="10"/>
    <n v="4.9000000000000004"/>
  </r>
  <r>
    <n v="80702"/>
    <s v="Outdoor"/>
    <s v="Garden Chair"/>
    <x v="1"/>
    <x v="4"/>
    <x v="0"/>
    <x v="0"/>
    <x v="2"/>
    <n v="1853"/>
    <n v="1435.25"/>
    <n v="113.1"/>
    <n v="163.44999999999999"/>
    <n v="1711.8"/>
    <n v="1"/>
    <n v="1.8"/>
  </r>
  <r>
    <n v="55870"/>
    <s v="Bedroom"/>
    <s v="Nightstand"/>
    <x v="10"/>
    <x v="0"/>
    <x v="0"/>
    <x v="1"/>
    <x v="0"/>
    <n v="4673"/>
    <n v="2387.85"/>
    <n v="62.94"/>
    <n v="0"/>
    <n v="2450.79"/>
    <n v="11"/>
    <n v="2.7"/>
  </r>
  <r>
    <n v="95215"/>
    <s v="Living Room"/>
    <s v="Ottoman"/>
    <x v="6"/>
    <x v="3"/>
    <x v="0"/>
    <x v="1"/>
    <x v="4"/>
    <n v="2124"/>
    <n v="658.65"/>
    <n v="51.41"/>
    <n v="0"/>
    <n v="710.06"/>
    <n v="13"/>
    <n v="1.8"/>
  </r>
  <r>
    <n v="95426"/>
    <s v="Outdoor"/>
    <s v="Garden Chair"/>
    <x v="12"/>
    <x v="2"/>
    <x v="1"/>
    <x v="0"/>
    <x v="1"/>
    <n v="1659"/>
    <n v="523.34"/>
    <n v="81.209999999999994"/>
    <n v="225.5"/>
    <n v="830.05"/>
    <n v="5"/>
    <n v="4.3"/>
  </r>
  <r>
    <n v="14067"/>
    <s v="Outdoor"/>
    <s v="Umbrella"/>
    <x v="3"/>
    <x v="3"/>
    <x v="0"/>
    <x v="0"/>
    <x v="5"/>
    <n v="5051"/>
    <n v="1134.01"/>
    <n v="138.80000000000001"/>
    <n v="199.61"/>
    <n v="1472.42"/>
    <n v="8"/>
    <n v="1.8"/>
  </r>
  <r>
    <n v="36130"/>
    <s v="Bedroom"/>
    <s v="Chest of Drawers"/>
    <x v="6"/>
    <x v="2"/>
    <x v="1"/>
    <x v="0"/>
    <x v="2"/>
    <n v="1333"/>
    <n v="2956.91"/>
    <n v="0"/>
    <n v="56.16"/>
    <n v="3013.07"/>
    <n v="12"/>
    <n v="1.1000000000000001"/>
  </r>
  <r>
    <n v="91439"/>
    <s v="Kitchen"/>
    <s v="Kitchen Island"/>
    <x v="7"/>
    <x v="2"/>
    <x v="1"/>
    <x v="0"/>
    <x v="1"/>
    <n v="3496"/>
    <n v="1606.63"/>
    <n v="0"/>
    <n v="26.21"/>
    <n v="1632.84"/>
    <n v="2"/>
    <n v="2.5"/>
  </r>
  <r>
    <n v="41266"/>
    <s v="Outdoor"/>
    <s v="Garden Chair"/>
    <x v="0"/>
    <x v="1"/>
    <x v="0"/>
    <x v="0"/>
    <x v="5"/>
    <n v="3068"/>
    <n v="489.07"/>
    <n v="76.430000000000007"/>
    <n v="142.09"/>
    <n v="707.59"/>
    <n v="2"/>
    <n v="2.1"/>
  </r>
  <r>
    <n v="72070"/>
    <s v="Office"/>
    <s v="Office Chair"/>
    <x v="4"/>
    <x v="2"/>
    <x v="1"/>
    <x v="0"/>
    <x v="4"/>
    <n v="2874"/>
    <n v="806.45"/>
    <n v="78.27"/>
    <n v="179.8"/>
    <n v="1064.52"/>
    <n v="4"/>
    <n v="4.3"/>
  </r>
  <r>
    <n v="83920"/>
    <s v="Office"/>
    <s v="Bookshelf"/>
    <x v="2"/>
    <x v="3"/>
    <x v="0"/>
    <x v="0"/>
    <x v="2"/>
    <n v="4571"/>
    <n v="307.73"/>
    <n v="66.11"/>
    <n v="199.59"/>
    <n v="573.42999999999995"/>
    <n v="1"/>
    <m/>
  </r>
  <r>
    <n v="70952"/>
    <s v="Kitchen"/>
    <s v="Pantry Cabinet"/>
    <x v="11"/>
    <x v="2"/>
    <x v="1"/>
    <x v="0"/>
    <x v="1"/>
    <n v="5198"/>
    <n v="628.12"/>
    <n v="0"/>
    <n v="47.62"/>
    <n v="675.74"/>
    <n v="11"/>
    <n v="5"/>
  </r>
  <r>
    <n v="58351"/>
    <s v="Living Room"/>
    <s v="Sofa"/>
    <x v="2"/>
    <x v="3"/>
    <x v="0"/>
    <x v="1"/>
    <x v="2"/>
    <n v="3749"/>
    <n v="2070.31"/>
    <n v="135.22"/>
    <n v="0"/>
    <n v="2205.5300000000002"/>
    <n v="13"/>
    <n v="2.7"/>
  </r>
  <r>
    <n v="89415"/>
    <s v="Living Room"/>
    <s v="Sofa"/>
    <x v="9"/>
    <x v="3"/>
    <x v="0"/>
    <x v="1"/>
    <x v="6"/>
    <n v="2876"/>
    <n v="2159.6"/>
    <n v="67.05"/>
    <n v="0"/>
    <n v="2226.65"/>
    <n v="8"/>
    <n v="2.1"/>
  </r>
  <r>
    <n v="31465"/>
    <s v="Dining Room"/>
    <s v="Dining Chair"/>
    <x v="10"/>
    <x v="0"/>
    <x v="0"/>
    <x v="1"/>
    <x v="4"/>
    <n v="6096"/>
    <n v="316.27999999999997"/>
    <n v="55.02"/>
    <n v="0"/>
    <n v="371.3"/>
    <n v="5"/>
    <n v="3.8"/>
  </r>
  <r>
    <n v="24168"/>
    <s v="Bedroom"/>
    <s v="Bed Frame"/>
    <x v="10"/>
    <x v="5"/>
    <x v="0"/>
    <x v="0"/>
    <x v="3"/>
    <n v="1420"/>
    <n v="527.66"/>
    <n v="148.16"/>
    <n v="35.4"/>
    <n v="711.22"/>
    <n v="10"/>
    <n v="3.3"/>
  </r>
  <r>
    <n v="50888"/>
    <s v="Office"/>
    <s v="Bookshelf"/>
    <x v="2"/>
    <x v="2"/>
    <x v="1"/>
    <x v="0"/>
    <x v="4"/>
    <n v="7149"/>
    <n v="948.13"/>
    <m/>
    <n v="288.06"/>
    <n v="1374.19"/>
    <n v="2"/>
    <n v="2.8"/>
  </r>
  <r>
    <n v="61990"/>
    <s v="Dining Room"/>
    <s v="Dining Table"/>
    <x v="6"/>
    <x v="1"/>
    <x v="0"/>
    <x v="0"/>
    <x v="5"/>
    <n v="4249"/>
    <n v="1438.68"/>
    <n v="126.75"/>
    <n v="151.91"/>
    <n v="1717.34"/>
    <n v="12"/>
    <n v="1.4"/>
  </r>
  <r>
    <n v="19961"/>
    <s v="Office"/>
    <s v="Bookshelf"/>
    <x v="10"/>
    <x v="5"/>
    <x v="0"/>
    <x v="0"/>
    <x v="0"/>
    <n v="4978"/>
    <n v="1022.47"/>
    <m/>
    <n v="41.08"/>
    <n v="1128.42"/>
    <n v="3"/>
    <n v="2.9"/>
  </r>
  <r>
    <n v="23356"/>
    <s v="Office"/>
    <s v="Bookshelf"/>
    <x v="10"/>
    <x v="0"/>
    <x v="0"/>
    <x v="0"/>
    <x v="2"/>
    <n v="5941"/>
    <n v="422.07"/>
    <n v="97.76"/>
    <n v="77.52"/>
    <n v="597.35"/>
    <n v="7"/>
    <n v="1.9"/>
  </r>
  <r>
    <n v="99687"/>
    <s v="Kitchen"/>
    <s v="Pantry Cabinet"/>
    <x v="5"/>
    <x v="3"/>
    <x v="0"/>
    <x v="1"/>
    <x v="1"/>
    <n v="2983"/>
    <n v="493.64"/>
    <n v="62.38"/>
    <n v="0"/>
    <n v="556.02"/>
    <n v="2"/>
    <n v="4"/>
  </r>
  <r>
    <n v="84177"/>
    <s v="Office"/>
    <s v="Office Chair"/>
    <x v="8"/>
    <x v="2"/>
    <x v="1"/>
    <x v="0"/>
    <x v="2"/>
    <n v="1672"/>
    <n v="871.13"/>
    <n v="0"/>
    <n v="189.01"/>
    <n v="1060.1400000000001"/>
    <n v="9"/>
    <n v="3.7"/>
  </r>
  <r>
    <n v="55508"/>
    <s v="Living Room"/>
    <s v="Coffee Table"/>
    <x v="12"/>
    <x v="3"/>
    <x v="0"/>
    <x v="1"/>
    <x v="2"/>
    <n v="9728"/>
    <n v="2141.9299999999998"/>
    <n v="126.74"/>
    <n v="0"/>
    <n v="2268.67"/>
    <n v="12"/>
    <n v="3.9"/>
  </r>
  <r>
    <n v="66148"/>
    <s v="Outdoor"/>
    <s v="Garden Chair"/>
    <x v="5"/>
    <x v="5"/>
    <x v="0"/>
    <x v="1"/>
    <x v="1"/>
    <n v="7071"/>
    <n v="153.62"/>
    <n v="51.64"/>
    <n v="0"/>
    <n v="205.26"/>
    <n v="9"/>
    <n v="3.8"/>
  </r>
  <r>
    <n v="19038"/>
    <s v="Bedroom"/>
    <s v="Chest of Drawers"/>
    <x v="4"/>
    <x v="1"/>
    <x v="0"/>
    <x v="0"/>
    <x v="6"/>
    <n v="9289"/>
    <n v="2266.16"/>
    <n v="75.430000000000007"/>
    <n v="56.04"/>
    <n v="2397.63"/>
    <n v="14"/>
    <n v="2.8"/>
  </r>
  <r>
    <n v="94874"/>
    <s v="Living Room"/>
    <s v="Armchair"/>
    <x v="10"/>
    <x v="3"/>
    <x v="0"/>
    <x v="0"/>
    <x v="3"/>
    <n v="6590"/>
    <n v="306.95"/>
    <n v="72.489999999999995"/>
    <n v="218.61"/>
    <n v="598.04999999999995"/>
    <n v="10"/>
    <n v="1.5"/>
  </r>
  <r>
    <n v="11658"/>
    <s v="Outdoor"/>
    <s v="Patio Set"/>
    <x v="6"/>
    <x v="4"/>
    <x v="0"/>
    <x v="0"/>
    <x v="3"/>
    <n v="7882"/>
    <n v="1062.82"/>
    <n v="108.51"/>
    <n v="86.52"/>
    <n v="1257.8499999999999"/>
    <n v="3"/>
    <m/>
  </r>
  <r>
    <n v="74251"/>
    <s v="Dining Room"/>
    <s v="China Cabinet"/>
    <x v="1"/>
    <x v="5"/>
    <x v="0"/>
    <x v="0"/>
    <x v="1"/>
    <n v="2729"/>
    <n v="1774.64"/>
    <n v="110.9"/>
    <n v="139.79"/>
    <n v="2025.33"/>
    <n v="6"/>
    <n v="2.8"/>
  </r>
  <r>
    <n v="66822"/>
    <s v="Kitchen"/>
    <s v="Kitchen Cabinet"/>
    <x v="6"/>
    <x v="5"/>
    <x v="0"/>
    <x v="0"/>
    <x v="4"/>
    <n v="6934"/>
    <n v="2154.7600000000002"/>
    <n v="81.39"/>
    <n v="60.49"/>
    <n v="2296.64"/>
    <n v="12"/>
    <n v="2.4"/>
  </r>
  <r>
    <n v="93307"/>
    <s v="Outdoor"/>
    <s v="Garden Chair"/>
    <x v="3"/>
    <x v="1"/>
    <x v="0"/>
    <x v="0"/>
    <x v="4"/>
    <n v="8532"/>
    <n v="981.42"/>
    <n v="82.24"/>
    <n v="156.22999999999999"/>
    <n v="1219.8900000000001"/>
    <n v="10"/>
    <n v="3.7"/>
  </r>
  <r>
    <n v="30052"/>
    <s v="Kitchen"/>
    <s v="Kitchen Cabinet"/>
    <x v="12"/>
    <x v="2"/>
    <x v="1"/>
    <x v="0"/>
    <x v="4"/>
    <n v="8135"/>
    <n v="2230.4499999999998"/>
    <n v="51.28"/>
    <n v="34.520000000000003"/>
    <n v="2316.25"/>
    <n v="1"/>
    <n v="1.8"/>
  </r>
  <r>
    <n v="33086"/>
    <s v="Dining Room"/>
    <s v="Dining Chair"/>
    <x v="7"/>
    <x v="5"/>
    <x v="0"/>
    <x v="0"/>
    <x v="4"/>
    <n v="9548"/>
    <n v="1694.83"/>
    <n v="79.510000000000005"/>
    <n v="181.4"/>
    <n v="1955.74"/>
    <n v="2"/>
    <n v="3.7"/>
  </r>
  <r>
    <n v="95256"/>
    <s v="Outdoor"/>
    <s v="Umbrella"/>
    <x v="3"/>
    <x v="0"/>
    <x v="0"/>
    <x v="1"/>
    <x v="2"/>
    <n v="5425"/>
    <n v="791.66"/>
    <n v="129.68"/>
    <n v="0"/>
    <n v="921.34"/>
    <n v="12"/>
    <n v="4.7"/>
  </r>
  <r>
    <n v="90728"/>
    <s v="Outdoor"/>
    <s v="Outdoor Table"/>
    <x v="10"/>
    <x v="5"/>
    <x v="0"/>
    <x v="1"/>
    <x v="4"/>
    <n v="9817"/>
    <n v="1743.62"/>
    <n v="0"/>
    <n v="0"/>
    <n v="1743.62"/>
    <n v="4"/>
    <n v="4.0999999999999996"/>
  </r>
  <r>
    <n v="73372"/>
    <s v="Outdoor"/>
    <s v="Outdoor Table"/>
    <x v="1"/>
    <x v="1"/>
    <x v="0"/>
    <x v="0"/>
    <x v="3"/>
    <n v="8616"/>
    <n v="1395.93"/>
    <n v="110.34"/>
    <n v="144.88"/>
    <n v="1651.15"/>
    <n v="11"/>
    <m/>
  </r>
  <r>
    <n v="67091"/>
    <s v="Living Room"/>
    <s v="Armchair"/>
    <x v="5"/>
    <x v="2"/>
    <x v="1"/>
    <x v="1"/>
    <x v="1"/>
    <n v="5397"/>
    <n v="293.45999999999998"/>
    <n v="45.93"/>
    <n v="0"/>
    <n v="339.39"/>
    <n v="3"/>
    <n v="4.4000000000000004"/>
  </r>
  <r>
    <n v="52245"/>
    <s v="Outdoor"/>
    <s v="Garden Chair"/>
    <x v="9"/>
    <x v="2"/>
    <x v="1"/>
    <x v="0"/>
    <x v="3"/>
    <n v="5022"/>
    <n v="215.9"/>
    <n v="94.65"/>
    <n v="149.06"/>
    <n v="459.61"/>
    <n v="10"/>
    <n v="1.3"/>
  </r>
  <r>
    <n v="21359"/>
    <s v="Bedroom"/>
    <s v="Mattress"/>
    <x v="6"/>
    <x v="2"/>
    <x v="1"/>
    <x v="1"/>
    <x v="6"/>
    <n v="5569"/>
    <n v="1633.73"/>
    <n v="65.94"/>
    <n v="0"/>
    <n v="1699.67"/>
    <n v="2"/>
    <n v="4.5"/>
  </r>
  <r>
    <n v="69087"/>
    <s v="Dining Room"/>
    <s v="Bar Stool"/>
    <x v="0"/>
    <x v="5"/>
    <x v="0"/>
    <x v="0"/>
    <x v="0"/>
    <n v="4995"/>
    <n v="515.04999999999995"/>
    <n v="103.05"/>
    <n v="41.72"/>
    <n v="659.82"/>
    <n v="8"/>
    <n v="3.6"/>
  </r>
  <r>
    <n v="70910"/>
    <s v="Outdoor"/>
    <s v="Outdoor Table"/>
    <x v="7"/>
    <x v="2"/>
    <x v="1"/>
    <x v="1"/>
    <x v="3"/>
    <n v="7209"/>
    <n v="779.26"/>
    <n v="61.34"/>
    <n v="0"/>
    <n v="840.6"/>
    <n v="9"/>
    <n v="1.1000000000000001"/>
  </r>
  <r>
    <n v="54092"/>
    <s v="Kitchen"/>
    <s v="Pantry Cabinet"/>
    <x v="7"/>
    <x v="4"/>
    <x v="0"/>
    <x v="0"/>
    <x v="0"/>
    <n v="1470"/>
    <n v="1370.97"/>
    <n v="0"/>
    <n v="151.38999999999999"/>
    <n v="1522.36"/>
    <n v="2"/>
    <n v="4.8"/>
  </r>
  <r>
    <n v="74789"/>
    <s v="Outdoor"/>
    <s v="Patio Set"/>
    <x v="9"/>
    <x v="0"/>
    <x v="0"/>
    <x v="0"/>
    <x v="4"/>
    <n v="6325"/>
    <n v="497.79"/>
    <n v="72.209999999999994"/>
    <n v="275.35000000000002"/>
    <n v="845.35"/>
    <n v="4"/>
    <n v="3.8"/>
  </r>
  <r>
    <n v="33834"/>
    <s v="Living Room"/>
    <s v="Side Table"/>
    <x v="5"/>
    <x v="5"/>
    <x v="0"/>
    <x v="1"/>
    <x v="2"/>
    <n v="8988"/>
    <n v="1777.9"/>
    <n v="0"/>
    <n v="0"/>
    <n v="1777.9"/>
    <n v="1"/>
    <m/>
  </r>
  <r>
    <n v="37802"/>
    <s v="Dining Room"/>
    <s v="China Cabinet"/>
    <x v="3"/>
    <x v="2"/>
    <x v="1"/>
    <x v="1"/>
    <x v="0"/>
    <n v="6813"/>
    <n v="233.84"/>
    <n v="86.62"/>
    <n v="0"/>
    <n v="320.45999999999998"/>
    <n v="7"/>
    <n v="3.5"/>
  </r>
  <r>
    <n v="43862"/>
    <s v="Office"/>
    <s v="Office Chair"/>
    <x v="6"/>
    <x v="2"/>
    <x v="1"/>
    <x v="0"/>
    <x v="3"/>
    <n v="6576"/>
    <n v="839.46"/>
    <n v="111.83"/>
    <n v="33.94"/>
    <n v="985.23"/>
    <n v="9"/>
    <m/>
  </r>
  <r>
    <n v="46655"/>
    <s v="Living Room"/>
    <s v="TV Stand"/>
    <x v="3"/>
    <x v="4"/>
    <x v="0"/>
    <x v="0"/>
    <x v="6"/>
    <n v="5526"/>
    <n v="1960.13"/>
    <n v="89.51"/>
    <n v="173.45"/>
    <n v="2223.09"/>
    <n v="4"/>
    <m/>
  </r>
  <r>
    <n v="82848"/>
    <s v="Outdoor"/>
    <s v="Garden Chair"/>
    <x v="2"/>
    <x v="3"/>
    <x v="0"/>
    <x v="1"/>
    <x v="0"/>
    <n v="1166"/>
    <n v="641.79"/>
    <n v="146.54"/>
    <n v="0"/>
    <n v="788.33"/>
    <n v="1"/>
    <n v="3.2"/>
  </r>
  <r>
    <n v="77715"/>
    <s v="Kitchen"/>
    <s v="Pantry Cabinet"/>
    <x v="12"/>
    <x v="5"/>
    <x v="0"/>
    <x v="1"/>
    <x v="5"/>
    <n v="4130"/>
    <n v="1481.73"/>
    <n v="80.47"/>
    <n v="0"/>
    <n v="1562.2"/>
    <n v="4"/>
    <n v="3.6"/>
  </r>
  <r>
    <n v="21221"/>
    <s v="Bedroom"/>
    <s v="Mattress"/>
    <x v="7"/>
    <x v="0"/>
    <x v="0"/>
    <x v="0"/>
    <x v="4"/>
    <n v="4954"/>
    <n v="1908.12"/>
    <n v="0"/>
    <n v="83.55"/>
    <n v="1991.67"/>
    <n v="10"/>
    <n v="4.4000000000000004"/>
  </r>
  <r>
    <n v="63271"/>
    <s v="Kitchen"/>
    <s v="Kitchen Island"/>
    <x v="6"/>
    <x v="1"/>
    <x v="0"/>
    <x v="0"/>
    <x v="5"/>
    <n v="9004"/>
    <n v="939.44"/>
    <n v="0"/>
    <n v="86.28"/>
    <n v="1025.72"/>
    <n v="8"/>
    <n v="2.4"/>
  </r>
  <r>
    <n v="82768"/>
    <s v="Living Room"/>
    <s v="TV Stand"/>
    <x v="0"/>
    <x v="5"/>
    <x v="0"/>
    <x v="1"/>
    <x v="3"/>
    <n v="4937"/>
    <n v="1624.89"/>
    <n v="81.78"/>
    <n v="0"/>
    <n v="1706.67"/>
    <n v="6"/>
    <n v="2.2000000000000002"/>
  </r>
  <r>
    <n v="72402"/>
    <s v="Kitchen"/>
    <s v="Kitchen Cabinet"/>
    <x v="6"/>
    <x v="0"/>
    <x v="0"/>
    <x v="1"/>
    <x v="6"/>
    <n v="9041"/>
    <n v="2076.94"/>
    <n v="66.86"/>
    <n v="0"/>
    <n v="2143.8000000000002"/>
    <n v="4"/>
    <n v="3.8"/>
  </r>
  <r>
    <n v="68743"/>
    <s v="Dining Room"/>
    <s v="Dining Chair"/>
    <x v="2"/>
    <x v="5"/>
    <x v="0"/>
    <x v="1"/>
    <x v="4"/>
    <n v="1282"/>
    <n v="1391.2"/>
    <n v="98"/>
    <n v="0"/>
    <n v="1489.2"/>
    <n v="6"/>
    <n v="2.9"/>
  </r>
  <r>
    <n v="22196"/>
    <s v="Kitchen"/>
    <s v="Kitchen Island"/>
    <x v="2"/>
    <x v="3"/>
    <x v="0"/>
    <x v="0"/>
    <x v="2"/>
    <n v="5820"/>
    <n v="2151.94"/>
    <n v="64"/>
    <n v="173.35"/>
    <n v="2389.29"/>
    <n v="11"/>
    <m/>
  </r>
  <r>
    <n v="39045"/>
    <s v="Kitchen"/>
    <s v="Kitchen Island"/>
    <x v="6"/>
    <x v="5"/>
    <x v="0"/>
    <x v="0"/>
    <x v="6"/>
    <n v="7625"/>
    <n v="2087.81"/>
    <n v="126.92"/>
    <n v="38.79"/>
    <n v="2253.52"/>
    <n v="9"/>
    <n v="3.2"/>
  </r>
  <r>
    <n v="41890"/>
    <s v="Office"/>
    <s v="Desk"/>
    <x v="6"/>
    <x v="5"/>
    <x v="0"/>
    <x v="0"/>
    <x v="2"/>
    <n v="6016"/>
    <n v="1345.84"/>
    <n v="135.72"/>
    <n v="225.17"/>
    <n v="1706.73"/>
    <n v="2"/>
    <n v="3"/>
  </r>
  <r>
    <n v="97026"/>
    <s v="Kitchen"/>
    <s v="Bar Cart"/>
    <x v="9"/>
    <x v="1"/>
    <x v="0"/>
    <x v="0"/>
    <x v="1"/>
    <n v="7046"/>
    <n v="1965.85"/>
    <n v="0"/>
    <n v="78.319999999999993"/>
    <n v="2044.17"/>
    <n v="10"/>
    <n v="4.9000000000000004"/>
  </r>
  <r>
    <n v="72031"/>
    <s v="Dining Room"/>
    <s v="Dining Table"/>
    <x v="4"/>
    <x v="4"/>
    <x v="0"/>
    <x v="1"/>
    <x v="2"/>
    <n v="9698"/>
    <n v="515.76"/>
    <n v="56.29"/>
    <n v="0"/>
    <n v="572.04999999999995"/>
    <n v="4"/>
    <m/>
  </r>
  <r>
    <n v="55056"/>
    <s v="Dining Room"/>
    <s v="Buffet"/>
    <x v="11"/>
    <x v="1"/>
    <x v="0"/>
    <x v="1"/>
    <x v="6"/>
    <n v="7971"/>
    <n v="992.38"/>
    <n v="54.64"/>
    <n v="0"/>
    <n v="1047.02"/>
    <n v="2"/>
    <n v="3.1"/>
  </r>
  <r>
    <n v="82140"/>
    <s v="Kitchen"/>
    <s v="Bar Cart"/>
    <x v="8"/>
    <x v="0"/>
    <x v="0"/>
    <x v="0"/>
    <x v="2"/>
    <n v="6419"/>
    <n v="1128.6500000000001"/>
    <n v="108.77"/>
    <n v="137.63"/>
    <n v="1375.05"/>
    <n v="4"/>
    <n v="2.4"/>
  </r>
  <r>
    <n v="56112"/>
    <s v="Office"/>
    <s v="Computer Table"/>
    <x v="11"/>
    <x v="5"/>
    <x v="0"/>
    <x v="1"/>
    <x v="5"/>
    <n v="8434"/>
    <n v="89.37"/>
    <n v="91.15"/>
    <n v="0"/>
    <n v="180.52"/>
    <n v="3"/>
    <n v="3.1"/>
  </r>
  <r>
    <n v="45509"/>
    <s v="Bedroom"/>
    <s v="Mattress"/>
    <x v="6"/>
    <x v="0"/>
    <x v="0"/>
    <x v="0"/>
    <x v="1"/>
    <n v="6023"/>
    <n v="1182.3399999999999"/>
    <n v="61.83"/>
    <n v="271.68"/>
    <n v="1515.85"/>
    <n v="12"/>
    <m/>
  </r>
  <r>
    <n v="42951"/>
    <s v="Bedroom"/>
    <s v="Wardrobe"/>
    <x v="7"/>
    <x v="3"/>
    <x v="0"/>
    <x v="0"/>
    <x v="3"/>
    <n v="4777"/>
    <n v="609.54999999999995"/>
    <n v="52.24"/>
    <n v="78.67"/>
    <n v="740.46"/>
    <n v="3"/>
    <m/>
  </r>
  <r>
    <n v="25814"/>
    <s v="Bedroom"/>
    <s v="Bed Frame"/>
    <x v="9"/>
    <x v="1"/>
    <x v="0"/>
    <x v="1"/>
    <x v="4"/>
    <n v="4155"/>
    <n v="624.07000000000005"/>
    <n v="101.66"/>
    <n v="0"/>
    <n v="725.73"/>
    <n v="10"/>
    <n v="3.6"/>
  </r>
  <r>
    <n v="51359"/>
    <s v="Dining Room"/>
    <s v="Dining Table"/>
    <x v="1"/>
    <x v="4"/>
    <x v="0"/>
    <x v="1"/>
    <x v="2"/>
    <n v="2958"/>
    <n v="511.53"/>
    <n v="97.14"/>
    <n v="0"/>
    <n v="608.66999999999996"/>
    <n v="3"/>
    <n v="2.6"/>
  </r>
  <r>
    <n v="80236"/>
    <s v="Bedroom"/>
    <s v="Wardrobe"/>
    <x v="3"/>
    <x v="0"/>
    <x v="0"/>
    <x v="1"/>
    <x v="5"/>
    <n v="4033"/>
    <n v="2030"/>
    <n v="0"/>
    <n v="0"/>
    <n v="2030"/>
    <n v="8"/>
    <n v="1.3"/>
  </r>
  <r>
    <n v="35105"/>
    <s v="Living Room"/>
    <s v="Sofa"/>
    <x v="2"/>
    <x v="5"/>
    <x v="0"/>
    <x v="1"/>
    <x v="1"/>
    <n v="4545"/>
    <n v="665.4"/>
    <n v="100.44"/>
    <n v="0"/>
    <n v="765.84"/>
    <n v="14"/>
    <m/>
  </r>
  <r>
    <n v="73464"/>
    <s v="Kitchen"/>
    <s v="Kitchen Island"/>
    <x v="6"/>
    <x v="1"/>
    <x v="0"/>
    <x v="0"/>
    <x v="1"/>
    <n v="5530"/>
    <n v="2231.06"/>
    <n v="125.24"/>
    <n v="248.91"/>
    <n v="2605.21"/>
    <n v="10"/>
    <n v="1"/>
  </r>
  <r>
    <n v="87278"/>
    <s v="Kitchen"/>
    <s v="Pantry Cabinet"/>
    <x v="3"/>
    <x v="2"/>
    <x v="1"/>
    <x v="1"/>
    <x v="3"/>
    <n v="9595"/>
    <n v="1114.83"/>
    <n v="0"/>
    <n v="0"/>
    <n v="1114.83"/>
    <n v="4"/>
    <n v="2.9"/>
  </r>
  <r>
    <n v="88222"/>
    <s v="Outdoor"/>
    <s v="Umbrella"/>
    <x v="11"/>
    <x v="4"/>
    <x v="0"/>
    <x v="1"/>
    <x v="3"/>
    <n v="5636"/>
    <n v="311.23"/>
    <n v="35.04"/>
    <n v="0"/>
    <n v="346.27"/>
    <n v="13"/>
    <n v="4.4000000000000004"/>
  </r>
  <r>
    <n v="23176"/>
    <s v="Office"/>
    <s v="Bookshelf"/>
    <x v="8"/>
    <x v="0"/>
    <x v="0"/>
    <x v="0"/>
    <x v="6"/>
    <n v="4180"/>
    <n v="348.41"/>
    <n v="78.19"/>
    <n v="37.99"/>
    <n v="464.59"/>
    <n v="7"/>
    <n v="3.8"/>
  </r>
  <r>
    <n v="48829"/>
    <s v="Living Room"/>
    <s v="Coffee Table"/>
    <x v="6"/>
    <x v="0"/>
    <x v="0"/>
    <x v="1"/>
    <x v="2"/>
    <n v="4727"/>
    <n v="1179.96"/>
    <n v="76.13"/>
    <n v="0"/>
    <n v="1256.0899999999999"/>
    <n v="10"/>
    <n v="2.1"/>
  </r>
  <r>
    <n v="57301"/>
    <s v="Bedroom"/>
    <s v="Nightstand"/>
    <x v="9"/>
    <x v="0"/>
    <x v="0"/>
    <x v="1"/>
    <x v="4"/>
    <n v="3939"/>
    <n v="1723.5"/>
    <n v="67.87"/>
    <n v="0"/>
    <n v="1791.37"/>
    <n v="5"/>
    <n v="3.3"/>
  </r>
  <r>
    <n v="49618"/>
    <s v="Bedroom"/>
    <s v="Chest of Drawers"/>
    <x v="0"/>
    <x v="1"/>
    <x v="0"/>
    <x v="0"/>
    <x v="4"/>
    <n v="1231"/>
    <n v="489.39"/>
    <n v="42.23"/>
    <n v="30.36"/>
    <n v="561.98"/>
    <n v="7"/>
    <n v="4.2"/>
  </r>
  <r>
    <n v="80010"/>
    <s v="Outdoor"/>
    <s v="Patio Set"/>
    <x v="12"/>
    <x v="2"/>
    <x v="1"/>
    <x v="0"/>
    <x v="5"/>
    <n v="3073"/>
    <n v="415.22"/>
    <n v="97.34"/>
    <n v="45.58"/>
    <n v="558.14"/>
    <n v="8"/>
    <n v="2.7"/>
  </r>
  <r>
    <n v="45954"/>
    <s v="Dining Room"/>
    <s v="Dining Table"/>
    <x v="0"/>
    <x v="3"/>
    <x v="0"/>
    <x v="1"/>
    <x v="2"/>
    <n v="1745"/>
    <n v="1257.1500000000001"/>
    <n v="143.07"/>
    <n v="0"/>
    <n v="1400.22"/>
    <n v="10"/>
    <n v="2.1"/>
  </r>
  <r>
    <n v="17146"/>
    <s v="Bedroom"/>
    <s v="Chest of Drawers"/>
    <x v="0"/>
    <x v="4"/>
    <x v="0"/>
    <x v="1"/>
    <x v="3"/>
    <n v="5786"/>
    <n v="1558.95"/>
    <n v="0"/>
    <n v="0"/>
    <n v="1558.95"/>
    <n v="4"/>
    <m/>
  </r>
  <r>
    <n v="26551"/>
    <s v="Outdoor"/>
    <s v="Garden Chair"/>
    <x v="3"/>
    <x v="0"/>
    <x v="0"/>
    <x v="0"/>
    <x v="3"/>
    <n v="9042"/>
    <n v="1165.06"/>
    <n v="85.97"/>
    <n v="54.34"/>
    <n v="1305.3699999999999"/>
    <n v="5"/>
    <n v="2.4"/>
  </r>
  <r>
    <n v="23446"/>
    <s v="Bedroom"/>
    <s v="Wardrobe"/>
    <x v="11"/>
    <x v="5"/>
    <x v="0"/>
    <x v="0"/>
    <x v="3"/>
    <n v="1200"/>
    <n v="193.79"/>
    <n v="77.77"/>
    <n v="172.61"/>
    <n v="444.17"/>
    <n v="9"/>
    <n v="2.4"/>
  </r>
  <r>
    <n v="85243"/>
    <s v="Bedroom"/>
    <s v="Nightstand"/>
    <x v="2"/>
    <x v="4"/>
    <x v="0"/>
    <x v="1"/>
    <x v="6"/>
    <n v="5658"/>
    <n v="2799.68"/>
    <n v="76.11"/>
    <n v="0"/>
    <n v="2875.79"/>
    <n v="9"/>
    <m/>
  </r>
  <r>
    <n v="71524"/>
    <s v="Dining Room"/>
    <s v="Dining Table"/>
    <x v="10"/>
    <x v="5"/>
    <x v="0"/>
    <x v="1"/>
    <x v="2"/>
    <n v="8843"/>
    <n v="1625.59"/>
    <n v="137.61000000000001"/>
    <n v="0"/>
    <n v="1763.2"/>
    <n v="12"/>
    <n v="2.5"/>
  </r>
  <r>
    <n v="67733"/>
    <s v="Dining Room"/>
    <s v="Buffet"/>
    <x v="4"/>
    <x v="1"/>
    <x v="0"/>
    <x v="1"/>
    <x v="4"/>
    <n v="6582"/>
    <n v="1395.03"/>
    <n v="136.19999999999999"/>
    <n v="0"/>
    <n v="1531.23"/>
    <n v="2"/>
    <n v="2.5"/>
  </r>
  <r>
    <n v="34164"/>
    <s v="Bedroom"/>
    <s v="Dresser"/>
    <x v="9"/>
    <x v="2"/>
    <x v="1"/>
    <x v="1"/>
    <x v="0"/>
    <n v="1841"/>
    <n v="1325.41"/>
    <n v="103.57"/>
    <n v="0"/>
    <n v="1428.98"/>
    <n v="4"/>
    <n v="2.6"/>
  </r>
  <r>
    <n v="43092"/>
    <s v="Kitchen"/>
    <s v="Bar Cart"/>
    <x v="4"/>
    <x v="0"/>
    <x v="0"/>
    <x v="1"/>
    <x v="4"/>
    <n v="8827"/>
    <n v="1348.42"/>
    <n v="139.43"/>
    <n v="0"/>
    <n v="1487.85"/>
    <n v="3"/>
    <n v="3.7"/>
  </r>
  <r>
    <n v="24953"/>
    <s v="Bedroom"/>
    <s v="Mattress"/>
    <x v="2"/>
    <x v="1"/>
    <x v="0"/>
    <x v="0"/>
    <x v="4"/>
    <n v="2070"/>
    <n v="2245.9699999999998"/>
    <n v="70.680000000000007"/>
    <n v="91.82"/>
    <n v="2408.4699999999998"/>
    <n v="6"/>
    <n v="1.4"/>
  </r>
  <r>
    <n v="62521"/>
    <s v="Office"/>
    <s v="Computer Table"/>
    <x v="0"/>
    <x v="2"/>
    <x v="1"/>
    <x v="0"/>
    <x v="1"/>
    <n v="9056"/>
    <n v="89.41"/>
    <n v="89.28"/>
    <n v="205.68"/>
    <n v="384.37"/>
    <n v="6"/>
    <n v="4.9000000000000004"/>
  </r>
  <r>
    <n v="19710"/>
    <s v="Bedroom"/>
    <s v="Wardrobe"/>
    <x v="7"/>
    <x v="2"/>
    <x v="1"/>
    <x v="0"/>
    <x v="1"/>
    <n v="1878"/>
    <n v="948.76"/>
    <n v="0"/>
    <n v="38.14"/>
    <n v="986.9"/>
    <n v="7"/>
    <n v="3.2"/>
  </r>
  <r>
    <n v="29887"/>
    <s v="Outdoor"/>
    <s v="Garden Chair"/>
    <x v="4"/>
    <x v="0"/>
    <x v="0"/>
    <x v="1"/>
    <x v="3"/>
    <n v="3444"/>
    <n v="904.37"/>
    <n v="0"/>
    <n v="0"/>
    <n v="904.37"/>
    <n v="6"/>
    <n v="1"/>
  </r>
  <r>
    <n v="83772"/>
    <s v="Living Room"/>
    <s v="TV Stand"/>
    <x v="8"/>
    <x v="2"/>
    <x v="1"/>
    <x v="1"/>
    <x v="5"/>
    <n v="5978"/>
    <n v="1031.69"/>
    <m/>
    <n v="0"/>
    <n v="1100.4100000000001"/>
    <n v="4"/>
    <n v="4.8"/>
  </r>
  <r>
    <n v="21164"/>
    <s v="Office"/>
    <s v="Filing Cabinet"/>
    <x v="1"/>
    <x v="4"/>
    <x v="0"/>
    <x v="1"/>
    <x v="5"/>
    <n v="5066"/>
    <n v="378.96"/>
    <n v="77.55"/>
    <n v="0"/>
    <n v="456.51"/>
    <n v="6"/>
    <n v="2.1"/>
  </r>
  <r>
    <n v="25525"/>
    <s v="Kitchen"/>
    <s v="Bar Cart"/>
    <x v="9"/>
    <x v="5"/>
    <x v="0"/>
    <x v="1"/>
    <x v="1"/>
    <n v="7818"/>
    <n v="2091.2199999999998"/>
    <m/>
    <n v="0"/>
    <n v="2221.63"/>
    <n v="14"/>
    <n v="1.6"/>
  </r>
  <r>
    <n v="89471"/>
    <s v="Living Room"/>
    <s v="Coffee Table"/>
    <x v="0"/>
    <x v="3"/>
    <x v="0"/>
    <x v="1"/>
    <x v="1"/>
    <n v="4697"/>
    <n v="1169.5"/>
    <n v="0"/>
    <n v="0"/>
    <n v="1169.5"/>
    <n v="13"/>
    <n v="2"/>
  </r>
  <r>
    <n v="78494"/>
    <s v="Living Room"/>
    <s v="Side Table"/>
    <x v="9"/>
    <x v="2"/>
    <x v="1"/>
    <x v="1"/>
    <x v="6"/>
    <n v="7232"/>
    <n v="575.69000000000005"/>
    <n v="0"/>
    <n v="0"/>
    <n v="575.69000000000005"/>
    <n v="8"/>
    <n v="1.4"/>
  </r>
  <r>
    <n v="69049"/>
    <s v="Dining Room"/>
    <s v="Bar Stool"/>
    <x v="0"/>
    <x v="4"/>
    <x v="0"/>
    <x v="0"/>
    <x v="4"/>
    <n v="8253"/>
    <n v="1164.67"/>
    <n v="75.77"/>
    <n v="168.19"/>
    <n v="1408.63"/>
    <n v="14"/>
    <n v="3.4"/>
  </r>
  <r>
    <n v="48974"/>
    <s v="Outdoor"/>
    <s v="Umbrella"/>
    <x v="9"/>
    <x v="0"/>
    <x v="0"/>
    <x v="1"/>
    <x v="0"/>
    <n v="8025"/>
    <n v="437.99"/>
    <n v="83.52"/>
    <n v="0"/>
    <n v="521.51"/>
    <n v="6"/>
    <n v="2.9"/>
  </r>
  <r>
    <n v="50026"/>
    <s v="Office"/>
    <s v="Computer Table"/>
    <x v="3"/>
    <x v="3"/>
    <x v="0"/>
    <x v="0"/>
    <x v="0"/>
    <n v="1986"/>
    <n v="486.86"/>
    <n v="72.38"/>
    <n v="82.03"/>
    <n v="641.27"/>
    <n v="6"/>
    <n v="3.4"/>
  </r>
  <r>
    <n v="89905"/>
    <s v="Bedroom"/>
    <s v="Dresser"/>
    <x v="10"/>
    <x v="2"/>
    <x v="1"/>
    <x v="1"/>
    <x v="4"/>
    <n v="2625"/>
    <n v="800.42"/>
    <n v="79.14"/>
    <n v="0"/>
    <n v="879.56"/>
    <n v="10"/>
    <n v="2.1"/>
  </r>
  <r>
    <n v="37235"/>
    <s v="Kitchen"/>
    <s v="Pantry Cabinet"/>
    <x v="9"/>
    <x v="3"/>
    <x v="0"/>
    <x v="0"/>
    <x v="5"/>
    <n v="4457"/>
    <n v="1210.78"/>
    <n v="0"/>
    <n v="86.39"/>
    <n v="1297.17"/>
    <n v="11"/>
    <n v="4"/>
  </r>
  <r>
    <n v="44687"/>
    <s v="Bedroom"/>
    <s v="Nightstand"/>
    <x v="3"/>
    <x v="4"/>
    <x v="0"/>
    <x v="1"/>
    <x v="2"/>
    <n v="2330"/>
    <n v="443.58"/>
    <n v="29.78"/>
    <n v="0"/>
    <n v="473.36"/>
    <n v="9"/>
    <m/>
  </r>
  <r>
    <n v="30585"/>
    <s v="Living Room"/>
    <s v="Sofa"/>
    <x v="10"/>
    <x v="1"/>
    <x v="0"/>
    <x v="1"/>
    <x v="5"/>
    <n v="4929"/>
    <n v="803.64"/>
    <n v="0"/>
    <n v="0"/>
    <n v="803.64"/>
    <n v="5"/>
    <n v="4"/>
  </r>
  <r>
    <n v="32782"/>
    <s v="Bedroom"/>
    <s v="Wardrobe"/>
    <x v="10"/>
    <x v="4"/>
    <x v="0"/>
    <x v="1"/>
    <x v="6"/>
    <n v="2229"/>
    <n v="2539.7800000000002"/>
    <n v="0"/>
    <n v="0"/>
    <n v="2539.7800000000002"/>
    <n v="14"/>
    <n v="4.5"/>
  </r>
  <r>
    <n v="30517"/>
    <s v="Kitchen"/>
    <s v="Pantry Cabinet"/>
    <x v="3"/>
    <x v="4"/>
    <x v="0"/>
    <x v="1"/>
    <x v="4"/>
    <n v="1043"/>
    <n v="597.25"/>
    <n v="103.93"/>
    <n v="0"/>
    <n v="701.18"/>
    <n v="11"/>
    <n v="4.5"/>
  </r>
  <r>
    <n v="63545"/>
    <s v="Outdoor"/>
    <s v="Umbrella"/>
    <x v="5"/>
    <x v="4"/>
    <x v="0"/>
    <x v="0"/>
    <x v="2"/>
    <n v="8381"/>
    <n v="660.94"/>
    <n v="103.97"/>
    <n v="196.18"/>
    <n v="961.09"/>
    <n v="7"/>
    <n v="2.2000000000000002"/>
  </r>
  <r>
    <n v="87832"/>
    <s v="Bedroom"/>
    <s v="Dresser"/>
    <x v="3"/>
    <x v="2"/>
    <x v="1"/>
    <x v="1"/>
    <x v="3"/>
    <n v="8699"/>
    <n v="967.27"/>
    <n v="118.78"/>
    <n v="0"/>
    <n v="1086.05"/>
    <n v="13"/>
    <n v="1"/>
  </r>
  <r>
    <n v="48175"/>
    <s v="Bedroom"/>
    <s v="Bed Frame"/>
    <x v="6"/>
    <x v="0"/>
    <x v="0"/>
    <x v="1"/>
    <x v="2"/>
    <n v="1534"/>
    <n v="1712.4"/>
    <n v="0"/>
    <n v="0"/>
    <n v="1712.4"/>
    <n v="7"/>
    <n v="3.9"/>
  </r>
  <r>
    <n v="40340"/>
    <s v="Office"/>
    <s v="Desk"/>
    <x v="4"/>
    <x v="3"/>
    <x v="0"/>
    <x v="0"/>
    <x v="5"/>
    <n v="5720"/>
    <n v="453.43"/>
    <n v="56.67"/>
    <n v="128.47"/>
    <n v="638.57000000000005"/>
    <n v="12"/>
    <n v="2.1"/>
  </r>
  <r>
    <n v="47056"/>
    <s v="Bedroom"/>
    <s v="Dresser"/>
    <x v="8"/>
    <x v="3"/>
    <x v="0"/>
    <x v="1"/>
    <x v="5"/>
    <n v="8438"/>
    <n v="464.52"/>
    <n v="59.15"/>
    <n v="0"/>
    <n v="523.66999999999996"/>
    <n v="5"/>
    <n v="3"/>
  </r>
  <r>
    <n v="19329"/>
    <s v="Living Room"/>
    <s v="Ottoman"/>
    <x v="10"/>
    <x v="1"/>
    <x v="0"/>
    <x v="1"/>
    <x v="0"/>
    <n v="4824"/>
    <n v="250.9"/>
    <n v="97.92"/>
    <n v="0"/>
    <n v="348.82"/>
    <n v="5"/>
    <m/>
  </r>
  <r>
    <n v="44675"/>
    <s v="Bedroom"/>
    <s v="Bed Frame"/>
    <x v="10"/>
    <x v="1"/>
    <x v="0"/>
    <x v="1"/>
    <x v="2"/>
    <n v="4241"/>
    <n v="579.45000000000005"/>
    <n v="84.19"/>
    <n v="0"/>
    <n v="663.64"/>
    <n v="13"/>
    <n v="5"/>
  </r>
  <r>
    <n v="65723"/>
    <s v="Living Room"/>
    <s v="TV Stand"/>
    <x v="10"/>
    <x v="5"/>
    <x v="0"/>
    <x v="0"/>
    <x v="5"/>
    <n v="2880"/>
    <n v="384.51"/>
    <n v="81.290000000000006"/>
    <n v="31.66"/>
    <n v="497.46"/>
    <n v="7"/>
    <m/>
  </r>
  <r>
    <n v="81376"/>
    <s v="Dining Room"/>
    <s v="Buffet"/>
    <x v="4"/>
    <x v="0"/>
    <x v="0"/>
    <x v="0"/>
    <x v="4"/>
    <n v="4683"/>
    <n v="1673.68"/>
    <n v="0"/>
    <n v="265.68"/>
    <n v="1939.36"/>
    <n v="8"/>
    <n v="5"/>
  </r>
  <r>
    <n v="94886"/>
    <s v="Living Room"/>
    <s v="Ottoman"/>
    <x v="1"/>
    <x v="1"/>
    <x v="0"/>
    <x v="1"/>
    <x v="4"/>
    <n v="3441"/>
    <n v="1731.82"/>
    <n v="0"/>
    <n v="0"/>
    <n v="1731.82"/>
    <n v="11"/>
    <n v="4.7"/>
  </r>
  <r>
    <n v="44816"/>
    <s v="Living Room"/>
    <s v="Side Table"/>
    <x v="6"/>
    <x v="5"/>
    <x v="0"/>
    <x v="1"/>
    <x v="0"/>
    <n v="3330"/>
    <n v="2356.0700000000002"/>
    <m/>
    <n v="0"/>
    <n v="2431.4"/>
    <n v="4"/>
    <n v="1.2"/>
  </r>
  <r>
    <n v="19359"/>
    <s v="Bedroom"/>
    <s v="Chest of Drawers"/>
    <x v="4"/>
    <x v="3"/>
    <x v="0"/>
    <x v="1"/>
    <x v="0"/>
    <n v="1977"/>
    <n v="1387.36"/>
    <n v="0"/>
    <n v="0"/>
    <n v="1387.36"/>
    <n v="10"/>
    <m/>
  </r>
  <r>
    <n v="31747"/>
    <s v="Kitchen"/>
    <s v="Pantry Cabinet"/>
    <x v="6"/>
    <x v="3"/>
    <x v="0"/>
    <x v="0"/>
    <x v="0"/>
    <n v="6039"/>
    <n v="1814.49"/>
    <n v="0"/>
    <n v="57.88"/>
    <n v="1872.37"/>
    <n v="2"/>
    <n v="2.4"/>
  </r>
  <r>
    <n v="87993"/>
    <s v="Dining Room"/>
    <s v="Dining Chair"/>
    <x v="10"/>
    <x v="1"/>
    <x v="0"/>
    <x v="0"/>
    <x v="5"/>
    <n v="5728"/>
    <n v="1432.52"/>
    <n v="62.58"/>
    <n v="198.17"/>
    <n v="1693.27"/>
    <n v="13"/>
    <n v="2.4"/>
  </r>
  <r>
    <n v="67560"/>
    <s v="Living Room"/>
    <s v="Side Table"/>
    <x v="4"/>
    <x v="4"/>
    <x v="0"/>
    <x v="0"/>
    <x v="5"/>
    <n v="3037"/>
    <n v="1068.8699999999999"/>
    <n v="75.069999999999993"/>
    <n v="255.99"/>
    <n v="1399.93"/>
    <n v="9"/>
    <n v="3.8"/>
  </r>
  <r>
    <n v="71433"/>
    <s v="Kitchen"/>
    <s v="Kitchen Cabinet"/>
    <x v="8"/>
    <x v="0"/>
    <x v="0"/>
    <x v="0"/>
    <x v="0"/>
    <n v="5982"/>
    <n v="1012.1"/>
    <n v="136.77000000000001"/>
    <n v="38.28"/>
    <n v="1187.1500000000001"/>
    <n v="8"/>
    <n v="2.1"/>
  </r>
  <r>
    <n v="62757"/>
    <s v="Outdoor"/>
    <s v="Umbrella"/>
    <x v="7"/>
    <x v="0"/>
    <x v="0"/>
    <x v="0"/>
    <x v="5"/>
    <n v="5460"/>
    <n v="775.42"/>
    <n v="0"/>
    <n v="177.6"/>
    <n v="953.02"/>
    <n v="4"/>
    <n v="1.3"/>
  </r>
  <r>
    <n v="75597"/>
    <s v="Kitchen"/>
    <s v="Pantry Cabinet"/>
    <x v="2"/>
    <x v="4"/>
    <x v="0"/>
    <x v="1"/>
    <x v="4"/>
    <n v="9847"/>
    <n v="1984.62"/>
    <n v="0"/>
    <n v="0"/>
    <n v="1984.62"/>
    <n v="6"/>
    <n v="2.2999999999999998"/>
  </r>
  <r>
    <n v="74722"/>
    <s v="Living Room"/>
    <s v="Sofa"/>
    <x v="0"/>
    <x v="1"/>
    <x v="0"/>
    <x v="0"/>
    <x v="2"/>
    <n v="8172"/>
    <n v="2120.94"/>
    <n v="0"/>
    <n v="55.35"/>
    <n v="2176.29"/>
    <n v="4"/>
    <m/>
  </r>
  <r>
    <n v="20543"/>
    <s v="Office"/>
    <s v="Filing Cabinet"/>
    <x v="4"/>
    <x v="1"/>
    <x v="0"/>
    <x v="1"/>
    <x v="1"/>
    <n v="1653"/>
    <n v="826.67"/>
    <n v="75.59"/>
    <n v="0"/>
    <n v="902.26"/>
    <n v="4"/>
    <n v="1.3"/>
  </r>
  <r>
    <n v="66626"/>
    <s v="Living Room"/>
    <s v="Armchair"/>
    <x v="0"/>
    <x v="2"/>
    <x v="1"/>
    <x v="1"/>
    <x v="3"/>
    <n v="6280"/>
    <n v="2042.35"/>
    <n v="0"/>
    <n v="0"/>
    <n v="2042.35"/>
    <n v="14"/>
    <n v="3.8"/>
  </r>
  <r>
    <n v="89129"/>
    <s v="Living Room"/>
    <s v="Side Table"/>
    <x v="7"/>
    <x v="1"/>
    <x v="0"/>
    <x v="0"/>
    <x v="5"/>
    <n v="5102"/>
    <n v="361.89"/>
    <n v="47.79"/>
    <n v="27.53"/>
    <n v="437.21"/>
    <n v="4"/>
    <n v="1.8"/>
  </r>
  <r>
    <n v="13390"/>
    <s v="Kitchen"/>
    <s v="Bar Cart"/>
    <x v="2"/>
    <x v="5"/>
    <x v="0"/>
    <x v="1"/>
    <x v="2"/>
    <n v="2496"/>
    <n v="1528.53"/>
    <n v="124.61"/>
    <n v="0"/>
    <n v="1653.14"/>
    <n v="11"/>
    <n v="3.7"/>
  </r>
  <r>
    <n v="40005"/>
    <s v="Bedroom"/>
    <s v="Wardrobe"/>
    <x v="8"/>
    <x v="2"/>
    <x v="1"/>
    <x v="1"/>
    <x v="1"/>
    <n v="1339"/>
    <n v="1294.44"/>
    <n v="65.819999999999993"/>
    <n v="0"/>
    <n v="1360.26"/>
    <n v="6"/>
    <n v="3.2"/>
  </r>
  <r>
    <n v="98117"/>
    <s v="Outdoor"/>
    <s v="Lounge Chair"/>
    <x v="10"/>
    <x v="0"/>
    <x v="0"/>
    <x v="0"/>
    <x v="0"/>
    <n v="5415"/>
    <n v="1513.16"/>
    <n v="74.069999999999993"/>
    <n v="264.86"/>
    <n v="1852.09"/>
    <n v="12"/>
    <n v="4.8"/>
  </r>
  <r>
    <n v="85529"/>
    <s v="Outdoor"/>
    <s v="Patio Set"/>
    <x v="8"/>
    <x v="3"/>
    <x v="0"/>
    <x v="1"/>
    <x v="2"/>
    <n v="1659"/>
    <n v="1771.88"/>
    <n v="101.76"/>
    <n v="0"/>
    <n v="1873.64"/>
    <n v="1"/>
    <n v="1.9"/>
  </r>
  <r>
    <n v="32962"/>
    <s v="Outdoor"/>
    <s v="Outdoor Table"/>
    <x v="0"/>
    <x v="5"/>
    <x v="0"/>
    <x v="0"/>
    <x v="5"/>
    <n v="8708"/>
    <n v="1666.53"/>
    <n v="107.07"/>
    <n v="25.94"/>
    <n v="1799.54"/>
    <n v="6"/>
    <n v="2.1"/>
  </r>
  <r>
    <n v="78021"/>
    <s v="Dining Room"/>
    <s v="Bar Stool"/>
    <x v="9"/>
    <x v="1"/>
    <x v="0"/>
    <x v="0"/>
    <x v="3"/>
    <n v="8245"/>
    <n v="274.62"/>
    <n v="54.98"/>
    <n v="43.09"/>
    <n v="372.69"/>
    <n v="13"/>
    <n v="3"/>
  </r>
  <r>
    <n v="46458"/>
    <s v="Living Room"/>
    <s v="Ottoman"/>
    <x v="8"/>
    <x v="2"/>
    <x v="1"/>
    <x v="1"/>
    <x v="2"/>
    <n v="3973"/>
    <n v="1677.19"/>
    <n v="0"/>
    <n v="0"/>
    <n v="1677.19"/>
    <n v="2"/>
    <n v="4.7"/>
  </r>
  <r>
    <n v="86720"/>
    <s v="Office"/>
    <s v="Filing Cabinet"/>
    <x v="5"/>
    <x v="2"/>
    <x v="1"/>
    <x v="0"/>
    <x v="3"/>
    <n v="8141"/>
    <n v="1400.95"/>
    <n v="0"/>
    <n v="40.85"/>
    <n v="1441.8"/>
    <n v="11"/>
    <n v="2.2000000000000002"/>
  </r>
  <r>
    <n v="93202"/>
    <s v="Kitchen"/>
    <s v="Bar Cart"/>
    <x v="2"/>
    <x v="5"/>
    <x v="0"/>
    <x v="1"/>
    <x v="1"/>
    <n v="9056"/>
    <n v="1019.03"/>
    <n v="65.319999999999993"/>
    <n v="0"/>
    <n v="1084.3499999999999"/>
    <n v="8"/>
    <n v="3.3"/>
  </r>
  <r>
    <n v="21959"/>
    <s v="Dining Room"/>
    <s v="Buffet"/>
    <x v="12"/>
    <x v="3"/>
    <x v="0"/>
    <x v="1"/>
    <x v="1"/>
    <n v="8700"/>
    <n v="381.22"/>
    <n v="50.21"/>
    <m/>
    <n v="431.43"/>
    <n v="10"/>
    <n v="3.2"/>
  </r>
  <r>
    <n v="55607"/>
    <s v="Kitchen"/>
    <s v="Pantry Cabinet"/>
    <x v="7"/>
    <x v="4"/>
    <x v="0"/>
    <x v="0"/>
    <x v="4"/>
    <n v="7690"/>
    <n v="2002.42"/>
    <n v="0"/>
    <n v="233.89"/>
    <n v="2236.31"/>
    <n v="8"/>
    <n v="3.3"/>
  </r>
  <r>
    <n v="53687"/>
    <s v="Kitchen"/>
    <s v="Bar Cart"/>
    <x v="2"/>
    <x v="1"/>
    <x v="0"/>
    <x v="1"/>
    <x v="1"/>
    <n v="6260"/>
    <n v="833.09"/>
    <n v="0"/>
    <n v="0"/>
    <n v="833.09"/>
    <n v="6"/>
    <n v="3.3"/>
  </r>
  <r>
    <n v="97835"/>
    <s v="Office"/>
    <s v="Bookshelf"/>
    <x v="10"/>
    <x v="4"/>
    <x v="0"/>
    <x v="0"/>
    <x v="5"/>
    <n v="2713"/>
    <n v="574.6"/>
    <n v="109.39"/>
    <n v="116.93"/>
    <n v="800.92"/>
    <n v="6"/>
    <n v="5"/>
  </r>
  <r>
    <n v="31079"/>
    <s v="Office"/>
    <s v="Office Chair"/>
    <x v="2"/>
    <x v="1"/>
    <x v="0"/>
    <x v="1"/>
    <x v="0"/>
    <n v="6403"/>
    <n v="1392.38"/>
    <m/>
    <n v="0"/>
    <n v="1392.38"/>
    <n v="3"/>
    <n v="4.4000000000000004"/>
  </r>
  <r>
    <n v="63955"/>
    <s v="Bedroom"/>
    <s v="Wardrobe"/>
    <x v="8"/>
    <x v="5"/>
    <x v="0"/>
    <x v="0"/>
    <x v="4"/>
    <n v="9117"/>
    <n v="2791.18"/>
    <n v="132.01"/>
    <n v="169.38"/>
    <n v="3092.57"/>
    <n v="2"/>
    <n v="2.9"/>
  </r>
  <r>
    <n v="47777"/>
    <s v="Kitchen"/>
    <s v="Bar Cart"/>
    <x v="9"/>
    <x v="1"/>
    <x v="0"/>
    <x v="1"/>
    <x v="0"/>
    <n v="7561"/>
    <n v="748.36"/>
    <n v="75.87"/>
    <n v="0"/>
    <n v="824.23"/>
    <n v="10"/>
    <n v="1.6"/>
  </r>
  <r>
    <n v="82102"/>
    <s v="Office"/>
    <s v="Computer Table"/>
    <x v="6"/>
    <x v="3"/>
    <x v="0"/>
    <x v="0"/>
    <x v="0"/>
    <n v="1601"/>
    <n v="1366.58"/>
    <n v="75.55"/>
    <n v="120.07"/>
    <n v="1562.2"/>
    <n v="12"/>
    <n v="1.2"/>
  </r>
  <r>
    <n v="69614"/>
    <s v="Office"/>
    <s v="Bookshelf"/>
    <x v="7"/>
    <x v="1"/>
    <x v="0"/>
    <x v="0"/>
    <x v="0"/>
    <n v="2442"/>
    <n v="1021.43"/>
    <n v="86.02"/>
    <n v="32.31"/>
    <n v="1139.76"/>
    <n v="11"/>
    <n v="4.9000000000000004"/>
  </r>
  <r>
    <n v="51224"/>
    <s v="Dining Room"/>
    <s v="Buffet"/>
    <x v="4"/>
    <x v="4"/>
    <x v="0"/>
    <x v="1"/>
    <x v="6"/>
    <n v="5135"/>
    <n v="1746.87"/>
    <n v="68.64"/>
    <n v="0"/>
    <n v="1815.51"/>
    <n v="9"/>
    <n v="1.1000000000000001"/>
  </r>
  <r>
    <n v="52372"/>
    <s v="Dining Room"/>
    <s v="Buffet"/>
    <x v="4"/>
    <x v="4"/>
    <x v="0"/>
    <x v="1"/>
    <x v="6"/>
    <n v="2899"/>
    <n v="847.46"/>
    <n v="0"/>
    <n v="0"/>
    <n v="847.46"/>
    <n v="11"/>
    <n v="3.5"/>
  </r>
  <r>
    <n v="62976"/>
    <s v="Living Room"/>
    <s v="Side Table"/>
    <x v="2"/>
    <x v="1"/>
    <x v="0"/>
    <x v="0"/>
    <x v="1"/>
    <n v="9431"/>
    <n v="792.66"/>
    <n v="150"/>
    <n v="122.56"/>
    <n v="1065.22"/>
    <n v="6"/>
    <n v="3.6"/>
  </r>
  <r>
    <n v="10150"/>
    <s v="Kitchen"/>
    <s v="Bar Cart"/>
    <x v="4"/>
    <x v="1"/>
    <x v="0"/>
    <x v="1"/>
    <x v="5"/>
    <n v="9889"/>
    <n v="1218.1300000000001"/>
    <n v="92.65"/>
    <n v="0"/>
    <n v="1310.78"/>
    <n v="10"/>
    <n v="3.2"/>
  </r>
  <r>
    <n v="70552"/>
    <s v="Kitchen"/>
    <s v="Bar Cart"/>
    <x v="0"/>
    <x v="5"/>
    <x v="0"/>
    <x v="0"/>
    <x v="6"/>
    <n v="7770"/>
    <n v="2197.69"/>
    <n v="120.51"/>
    <n v="299.35000000000002"/>
    <n v="2617.5500000000002"/>
    <n v="13"/>
    <m/>
  </r>
  <r>
    <n v="17104"/>
    <s v="Living Room"/>
    <s v="Ottoman"/>
    <x v="9"/>
    <x v="1"/>
    <x v="0"/>
    <x v="0"/>
    <x v="4"/>
    <n v="4073"/>
    <n v="1425.81"/>
    <n v="68.41"/>
    <n v="44.14"/>
    <n v="1538.36"/>
    <n v="7"/>
    <n v="2.2000000000000002"/>
  </r>
  <r>
    <n v="77952"/>
    <s v="Dining Room"/>
    <s v="Dining Chair"/>
    <x v="0"/>
    <x v="5"/>
    <x v="0"/>
    <x v="0"/>
    <x v="3"/>
    <n v="6927"/>
    <n v="1580.3"/>
    <n v="0"/>
    <n v="44.06"/>
    <n v="1624.36"/>
    <n v="10"/>
    <n v="3.4"/>
  </r>
  <r>
    <n v="91609"/>
    <s v="Bedroom"/>
    <s v="Mattress"/>
    <x v="9"/>
    <x v="1"/>
    <x v="0"/>
    <x v="1"/>
    <x v="6"/>
    <n v="9167"/>
    <n v="2109.0300000000002"/>
    <n v="118.81"/>
    <n v="0"/>
    <n v="2227.84"/>
    <n v="3"/>
    <n v="3.4"/>
  </r>
  <r>
    <n v="91973"/>
    <s v="Bedroom"/>
    <s v="Nightstand"/>
    <x v="3"/>
    <x v="5"/>
    <x v="0"/>
    <x v="0"/>
    <x v="4"/>
    <n v="8242"/>
    <n v="1550.62"/>
    <n v="0"/>
    <n v="51.61"/>
    <n v="1602.23"/>
    <n v="13"/>
    <n v="4.7"/>
  </r>
  <r>
    <n v="16764"/>
    <s v="Outdoor"/>
    <s v="Garden Chair"/>
    <x v="12"/>
    <x v="5"/>
    <x v="0"/>
    <x v="1"/>
    <x v="1"/>
    <n v="4335"/>
    <n v="1400.33"/>
    <n v="0"/>
    <n v="0"/>
    <n v="1400.33"/>
    <n v="14"/>
    <n v="3.8"/>
  </r>
  <r>
    <n v="45003"/>
    <s v="Office"/>
    <s v="Office Chair"/>
    <x v="7"/>
    <x v="4"/>
    <x v="0"/>
    <x v="1"/>
    <x v="4"/>
    <n v="9998"/>
    <n v="943.26"/>
    <n v="122.02"/>
    <n v="0"/>
    <n v="1065.28"/>
    <n v="10"/>
    <n v="3.3"/>
  </r>
  <r>
    <n v="27172"/>
    <s v="Outdoor"/>
    <s v="Patio Set"/>
    <x v="3"/>
    <x v="4"/>
    <x v="0"/>
    <x v="0"/>
    <x v="2"/>
    <n v="5719"/>
    <n v="1009.07"/>
    <n v="132.69999999999999"/>
    <n v="75.94"/>
    <n v="1217.71"/>
    <n v="7"/>
    <n v="1.2"/>
  </r>
  <r>
    <n v="67424"/>
    <s v="Outdoor"/>
    <s v="Patio Set"/>
    <x v="3"/>
    <x v="2"/>
    <x v="1"/>
    <x v="1"/>
    <x v="3"/>
    <n v="8941"/>
    <n v="463.25"/>
    <n v="57.97"/>
    <n v="0"/>
    <n v="521.22"/>
    <n v="13"/>
    <n v="2.8"/>
  </r>
  <r>
    <n v="25915"/>
    <s v="Living Room"/>
    <s v="Side Table"/>
    <x v="0"/>
    <x v="1"/>
    <x v="0"/>
    <x v="1"/>
    <x v="3"/>
    <n v="1472"/>
    <n v="1389.03"/>
    <n v="0"/>
    <n v="0"/>
    <n v="1389.03"/>
    <n v="2"/>
    <n v="1.5"/>
  </r>
  <r>
    <n v="92578"/>
    <s v="Bedroom"/>
    <s v="Nightstand"/>
    <x v="1"/>
    <x v="1"/>
    <x v="0"/>
    <x v="0"/>
    <x v="4"/>
    <n v="4920"/>
    <n v="1328.64"/>
    <n v="67.89"/>
    <n v="163.53"/>
    <n v="1560.06"/>
    <n v="6"/>
    <n v="4.5999999999999996"/>
  </r>
  <r>
    <n v="30758"/>
    <s v="Living Room"/>
    <s v="Sofa"/>
    <x v="7"/>
    <x v="4"/>
    <x v="0"/>
    <x v="1"/>
    <x v="5"/>
    <n v="6091"/>
    <n v="462.58"/>
    <n v="58.7"/>
    <n v="0"/>
    <n v="521.28"/>
    <n v="2"/>
    <n v="2.5"/>
  </r>
  <r>
    <n v="82199"/>
    <s v="Office"/>
    <s v="Computer Table"/>
    <x v="11"/>
    <x v="2"/>
    <x v="1"/>
    <x v="0"/>
    <x v="4"/>
    <n v="1224"/>
    <n v="620.46"/>
    <m/>
    <n v="93.44"/>
    <n v="855.13"/>
    <n v="3"/>
    <n v="1.2"/>
  </r>
  <r>
    <n v="82384"/>
    <s v="Office"/>
    <s v="Bookshelf"/>
    <x v="10"/>
    <x v="4"/>
    <x v="0"/>
    <x v="0"/>
    <x v="2"/>
    <n v="7684"/>
    <n v="969.56"/>
    <n v="0"/>
    <n v="50.18"/>
    <n v="1019.74"/>
    <n v="13"/>
    <n v="2.8"/>
  </r>
  <r>
    <n v="22217"/>
    <s v="Living Room"/>
    <s v="Ottoman"/>
    <x v="0"/>
    <x v="3"/>
    <x v="0"/>
    <x v="1"/>
    <x v="5"/>
    <n v="4681"/>
    <n v="2230.2199999999998"/>
    <n v="0"/>
    <n v="0"/>
    <n v="2230.2199999999998"/>
    <n v="8"/>
    <n v="1.3"/>
  </r>
  <r>
    <n v="24871"/>
    <s v="Kitchen"/>
    <s v="Kitchen Cabinet"/>
    <x v="5"/>
    <x v="1"/>
    <x v="0"/>
    <x v="0"/>
    <x v="3"/>
    <n v="8560"/>
    <n v="1663.49"/>
    <n v="132.53"/>
    <n v="57.41"/>
    <n v="1853.43"/>
    <n v="11"/>
    <n v="1.6"/>
  </r>
  <r>
    <n v="25396"/>
    <s v="Kitchen"/>
    <s v="Kitchen Cabinet"/>
    <x v="9"/>
    <x v="1"/>
    <x v="0"/>
    <x v="0"/>
    <x v="3"/>
    <n v="3522"/>
    <n v="1028.44"/>
    <n v="0"/>
    <n v="299.06"/>
    <n v="1327.5"/>
    <n v="3"/>
    <n v="3.4"/>
  </r>
  <r>
    <n v="75323"/>
    <s v="Kitchen"/>
    <s v="Bar Cart"/>
    <x v="2"/>
    <x v="0"/>
    <x v="0"/>
    <x v="0"/>
    <x v="2"/>
    <n v="5781"/>
    <n v="2425.85"/>
    <n v="86.02"/>
    <n v="44.21"/>
    <n v="2556.08"/>
    <n v="6"/>
    <n v="2.5"/>
  </r>
  <r>
    <n v="76698"/>
    <s v="Kitchen"/>
    <s v="Kitchen Island"/>
    <x v="9"/>
    <x v="5"/>
    <x v="0"/>
    <x v="1"/>
    <x v="3"/>
    <n v="5479"/>
    <n v="944.23"/>
    <n v="0"/>
    <n v="0"/>
    <n v="944.23"/>
    <n v="6"/>
    <n v="3.1"/>
  </r>
  <r>
    <n v="64459"/>
    <s v="Living Room"/>
    <s v="Sofa"/>
    <x v="11"/>
    <x v="0"/>
    <x v="0"/>
    <x v="0"/>
    <x v="3"/>
    <n v="8905"/>
    <n v="1514.14"/>
    <n v="102.89"/>
    <n v="258.61"/>
    <n v="1875.64"/>
    <n v="10"/>
    <n v="4.9000000000000004"/>
  </r>
  <r>
    <n v="71894"/>
    <s v="Dining Room"/>
    <s v="Bar Stool"/>
    <x v="0"/>
    <x v="5"/>
    <x v="0"/>
    <x v="0"/>
    <x v="4"/>
    <n v="4993"/>
    <n v="1098.24"/>
    <m/>
    <n v="227.96"/>
    <n v="1411.59"/>
    <n v="11"/>
    <n v="4.2"/>
  </r>
  <r>
    <n v="69871"/>
    <s v="Dining Room"/>
    <s v="Dining Chair"/>
    <x v="7"/>
    <x v="1"/>
    <x v="0"/>
    <x v="0"/>
    <x v="5"/>
    <n v="3369"/>
    <n v="103"/>
    <n v="26.8"/>
    <n v="89.98"/>
    <n v="219.78"/>
    <n v="7"/>
    <n v="2.2999999999999998"/>
  </r>
  <r>
    <n v="60277"/>
    <s v="Living Room"/>
    <s v="Side Table"/>
    <x v="6"/>
    <x v="2"/>
    <x v="1"/>
    <x v="0"/>
    <x v="6"/>
    <n v="4122"/>
    <n v="662.73"/>
    <n v="0"/>
    <n v="130.03"/>
    <n v="792.76"/>
    <n v="9"/>
    <n v="1"/>
  </r>
  <r>
    <n v="88561"/>
    <s v="Office"/>
    <s v="Computer Table"/>
    <x v="10"/>
    <x v="3"/>
    <x v="0"/>
    <x v="0"/>
    <x v="4"/>
    <n v="9327"/>
    <n v="954.71"/>
    <n v="0"/>
    <n v="66.53"/>
    <n v="1021.24"/>
    <n v="6"/>
    <n v="2.9"/>
  </r>
  <r>
    <n v="27892"/>
    <s v="Bedroom"/>
    <s v="Nightstand"/>
    <x v="9"/>
    <x v="3"/>
    <x v="0"/>
    <x v="1"/>
    <x v="2"/>
    <n v="2143"/>
    <n v="592.85"/>
    <n v="136.52000000000001"/>
    <n v="0"/>
    <n v="729.37"/>
    <n v="8"/>
    <n v="2.7"/>
  </r>
  <r>
    <n v="46208"/>
    <s v="Kitchen"/>
    <s v="Kitchen Cabinet"/>
    <x v="8"/>
    <x v="3"/>
    <x v="0"/>
    <x v="0"/>
    <x v="5"/>
    <n v="7798"/>
    <n v="1542.87"/>
    <n v="105.52"/>
    <n v="78.87"/>
    <n v="1727.26"/>
    <n v="6"/>
    <n v="4.5999999999999996"/>
  </r>
  <r>
    <n v="54548"/>
    <s v="Dining Room"/>
    <s v="Dining Table"/>
    <x v="9"/>
    <x v="2"/>
    <x v="1"/>
    <x v="0"/>
    <x v="4"/>
    <n v="9318"/>
    <n v="744.39"/>
    <n v="103.43"/>
    <n v="178.11"/>
    <n v="1025.93"/>
    <n v="2"/>
    <n v="4"/>
  </r>
  <r>
    <n v="45018"/>
    <s v="Living Room"/>
    <s v="TV Stand"/>
    <x v="11"/>
    <x v="5"/>
    <x v="0"/>
    <x v="1"/>
    <x v="0"/>
    <n v="1042"/>
    <n v="1151.9000000000001"/>
    <n v="73.760000000000005"/>
    <n v="0"/>
    <n v="1225.6600000000001"/>
    <n v="14"/>
    <n v="1.9"/>
  </r>
  <r>
    <n v="47072"/>
    <s v="Dining Room"/>
    <s v="Dining Table"/>
    <x v="9"/>
    <x v="4"/>
    <x v="0"/>
    <x v="0"/>
    <x v="6"/>
    <n v="5891"/>
    <n v="1577.8"/>
    <n v="94.38"/>
    <n v="285.74"/>
    <n v="1957.92"/>
    <n v="3"/>
    <n v="4.7"/>
  </r>
  <r>
    <n v="86931"/>
    <s v="Dining Room"/>
    <s v="Dining Chair"/>
    <x v="2"/>
    <x v="3"/>
    <x v="0"/>
    <x v="0"/>
    <x v="6"/>
    <n v="9022"/>
    <n v="1562.01"/>
    <n v="0"/>
    <n v="86.23"/>
    <n v="1648.24"/>
    <n v="8"/>
    <n v="4.5"/>
  </r>
  <r>
    <n v="29476"/>
    <s v="Living Room"/>
    <s v="Side Table"/>
    <x v="11"/>
    <x v="1"/>
    <x v="0"/>
    <x v="0"/>
    <x v="5"/>
    <n v="8316"/>
    <n v="2150.69"/>
    <n v="83.33"/>
    <n v="38.01"/>
    <n v="2272.0300000000002"/>
    <n v="11"/>
    <n v="1.1000000000000001"/>
  </r>
  <r>
    <n v="80592"/>
    <s v="Dining Room"/>
    <s v="Dining Chair"/>
    <x v="1"/>
    <x v="5"/>
    <x v="0"/>
    <x v="1"/>
    <x v="6"/>
    <n v="8935"/>
    <n v="465.84"/>
    <n v="45.75"/>
    <n v="0"/>
    <n v="511.59"/>
    <n v="13"/>
    <n v="1.5"/>
  </r>
  <r>
    <n v="55236"/>
    <s v="Living Room"/>
    <s v="Sofa"/>
    <x v="9"/>
    <x v="2"/>
    <x v="1"/>
    <x v="1"/>
    <x v="3"/>
    <n v="6446"/>
    <n v="2404.09"/>
    <n v="60.24"/>
    <n v="0"/>
    <n v="2464.33"/>
    <n v="9"/>
    <n v="1.6"/>
  </r>
  <r>
    <n v="82340"/>
    <s v="Bedroom"/>
    <s v="Mattress"/>
    <x v="10"/>
    <x v="1"/>
    <x v="0"/>
    <x v="1"/>
    <x v="0"/>
    <n v="9903"/>
    <n v="353.04"/>
    <n v="70.989999999999995"/>
    <n v="0"/>
    <n v="424.03"/>
    <n v="9"/>
    <n v="1.5"/>
  </r>
  <r>
    <n v="59441"/>
    <s v="Living Room"/>
    <s v="Armchair"/>
    <x v="6"/>
    <x v="4"/>
    <x v="0"/>
    <x v="0"/>
    <x v="0"/>
    <n v="8460"/>
    <n v="323.74"/>
    <n v="56.98"/>
    <n v="242.45"/>
    <n v="623.16999999999996"/>
    <n v="5"/>
    <n v="1.8"/>
  </r>
  <r>
    <n v="52176"/>
    <s v="Office"/>
    <s v="Computer Table"/>
    <x v="9"/>
    <x v="0"/>
    <x v="0"/>
    <x v="1"/>
    <x v="1"/>
    <n v="4090"/>
    <n v="267.14999999999998"/>
    <n v="85.96"/>
    <n v="0"/>
    <n v="353.11"/>
    <n v="2"/>
    <n v="3.7"/>
  </r>
  <r>
    <n v="41300"/>
    <s v="Bedroom"/>
    <s v="Mattress"/>
    <x v="8"/>
    <x v="2"/>
    <x v="1"/>
    <x v="1"/>
    <x v="1"/>
    <n v="7274"/>
    <n v="559.61"/>
    <n v="75.81"/>
    <n v="0"/>
    <n v="635.41999999999996"/>
    <n v="7"/>
    <n v="4.7"/>
  </r>
  <r>
    <n v="40613"/>
    <s v="Office"/>
    <s v="Office Chair"/>
    <x v="8"/>
    <x v="4"/>
    <x v="0"/>
    <x v="1"/>
    <x v="3"/>
    <n v="7730"/>
    <n v="172.82"/>
    <n v="33.47"/>
    <n v="0"/>
    <n v="206.29"/>
    <n v="8"/>
    <n v="2.1"/>
  </r>
  <r>
    <n v="15720"/>
    <s v="Bedroom"/>
    <s v="Wardrobe"/>
    <x v="3"/>
    <x v="4"/>
    <x v="0"/>
    <x v="0"/>
    <x v="1"/>
    <n v="6213"/>
    <n v="443.36"/>
    <n v="86.32"/>
    <n v="155.61000000000001"/>
    <n v="685.29"/>
    <n v="2"/>
    <n v="3.1"/>
  </r>
  <r>
    <n v="71993"/>
    <s v="Bedroom"/>
    <s v="Wardrobe"/>
    <x v="4"/>
    <x v="1"/>
    <x v="0"/>
    <x v="1"/>
    <x v="3"/>
    <n v="7246"/>
    <n v="844.52"/>
    <n v="0"/>
    <n v="0"/>
    <n v="844.52"/>
    <n v="7"/>
    <m/>
  </r>
  <r>
    <n v="60604"/>
    <s v="Office"/>
    <s v="Filing Cabinet"/>
    <x v="0"/>
    <x v="4"/>
    <x v="0"/>
    <x v="0"/>
    <x v="1"/>
    <n v="3492"/>
    <n v="885.44"/>
    <n v="119.41"/>
    <n v="43.48"/>
    <n v="1048.33"/>
    <n v="12"/>
    <n v="2.9"/>
  </r>
  <r>
    <n v="74923"/>
    <s v="Dining Room"/>
    <s v="China Cabinet"/>
    <x v="2"/>
    <x v="1"/>
    <x v="0"/>
    <x v="1"/>
    <x v="2"/>
    <n v="1606"/>
    <n v="285.54000000000002"/>
    <n v="58.39"/>
    <n v="0"/>
    <n v="343.93"/>
    <n v="7"/>
    <m/>
  </r>
  <r>
    <n v="26547"/>
    <s v="Kitchen"/>
    <s v="Pantry Cabinet"/>
    <x v="1"/>
    <x v="1"/>
    <x v="0"/>
    <x v="0"/>
    <x v="5"/>
    <n v="9229"/>
    <n v="1020.3"/>
    <n v="56.15"/>
    <n v="94.36"/>
    <n v="1170.81"/>
    <n v="13"/>
    <n v="1"/>
  </r>
  <r>
    <n v="87356"/>
    <s v="Office"/>
    <s v="Computer Table"/>
    <x v="11"/>
    <x v="4"/>
    <x v="0"/>
    <x v="1"/>
    <x v="2"/>
    <n v="6439"/>
    <n v="493.93"/>
    <n v="71.17"/>
    <n v="0"/>
    <n v="565.1"/>
    <n v="4"/>
    <n v="4.5"/>
  </r>
  <r>
    <n v="23154"/>
    <s v="Outdoor"/>
    <s v="Outdoor Table"/>
    <x v="7"/>
    <x v="0"/>
    <x v="0"/>
    <x v="1"/>
    <x v="2"/>
    <n v="8213"/>
    <n v="1665.53"/>
    <n v="121.78"/>
    <n v="0"/>
    <n v="1787.31"/>
    <n v="2"/>
    <n v="3.4"/>
  </r>
  <r>
    <n v="23069"/>
    <s v="Bedroom"/>
    <s v="Dresser"/>
    <x v="11"/>
    <x v="3"/>
    <x v="0"/>
    <x v="0"/>
    <x v="5"/>
    <n v="9617"/>
    <n v="327.87"/>
    <n v="92.58"/>
    <n v="42.58"/>
    <n v="463.03"/>
    <n v="14"/>
    <n v="1.4"/>
  </r>
  <r>
    <n v="69890"/>
    <s v="Office"/>
    <s v="Computer Table"/>
    <x v="10"/>
    <x v="5"/>
    <x v="0"/>
    <x v="1"/>
    <x v="5"/>
    <n v="1251"/>
    <n v="639.86"/>
    <n v="88.28"/>
    <n v="0"/>
    <n v="728.14"/>
    <n v="7"/>
    <n v="3.6"/>
  </r>
  <r>
    <n v="28894"/>
    <s v="Kitchen"/>
    <s v="Pantry Cabinet"/>
    <x v="2"/>
    <x v="1"/>
    <x v="0"/>
    <x v="1"/>
    <x v="0"/>
    <n v="7717"/>
    <n v="2155.3200000000002"/>
    <n v="91.72"/>
    <n v="0"/>
    <n v="2247.04"/>
    <n v="14"/>
    <n v="1.5"/>
  </r>
  <r>
    <n v="95823"/>
    <s v="Bedroom"/>
    <s v="Chest of Drawers"/>
    <x v="9"/>
    <x v="4"/>
    <x v="0"/>
    <x v="0"/>
    <x v="1"/>
    <n v="3529"/>
    <n v="2671.93"/>
    <n v="147.5"/>
    <n v="28.43"/>
    <n v="2847.86"/>
    <n v="13"/>
    <n v="2.8"/>
  </r>
  <r>
    <n v="19807"/>
    <s v="Kitchen"/>
    <s v="Bar Cart"/>
    <x v="5"/>
    <x v="4"/>
    <x v="0"/>
    <x v="1"/>
    <x v="1"/>
    <n v="8692"/>
    <n v="1299.67"/>
    <n v="132.01"/>
    <n v="0"/>
    <n v="1431.68"/>
    <n v="6"/>
    <n v="2.7"/>
  </r>
  <r>
    <n v="44737"/>
    <s v="Outdoor"/>
    <s v="Garden Chair"/>
    <x v="9"/>
    <x v="2"/>
    <x v="1"/>
    <x v="1"/>
    <x v="0"/>
    <n v="6546"/>
    <n v="1325.01"/>
    <n v="0"/>
    <n v="0"/>
    <n v="1325.01"/>
    <n v="1"/>
    <n v="3.3"/>
  </r>
  <r>
    <n v="91691"/>
    <s v="Kitchen"/>
    <s v="Pantry Cabinet"/>
    <x v="0"/>
    <x v="3"/>
    <x v="0"/>
    <x v="1"/>
    <x v="5"/>
    <n v="7512"/>
    <n v="2415.8200000000002"/>
    <n v="0"/>
    <n v="0"/>
    <n v="2415.8200000000002"/>
    <n v="8"/>
    <n v="3.1"/>
  </r>
  <r>
    <n v="95175"/>
    <s v="Office"/>
    <s v="Office Chair"/>
    <x v="10"/>
    <x v="4"/>
    <x v="0"/>
    <x v="0"/>
    <x v="4"/>
    <n v="2315"/>
    <n v="1051.3900000000001"/>
    <n v="107.96"/>
    <n v="153.5"/>
    <n v="1312.85"/>
    <n v="1"/>
    <n v="3.1"/>
  </r>
  <r>
    <n v="53065"/>
    <s v="Dining Room"/>
    <s v="Buffet"/>
    <x v="0"/>
    <x v="2"/>
    <x v="1"/>
    <x v="0"/>
    <x v="0"/>
    <n v="9742"/>
    <n v="770.54"/>
    <n v="79.459999999999994"/>
    <n v="42.38"/>
    <n v="892.38"/>
    <n v="10"/>
    <n v="3.9"/>
  </r>
  <r>
    <n v="59808"/>
    <s v="Outdoor"/>
    <s v="Lounge Chair"/>
    <x v="10"/>
    <x v="3"/>
    <x v="0"/>
    <x v="1"/>
    <x v="5"/>
    <n v="6188"/>
    <n v="1103.93"/>
    <n v="115.63"/>
    <n v="0"/>
    <n v="1219.56"/>
    <n v="13"/>
    <n v="1.1000000000000001"/>
  </r>
  <r>
    <n v="92155"/>
    <s v="Kitchen"/>
    <s v="Kitchen Island"/>
    <x v="2"/>
    <x v="4"/>
    <x v="0"/>
    <x v="0"/>
    <x v="5"/>
    <n v="8994"/>
    <n v="2173.1799999999998"/>
    <n v="0"/>
    <n v="127.52"/>
    <n v="2300.6999999999998"/>
    <n v="5"/>
    <m/>
  </r>
  <r>
    <n v="80912"/>
    <s v="Kitchen"/>
    <s v="Bar Cart"/>
    <x v="2"/>
    <x v="5"/>
    <x v="0"/>
    <x v="0"/>
    <x v="3"/>
    <n v="1588"/>
    <n v="1750.14"/>
    <n v="67.540000000000006"/>
    <n v="177.12"/>
    <n v="1994.8"/>
    <n v="9"/>
    <n v="2.4"/>
  </r>
  <r>
    <n v="90931"/>
    <s v="Bedroom"/>
    <s v="Nightstand"/>
    <x v="9"/>
    <x v="2"/>
    <x v="1"/>
    <x v="1"/>
    <x v="0"/>
    <n v="2121"/>
    <n v="2295.37"/>
    <n v="88.32"/>
    <n v="0"/>
    <n v="2383.69"/>
    <n v="12"/>
    <n v="1.8"/>
  </r>
  <r>
    <n v="40771"/>
    <s v="Outdoor"/>
    <s v="Outdoor Table"/>
    <x v="7"/>
    <x v="5"/>
    <x v="0"/>
    <x v="0"/>
    <x v="1"/>
    <n v="5708"/>
    <n v="1396.55"/>
    <n v="0"/>
    <n v="209.81"/>
    <n v="1606.36"/>
    <n v="5"/>
    <n v="4.8"/>
  </r>
  <r>
    <n v="39817"/>
    <s v="Outdoor"/>
    <s v="Lounge Chair"/>
    <x v="3"/>
    <x v="1"/>
    <x v="0"/>
    <x v="1"/>
    <x v="6"/>
    <n v="2480"/>
    <n v="933.07"/>
    <n v="0"/>
    <n v="0"/>
    <n v="933.07"/>
    <n v="1"/>
    <n v="4.2"/>
  </r>
  <r>
    <n v="66881"/>
    <s v="Kitchen"/>
    <s v="Kitchen Island"/>
    <x v="8"/>
    <x v="2"/>
    <x v="1"/>
    <x v="1"/>
    <x v="6"/>
    <n v="2612"/>
    <n v="514.20000000000005"/>
    <n v="85.38"/>
    <n v="0"/>
    <n v="599.58000000000004"/>
    <n v="10"/>
    <n v="4.4000000000000004"/>
  </r>
  <r>
    <n v="93066"/>
    <s v="Living Room"/>
    <s v="TV Stand"/>
    <x v="7"/>
    <x v="3"/>
    <x v="0"/>
    <x v="0"/>
    <x v="4"/>
    <n v="2646"/>
    <n v="1704.99"/>
    <n v="127.32"/>
    <n v="76"/>
    <n v="1908.31"/>
    <n v="11"/>
    <n v="1.7"/>
  </r>
  <r>
    <n v="68153"/>
    <s v="Living Room"/>
    <s v="Sofa"/>
    <x v="5"/>
    <x v="4"/>
    <x v="0"/>
    <x v="0"/>
    <x v="0"/>
    <n v="3725"/>
    <n v="227.51"/>
    <n v="32.33"/>
    <n v="202.73"/>
    <n v="462.57"/>
    <n v="12"/>
    <n v="1.8"/>
  </r>
  <r>
    <n v="49251"/>
    <s v="Living Room"/>
    <s v="Ottoman"/>
    <x v="6"/>
    <x v="1"/>
    <x v="0"/>
    <x v="0"/>
    <x v="3"/>
    <n v="1474"/>
    <n v="1710.19"/>
    <n v="145.05000000000001"/>
    <n v="27.16"/>
    <n v="1882.4"/>
    <n v="10"/>
    <m/>
  </r>
  <r>
    <n v="16028"/>
    <s v="Bedroom"/>
    <s v="Bed Frame"/>
    <x v="11"/>
    <x v="0"/>
    <x v="0"/>
    <x v="1"/>
    <x v="4"/>
    <n v="6314"/>
    <n v="2132.61"/>
    <n v="0"/>
    <m/>
    <n v="2132.61"/>
    <n v="11"/>
    <n v="3.6"/>
  </r>
  <r>
    <n v="17355"/>
    <s v="Outdoor"/>
    <s v="Outdoor Table"/>
    <x v="1"/>
    <x v="0"/>
    <x v="0"/>
    <x v="0"/>
    <x v="0"/>
    <n v="5806"/>
    <n v="574.61"/>
    <n v="77.73"/>
    <n v="208.29"/>
    <n v="860.63"/>
    <n v="1"/>
    <n v="4.3"/>
  </r>
  <r>
    <n v="56984"/>
    <s v="Office"/>
    <s v="Desk"/>
    <x v="3"/>
    <x v="5"/>
    <x v="0"/>
    <x v="1"/>
    <x v="3"/>
    <n v="7141"/>
    <n v="946.63"/>
    <n v="0"/>
    <n v="0"/>
    <n v="946.63"/>
    <n v="2"/>
    <m/>
  </r>
  <r>
    <n v="66450"/>
    <s v="Outdoor"/>
    <s v="Patio Set"/>
    <x v="10"/>
    <x v="5"/>
    <x v="0"/>
    <x v="0"/>
    <x v="4"/>
    <n v="3385"/>
    <n v="1655.81"/>
    <n v="60.33"/>
    <n v="39.28"/>
    <n v="1755.42"/>
    <n v="5"/>
    <n v="1.1000000000000001"/>
  </r>
  <r>
    <n v="42007"/>
    <s v="Outdoor"/>
    <s v="Patio Set"/>
    <x v="10"/>
    <x v="0"/>
    <x v="0"/>
    <x v="1"/>
    <x v="1"/>
    <n v="9702"/>
    <n v="1689.27"/>
    <n v="76.64"/>
    <n v="0"/>
    <n v="1765.91"/>
    <n v="7"/>
    <n v="3.1"/>
  </r>
  <r>
    <n v="64008"/>
    <s v="Office"/>
    <s v="Office Chair"/>
    <x v="8"/>
    <x v="2"/>
    <x v="1"/>
    <x v="1"/>
    <x v="4"/>
    <n v="3950"/>
    <n v="846.98"/>
    <n v="0"/>
    <n v="0"/>
    <n v="846.98"/>
    <n v="2"/>
    <n v="4.7"/>
  </r>
  <r>
    <n v="32280"/>
    <s v="Dining Room"/>
    <s v="Buffet"/>
    <x v="10"/>
    <x v="2"/>
    <x v="1"/>
    <x v="0"/>
    <x v="4"/>
    <n v="3868"/>
    <n v="204.87"/>
    <n v="99.78"/>
    <n v="153.46"/>
    <n v="458.11"/>
    <n v="6"/>
    <m/>
  </r>
  <r>
    <n v="20350"/>
    <s v="Bedroom"/>
    <s v="Mattress"/>
    <x v="9"/>
    <x v="2"/>
    <x v="1"/>
    <x v="1"/>
    <x v="1"/>
    <n v="7267"/>
    <n v="1730.26"/>
    <n v="116.07"/>
    <n v="0"/>
    <n v="1846.33"/>
    <n v="12"/>
    <n v="1.4"/>
  </r>
  <r>
    <n v="91226"/>
    <s v="Living Room"/>
    <s v="Side Table"/>
    <x v="7"/>
    <x v="1"/>
    <x v="0"/>
    <x v="0"/>
    <x v="6"/>
    <n v="4945"/>
    <n v="1207.3599999999999"/>
    <n v="0"/>
    <n v="51.27"/>
    <n v="1258.6300000000001"/>
    <n v="10"/>
    <n v="2.6"/>
  </r>
  <r>
    <n v="75230"/>
    <s v="Office"/>
    <s v="Computer Table"/>
    <x v="2"/>
    <x v="5"/>
    <x v="0"/>
    <x v="0"/>
    <x v="2"/>
    <n v="3344"/>
    <n v="1450.23"/>
    <n v="146.66"/>
    <n v="33.479999999999997"/>
    <n v="1630.37"/>
    <n v="6"/>
    <n v="1.2"/>
  </r>
  <r>
    <n v="40433"/>
    <s v="Outdoor"/>
    <s v="Umbrella"/>
    <x v="5"/>
    <x v="0"/>
    <x v="0"/>
    <x v="0"/>
    <x v="3"/>
    <n v="8555"/>
    <n v="906.31"/>
    <n v="137.43"/>
    <n v="96.24"/>
    <n v="1139.98"/>
    <n v="1"/>
    <n v="3"/>
  </r>
  <r>
    <n v="93611"/>
    <s v="Living Room"/>
    <s v="Coffee Table"/>
    <x v="1"/>
    <x v="4"/>
    <x v="0"/>
    <x v="0"/>
    <x v="0"/>
    <n v="5161"/>
    <n v="1812.98"/>
    <n v="0"/>
    <n v="47.62"/>
    <n v="1860.6"/>
    <n v="14"/>
    <n v="2.8"/>
  </r>
  <r>
    <n v="70236"/>
    <s v="Living Room"/>
    <s v="Sofa"/>
    <x v="8"/>
    <x v="3"/>
    <x v="0"/>
    <x v="0"/>
    <x v="4"/>
    <n v="5183"/>
    <n v="1343.43"/>
    <n v="72.06"/>
    <n v="200.6"/>
    <n v="1616.09"/>
    <n v="14"/>
    <n v="3.7"/>
  </r>
  <r>
    <n v="97404"/>
    <s v="Kitchen"/>
    <s v="Bar Cart"/>
    <x v="1"/>
    <x v="1"/>
    <x v="0"/>
    <x v="0"/>
    <x v="6"/>
    <n v="1153"/>
    <n v="1007.5"/>
    <n v="71.319999999999993"/>
    <n v="66.78"/>
    <n v="1145.5999999999999"/>
    <n v="2"/>
    <n v="4"/>
  </r>
  <r>
    <n v="70981"/>
    <s v="Kitchen"/>
    <s v="Bar Cart"/>
    <x v="12"/>
    <x v="5"/>
    <x v="0"/>
    <x v="0"/>
    <x v="0"/>
    <n v="5712"/>
    <n v="1265.05"/>
    <n v="54.07"/>
    <n v="266.64999999999998"/>
    <n v="1585.77"/>
    <n v="1"/>
    <n v="1.3"/>
  </r>
  <r>
    <n v="98815"/>
    <s v="Outdoor"/>
    <s v="Umbrella"/>
    <x v="1"/>
    <x v="1"/>
    <x v="0"/>
    <x v="1"/>
    <x v="6"/>
    <n v="9955"/>
    <n v="1613.41"/>
    <n v="130.74"/>
    <n v="0"/>
    <n v="1744.15"/>
    <n v="12"/>
    <m/>
  </r>
  <r>
    <n v="30706"/>
    <s v="Kitchen"/>
    <s v="Pantry Cabinet"/>
    <x v="11"/>
    <x v="2"/>
    <x v="1"/>
    <x v="0"/>
    <x v="1"/>
    <n v="2210"/>
    <n v="1206.47"/>
    <n v="111.05"/>
    <n v="85.86"/>
    <n v="1403.38"/>
    <n v="10"/>
    <n v="3.5"/>
  </r>
  <r>
    <n v="67898"/>
    <s v="Living Room"/>
    <s v="Ottoman"/>
    <x v="6"/>
    <x v="1"/>
    <x v="0"/>
    <x v="0"/>
    <x v="5"/>
    <n v="6661"/>
    <n v="741.97"/>
    <n v="0"/>
    <n v="186.27"/>
    <n v="928.24"/>
    <n v="9"/>
    <n v="2.9"/>
  </r>
  <r>
    <n v="87014"/>
    <s v="Dining Room"/>
    <s v="Dining Table"/>
    <x v="5"/>
    <x v="3"/>
    <x v="0"/>
    <x v="1"/>
    <x v="4"/>
    <n v="5901"/>
    <n v="468.07"/>
    <n v="84.75"/>
    <n v="0"/>
    <n v="552.82000000000005"/>
    <n v="8"/>
    <n v="3.7"/>
  </r>
  <r>
    <n v="93746"/>
    <s v="Dining Room"/>
    <s v="Bar Stool"/>
    <x v="5"/>
    <x v="4"/>
    <x v="0"/>
    <x v="1"/>
    <x v="5"/>
    <n v="7951"/>
    <n v="498.22"/>
    <n v="43.85"/>
    <n v="0"/>
    <n v="542.07000000000005"/>
    <n v="1"/>
    <m/>
  </r>
  <r>
    <n v="42780"/>
    <s v="Bedroom"/>
    <s v="Bed Frame"/>
    <x v="8"/>
    <x v="5"/>
    <x v="0"/>
    <x v="0"/>
    <x v="2"/>
    <n v="8484"/>
    <n v="1532.42"/>
    <n v="0"/>
    <n v="238.91"/>
    <n v="1771.33"/>
    <n v="6"/>
    <n v="4"/>
  </r>
  <r>
    <n v="49599"/>
    <s v="Living Room"/>
    <s v="TV Stand"/>
    <x v="2"/>
    <x v="0"/>
    <x v="0"/>
    <x v="1"/>
    <x v="3"/>
    <n v="4263"/>
    <n v="723.9"/>
    <n v="0"/>
    <n v="0"/>
    <n v="723.9"/>
    <n v="14"/>
    <n v="4.5999999999999996"/>
  </r>
  <r>
    <n v="60422"/>
    <s v="Office"/>
    <s v="Office Chair"/>
    <x v="9"/>
    <x v="5"/>
    <x v="0"/>
    <x v="1"/>
    <x v="4"/>
    <n v="8916"/>
    <n v="1344.49"/>
    <n v="0"/>
    <n v="0"/>
    <n v="1344.49"/>
    <n v="3"/>
    <n v="1.5"/>
  </r>
  <r>
    <n v="23979"/>
    <s v="Dining Room"/>
    <s v="Bar Stool"/>
    <x v="8"/>
    <x v="5"/>
    <x v="0"/>
    <x v="0"/>
    <x v="6"/>
    <n v="4886"/>
    <n v="484.2"/>
    <n v="34.54"/>
    <n v="113.65"/>
    <n v="632.39"/>
    <n v="14"/>
    <n v="2.7"/>
  </r>
  <r>
    <n v="59986"/>
    <s v="Kitchen"/>
    <s v="Bar Cart"/>
    <x v="4"/>
    <x v="4"/>
    <x v="0"/>
    <x v="0"/>
    <x v="1"/>
    <n v="6881"/>
    <n v="2037"/>
    <n v="111.15"/>
    <n v="54.32"/>
    <n v="2202.4699999999998"/>
    <n v="14"/>
    <n v="4.4000000000000004"/>
  </r>
  <r>
    <n v="85341"/>
    <s v="Office"/>
    <s v="Bookshelf"/>
    <x v="1"/>
    <x v="4"/>
    <x v="0"/>
    <x v="0"/>
    <x v="0"/>
    <n v="5847"/>
    <n v="100.6"/>
    <n v="57.11"/>
    <n v="66.36"/>
    <n v="224.07"/>
    <n v="10"/>
    <n v="4.7"/>
  </r>
  <r>
    <n v="48696"/>
    <s v="Office"/>
    <s v="Office Chair"/>
    <x v="2"/>
    <x v="0"/>
    <x v="0"/>
    <x v="0"/>
    <x v="1"/>
    <n v="1359"/>
    <n v="136.88"/>
    <n v="60.3"/>
    <n v="229.67"/>
    <n v="426.85"/>
    <n v="8"/>
    <n v="3.8"/>
  </r>
  <r>
    <n v="96275"/>
    <s v="Bedroom"/>
    <s v="Bed Frame"/>
    <x v="11"/>
    <x v="5"/>
    <x v="0"/>
    <x v="1"/>
    <x v="4"/>
    <n v="7484"/>
    <n v="1741.69"/>
    <n v="0"/>
    <n v="0"/>
    <n v="1741.69"/>
    <n v="4"/>
    <m/>
  </r>
  <r>
    <n v="45976"/>
    <s v="Living Room"/>
    <s v="Sofa"/>
    <x v="8"/>
    <x v="1"/>
    <x v="0"/>
    <x v="0"/>
    <x v="1"/>
    <n v="1132"/>
    <n v="1303.5"/>
    <n v="120.33"/>
    <n v="219.56"/>
    <n v="1643.39"/>
    <n v="3"/>
    <n v="2.6"/>
  </r>
  <r>
    <n v="84177"/>
    <s v="Outdoor"/>
    <s v="Patio Set"/>
    <x v="3"/>
    <x v="2"/>
    <x v="1"/>
    <x v="1"/>
    <x v="4"/>
    <n v="1803"/>
    <n v="1569.63"/>
    <n v="0"/>
    <n v="0"/>
    <n v="1569.63"/>
    <n v="9"/>
    <m/>
  </r>
  <r>
    <n v="89482"/>
    <s v="Kitchen"/>
    <s v="Bar Cart"/>
    <x v="6"/>
    <x v="2"/>
    <x v="1"/>
    <x v="1"/>
    <x v="0"/>
    <n v="9138"/>
    <n v="2032.92"/>
    <n v="0"/>
    <n v="0"/>
    <n v="2032.92"/>
    <n v="12"/>
    <n v="3.1"/>
  </r>
  <r>
    <n v="47512"/>
    <s v="Living Room"/>
    <s v="Armchair"/>
    <x v="4"/>
    <x v="4"/>
    <x v="0"/>
    <x v="0"/>
    <x v="0"/>
    <n v="4770"/>
    <n v="1040.8599999999999"/>
    <n v="86.56"/>
    <n v="39.020000000000003"/>
    <n v="1166.44"/>
    <n v="13"/>
    <n v="4.9000000000000004"/>
  </r>
  <r>
    <n v="89569"/>
    <s v="Outdoor"/>
    <s v="Lounge Chair"/>
    <x v="5"/>
    <x v="3"/>
    <x v="0"/>
    <x v="0"/>
    <x v="6"/>
    <n v="6772"/>
    <n v="1366.68"/>
    <n v="137.11000000000001"/>
    <n v="66.02"/>
    <n v="1569.81"/>
    <n v="5"/>
    <n v="2.7"/>
  </r>
  <r>
    <n v="38705"/>
    <s v="Dining Room"/>
    <s v="Buffet"/>
    <x v="9"/>
    <x v="3"/>
    <x v="0"/>
    <x v="1"/>
    <x v="5"/>
    <n v="4115"/>
    <n v="1023.83"/>
    <n v="62.27"/>
    <n v="0"/>
    <n v="1086.0999999999999"/>
    <n v="8"/>
    <n v="4.2"/>
  </r>
  <r>
    <n v="91381"/>
    <s v="Office"/>
    <s v="Office Chair"/>
    <x v="11"/>
    <x v="3"/>
    <x v="0"/>
    <x v="1"/>
    <x v="4"/>
    <n v="5106"/>
    <n v="193.84"/>
    <n v="92.35"/>
    <n v="0"/>
    <n v="286.19"/>
    <n v="2"/>
    <m/>
  </r>
  <r>
    <n v="98835"/>
    <s v="Bedroom"/>
    <s v="Nightstand"/>
    <x v="8"/>
    <x v="0"/>
    <x v="0"/>
    <x v="0"/>
    <x v="1"/>
    <n v="3240"/>
    <n v="578.91999999999996"/>
    <n v="0"/>
    <n v="141.65"/>
    <n v="720.57"/>
    <n v="11"/>
    <n v="1.5"/>
  </r>
  <r>
    <n v="92345"/>
    <s v="Outdoor"/>
    <s v="Patio Set"/>
    <x v="10"/>
    <x v="4"/>
    <x v="0"/>
    <x v="0"/>
    <x v="4"/>
    <n v="2591"/>
    <n v="631"/>
    <n v="0"/>
    <n v="141.16999999999999"/>
    <n v="772.17"/>
    <n v="6"/>
    <n v="4.0999999999999996"/>
  </r>
  <r>
    <n v="92242"/>
    <s v="Outdoor"/>
    <s v="Umbrella"/>
    <x v="11"/>
    <x v="3"/>
    <x v="0"/>
    <x v="0"/>
    <x v="5"/>
    <n v="1645"/>
    <n v="1539.15"/>
    <n v="80.41"/>
    <n v="117.17"/>
    <n v="1736.73"/>
    <n v="5"/>
    <n v="2.5"/>
  </r>
  <r>
    <n v="50492"/>
    <s v="Dining Room"/>
    <s v="Bar Stool"/>
    <x v="6"/>
    <x v="5"/>
    <x v="0"/>
    <x v="0"/>
    <x v="5"/>
    <n v="8222"/>
    <n v="966.26"/>
    <n v="0"/>
    <n v="118.23"/>
    <n v="1084.49"/>
    <n v="3"/>
    <n v="3.8"/>
  </r>
  <r>
    <n v="14373"/>
    <s v="Bedroom"/>
    <s v="Bed Frame"/>
    <x v="6"/>
    <x v="2"/>
    <x v="1"/>
    <x v="0"/>
    <x v="6"/>
    <n v="6977"/>
    <n v="267.27999999999997"/>
    <n v="48.75"/>
    <n v="189.06"/>
    <n v="505.09"/>
    <n v="3"/>
    <n v="3.8"/>
  </r>
  <r>
    <n v="27224"/>
    <s v="Bedroom"/>
    <s v="Dresser"/>
    <x v="12"/>
    <x v="5"/>
    <x v="0"/>
    <x v="0"/>
    <x v="0"/>
    <n v="2476"/>
    <n v="1428.02"/>
    <n v="103.36"/>
    <n v="35.11"/>
    <n v="1566.49"/>
    <n v="8"/>
    <n v="4.8"/>
  </r>
  <r>
    <n v="48680"/>
    <s v="Outdoor"/>
    <s v="Umbrella"/>
    <x v="0"/>
    <x v="1"/>
    <x v="0"/>
    <x v="1"/>
    <x v="5"/>
    <n v="6352"/>
    <n v="1759.74"/>
    <n v="120.55"/>
    <n v="0"/>
    <n v="1880.29"/>
    <n v="5"/>
    <n v="4"/>
  </r>
  <r>
    <n v="64460"/>
    <s v="Kitchen"/>
    <s v="Pantry Cabinet"/>
    <x v="7"/>
    <x v="3"/>
    <x v="0"/>
    <x v="1"/>
    <x v="6"/>
    <n v="3877"/>
    <n v="1045.1099999999999"/>
    <n v="0"/>
    <n v="0"/>
    <n v="1045.1099999999999"/>
    <n v="1"/>
    <m/>
  </r>
  <r>
    <n v="36318"/>
    <s v="Living Room"/>
    <s v="Armchair"/>
    <x v="4"/>
    <x v="4"/>
    <x v="0"/>
    <x v="1"/>
    <x v="3"/>
    <n v="3165"/>
    <n v="1620.3"/>
    <n v="0"/>
    <n v="0"/>
    <n v="1620.3"/>
    <n v="2"/>
    <n v="3.4"/>
  </r>
  <r>
    <n v="80701"/>
    <s v="Bedroom"/>
    <s v="Dresser"/>
    <x v="7"/>
    <x v="0"/>
    <x v="0"/>
    <x v="1"/>
    <x v="5"/>
    <n v="6994"/>
    <n v="707.79"/>
    <n v="0"/>
    <n v="0"/>
    <n v="707.79"/>
    <n v="11"/>
    <n v="1.3"/>
  </r>
  <r>
    <n v="79579"/>
    <s v="Office"/>
    <s v="Bookshelf"/>
    <x v="3"/>
    <x v="2"/>
    <x v="1"/>
    <x v="1"/>
    <x v="1"/>
    <n v="9221"/>
    <n v="936.5"/>
    <n v="55.6"/>
    <n v="0"/>
    <n v="992.1"/>
    <n v="7"/>
    <m/>
  </r>
  <r>
    <n v="45720"/>
    <s v="Dining Room"/>
    <s v="Dining Table"/>
    <x v="10"/>
    <x v="2"/>
    <x v="1"/>
    <x v="0"/>
    <x v="5"/>
    <n v="3695"/>
    <n v="640.84"/>
    <n v="147.75"/>
    <n v="86.39"/>
    <n v="874.98"/>
    <n v="8"/>
    <n v="2.7"/>
  </r>
  <r>
    <n v="43681"/>
    <s v="Outdoor"/>
    <s v="Lounge Chair"/>
    <x v="8"/>
    <x v="3"/>
    <x v="0"/>
    <x v="0"/>
    <x v="3"/>
    <n v="8894"/>
    <n v="1352.2"/>
    <n v="133.55000000000001"/>
    <n v="60.39"/>
    <n v="1546.14"/>
    <n v="8"/>
    <n v="3.1"/>
  </r>
  <r>
    <n v="48684"/>
    <s v="Office"/>
    <s v="Office Chair"/>
    <x v="0"/>
    <x v="5"/>
    <x v="0"/>
    <x v="1"/>
    <x v="5"/>
    <n v="6549"/>
    <n v="89.4"/>
    <n v="72.91"/>
    <n v="0"/>
    <n v="162.31"/>
    <n v="7"/>
    <n v="2.8"/>
  </r>
  <r>
    <n v="25095"/>
    <s v="Bedroom"/>
    <s v="Nightstand"/>
    <x v="9"/>
    <x v="0"/>
    <x v="0"/>
    <x v="1"/>
    <x v="5"/>
    <n v="8673"/>
    <n v="974.97"/>
    <m/>
    <n v="0"/>
    <n v="1107.25"/>
    <n v="14"/>
    <n v="3"/>
  </r>
  <r>
    <n v="19869"/>
    <s v="Living Room"/>
    <s v="Sofa"/>
    <x v="3"/>
    <x v="5"/>
    <x v="0"/>
    <x v="1"/>
    <x v="1"/>
    <n v="3306"/>
    <n v="554.26"/>
    <n v="114.06"/>
    <n v="0"/>
    <n v="668.32"/>
    <n v="2"/>
    <n v="4.5999999999999996"/>
  </r>
  <r>
    <n v="39571"/>
    <s v="Outdoor"/>
    <s v="Garden Chair"/>
    <x v="10"/>
    <x v="4"/>
    <x v="0"/>
    <x v="1"/>
    <x v="1"/>
    <n v="7511"/>
    <n v="196.93"/>
    <n v="82.35"/>
    <n v="0"/>
    <n v="279.27999999999997"/>
    <n v="2"/>
    <n v="2.4"/>
  </r>
  <r>
    <n v="83048"/>
    <s v="Dining Room"/>
    <s v="Buffet"/>
    <x v="12"/>
    <x v="1"/>
    <x v="0"/>
    <x v="0"/>
    <x v="5"/>
    <n v="6992"/>
    <n v="1951.09"/>
    <n v="87.32"/>
    <n v="116.28"/>
    <n v="2154.69"/>
    <n v="1"/>
    <m/>
  </r>
  <r>
    <n v="21836"/>
    <s v="Dining Room"/>
    <s v="Dining Chair"/>
    <x v="2"/>
    <x v="4"/>
    <x v="0"/>
    <x v="1"/>
    <x v="5"/>
    <n v="7464"/>
    <n v="200.49"/>
    <n v="52.09"/>
    <n v="0"/>
    <n v="252.58"/>
    <n v="1"/>
    <n v="3.1"/>
  </r>
  <r>
    <n v="11824"/>
    <s v="Outdoor"/>
    <s v="Garden Chair"/>
    <x v="11"/>
    <x v="2"/>
    <x v="1"/>
    <x v="1"/>
    <x v="4"/>
    <n v="5332"/>
    <n v="1411.74"/>
    <n v="66.709999999999994"/>
    <n v="0"/>
    <n v="1478.45"/>
    <n v="14"/>
    <n v="4.4000000000000004"/>
  </r>
  <r>
    <n v="80329"/>
    <s v="Outdoor"/>
    <s v="Outdoor Table"/>
    <x v="8"/>
    <x v="5"/>
    <x v="0"/>
    <x v="0"/>
    <x v="0"/>
    <n v="3024"/>
    <n v="308.13"/>
    <n v="68.5"/>
    <n v="28.42"/>
    <n v="405.05"/>
    <n v="5"/>
    <n v="2.9"/>
  </r>
  <r>
    <n v="69609"/>
    <s v="Bedroom"/>
    <s v="Mattress"/>
    <x v="1"/>
    <x v="3"/>
    <x v="0"/>
    <x v="0"/>
    <x v="1"/>
    <n v="7038"/>
    <n v="1584.64"/>
    <n v="129.51"/>
    <n v="219.07"/>
    <n v="1933.22"/>
    <n v="2"/>
    <m/>
  </r>
  <r>
    <n v="98188"/>
    <s v="Dining Room"/>
    <s v="Bar Stool"/>
    <x v="1"/>
    <x v="1"/>
    <x v="0"/>
    <x v="1"/>
    <x v="6"/>
    <n v="5295"/>
    <n v="1413"/>
    <n v="0"/>
    <n v="0"/>
    <n v="1413"/>
    <n v="10"/>
    <n v="4.9000000000000004"/>
  </r>
  <r>
    <n v="86619"/>
    <s v="Living Room"/>
    <s v="Side Table"/>
    <x v="2"/>
    <x v="0"/>
    <x v="0"/>
    <x v="0"/>
    <x v="4"/>
    <n v="7242"/>
    <n v="2073.52"/>
    <n v="0"/>
    <n v="65.37"/>
    <n v="2138.89"/>
    <n v="4"/>
    <m/>
  </r>
  <r>
    <n v="93695"/>
    <s v="Living Room"/>
    <s v="Sofa"/>
    <x v="6"/>
    <x v="4"/>
    <x v="0"/>
    <x v="1"/>
    <x v="3"/>
    <n v="7086"/>
    <n v="243.25"/>
    <n v="61.32"/>
    <n v="0"/>
    <n v="304.57"/>
    <n v="1"/>
    <n v="1.1000000000000001"/>
  </r>
  <r>
    <n v="24201"/>
    <s v="Living Room"/>
    <s v="Armchair"/>
    <x v="2"/>
    <x v="4"/>
    <x v="0"/>
    <x v="0"/>
    <x v="5"/>
    <n v="4830"/>
    <n v="473.52"/>
    <n v="43.98"/>
    <n v="166.76"/>
    <n v="684.26"/>
    <n v="13"/>
    <m/>
  </r>
  <r>
    <n v="71797"/>
    <s v="Kitchen"/>
    <s v="Bar Cart"/>
    <x v="7"/>
    <x v="1"/>
    <x v="0"/>
    <x v="1"/>
    <x v="3"/>
    <n v="1410"/>
    <n v="706.52"/>
    <n v="59.08"/>
    <m/>
    <n v="765.6"/>
    <n v="10"/>
    <n v="1.6"/>
  </r>
  <r>
    <n v="91205"/>
    <s v="Bedroom"/>
    <s v="Wardrobe"/>
    <x v="5"/>
    <x v="1"/>
    <x v="0"/>
    <x v="0"/>
    <x v="0"/>
    <n v="6374"/>
    <n v="1775.17"/>
    <n v="0"/>
    <n v="85.79"/>
    <n v="1860.96"/>
    <n v="5"/>
    <n v="4"/>
  </r>
  <r>
    <n v="89964"/>
    <s v="Bedroom"/>
    <s v="Wardrobe"/>
    <x v="12"/>
    <x v="0"/>
    <x v="0"/>
    <x v="0"/>
    <x v="5"/>
    <n v="4626"/>
    <n v="2576.1999999999998"/>
    <n v="119.81"/>
    <n v="251.03"/>
    <n v="2947.04"/>
    <n v="2"/>
    <n v="2.4"/>
  </r>
  <r>
    <n v="94889"/>
    <s v="Kitchen"/>
    <s v="Bar Cart"/>
    <x v="8"/>
    <x v="1"/>
    <x v="0"/>
    <x v="1"/>
    <x v="6"/>
    <n v="2035"/>
    <n v="1196.67"/>
    <n v="81.430000000000007"/>
    <n v="0"/>
    <n v="1278.0999999999999"/>
    <n v="2"/>
    <n v="3"/>
  </r>
  <r>
    <n v="93283"/>
    <s v="Kitchen"/>
    <s v="Kitchen Island"/>
    <x v="6"/>
    <x v="0"/>
    <x v="0"/>
    <x v="1"/>
    <x v="5"/>
    <n v="8606"/>
    <n v="480.95"/>
    <n v="62.03"/>
    <n v="0"/>
    <n v="542.98"/>
    <n v="5"/>
    <n v="3.9"/>
  </r>
  <r>
    <n v="49608"/>
    <s v="Kitchen"/>
    <s v="Pantry Cabinet"/>
    <x v="10"/>
    <x v="1"/>
    <x v="0"/>
    <x v="0"/>
    <x v="0"/>
    <n v="7689"/>
    <n v="939.3"/>
    <n v="68.88"/>
    <n v="290.86"/>
    <n v="1299.04"/>
    <n v="6"/>
    <n v="5"/>
  </r>
  <r>
    <n v="25292"/>
    <s v="Office"/>
    <s v="Filing Cabinet"/>
    <x v="9"/>
    <x v="5"/>
    <x v="0"/>
    <x v="1"/>
    <x v="0"/>
    <n v="3290"/>
    <n v="822.18"/>
    <n v="61.92"/>
    <n v="0"/>
    <n v="884.1"/>
    <n v="7"/>
    <n v="4.9000000000000004"/>
  </r>
  <r>
    <n v="15943"/>
    <s v="Dining Room"/>
    <s v="Dining Chair"/>
    <x v="0"/>
    <x v="4"/>
    <x v="0"/>
    <x v="0"/>
    <x v="6"/>
    <n v="1609"/>
    <n v="743.4"/>
    <n v="149.07"/>
    <n v="91.91"/>
    <n v="984.38"/>
    <n v="12"/>
    <n v="4.0999999999999996"/>
  </r>
  <r>
    <n v="49893"/>
    <s v="Outdoor"/>
    <s v="Lounge Chair"/>
    <x v="2"/>
    <x v="3"/>
    <x v="0"/>
    <x v="1"/>
    <x v="6"/>
    <n v="9071"/>
    <n v="737.56"/>
    <n v="145.01"/>
    <n v="0"/>
    <n v="882.57"/>
    <n v="9"/>
    <n v="4.0999999999999996"/>
  </r>
  <r>
    <n v="25220"/>
    <s v="Office"/>
    <s v="Filing Cabinet"/>
    <x v="6"/>
    <x v="3"/>
    <x v="0"/>
    <x v="0"/>
    <x v="5"/>
    <n v="2592"/>
    <n v="407.77"/>
    <n v="95.68"/>
    <n v="43.44"/>
    <n v="546.89"/>
    <n v="14"/>
    <m/>
  </r>
  <r>
    <n v="40775"/>
    <s v="Office"/>
    <s v="Computer Table"/>
    <x v="4"/>
    <x v="2"/>
    <x v="1"/>
    <x v="0"/>
    <x v="4"/>
    <n v="9807"/>
    <n v="1044.47"/>
    <n v="0"/>
    <n v="41.53"/>
    <n v="1086"/>
    <n v="9"/>
    <n v="4.2"/>
  </r>
  <r>
    <n v="27781"/>
    <s v="Office"/>
    <s v="Filing Cabinet"/>
    <x v="3"/>
    <x v="0"/>
    <x v="0"/>
    <x v="0"/>
    <x v="1"/>
    <n v="7367"/>
    <n v="796.81"/>
    <n v="130.94999999999999"/>
    <n v="49.77"/>
    <n v="977.53"/>
    <n v="2"/>
    <n v="2.2999999999999998"/>
  </r>
  <r>
    <n v="69459"/>
    <s v="Living Room"/>
    <s v="Sofa"/>
    <x v="2"/>
    <x v="4"/>
    <x v="0"/>
    <x v="0"/>
    <x v="4"/>
    <n v="7078"/>
    <n v="606.79999999999995"/>
    <n v="127.94"/>
    <n v="214.6"/>
    <n v="949.34"/>
    <n v="5"/>
    <n v="2.9"/>
  </r>
  <r>
    <n v="97881"/>
    <s v="Office"/>
    <s v="Computer Table"/>
    <x v="6"/>
    <x v="2"/>
    <x v="1"/>
    <x v="0"/>
    <x v="2"/>
    <n v="9850"/>
    <n v="1053.23"/>
    <n v="97.59"/>
    <n v="34.78"/>
    <n v="1185.5999999999999"/>
    <n v="8"/>
    <n v="2.5"/>
  </r>
  <r>
    <n v="64935"/>
    <s v="Dining Room"/>
    <s v="Bar Stool"/>
    <x v="6"/>
    <x v="2"/>
    <x v="1"/>
    <x v="0"/>
    <x v="1"/>
    <n v="3531"/>
    <n v="216.71"/>
    <m/>
    <n v="134.88999999999999"/>
    <n v="420.88"/>
    <n v="12"/>
    <n v="4.0999999999999996"/>
  </r>
  <r>
    <n v="64379"/>
    <s v="Living Room"/>
    <s v="Armchair"/>
    <x v="2"/>
    <x v="2"/>
    <x v="1"/>
    <x v="0"/>
    <x v="0"/>
    <n v="2622"/>
    <n v="993.83"/>
    <n v="85.13"/>
    <n v="61.73"/>
    <n v="1140.69"/>
    <n v="5"/>
    <n v="4.5999999999999996"/>
  </r>
  <r>
    <n v="74139"/>
    <s v="Dining Room"/>
    <s v="Dining Chair"/>
    <x v="3"/>
    <x v="2"/>
    <x v="1"/>
    <x v="1"/>
    <x v="0"/>
    <n v="7686"/>
    <n v="137.44999999999999"/>
    <n v="49.46"/>
    <n v="0"/>
    <n v="186.91"/>
    <n v="11"/>
    <n v="3.3"/>
  </r>
  <r>
    <n v="46666"/>
    <s v="Outdoor"/>
    <s v="Lounge Chair"/>
    <x v="2"/>
    <x v="1"/>
    <x v="0"/>
    <x v="1"/>
    <x v="4"/>
    <n v="1536"/>
    <n v="1120.18"/>
    <n v="87.77"/>
    <n v="0"/>
    <n v="1207.95"/>
    <n v="6"/>
    <n v="4.2"/>
  </r>
  <r>
    <n v="58566"/>
    <s v="Bedroom"/>
    <s v="Dresser"/>
    <x v="2"/>
    <x v="4"/>
    <x v="0"/>
    <x v="0"/>
    <x v="5"/>
    <n v="4559"/>
    <n v="1565.68"/>
    <n v="116.74"/>
    <n v="136.33000000000001"/>
    <n v="1818.75"/>
    <n v="7"/>
    <n v="3.5"/>
  </r>
  <r>
    <n v="68115"/>
    <s v="Dining Room"/>
    <s v="Bar Stool"/>
    <x v="2"/>
    <x v="1"/>
    <x v="0"/>
    <x v="1"/>
    <x v="2"/>
    <n v="8285"/>
    <n v="190.31"/>
    <n v="99.72"/>
    <n v="0"/>
    <n v="290.02999999999997"/>
    <n v="13"/>
    <n v="4"/>
  </r>
  <r>
    <n v="40947"/>
    <s v="Kitchen"/>
    <s v="Kitchen Island"/>
    <x v="6"/>
    <x v="2"/>
    <x v="1"/>
    <x v="1"/>
    <x v="3"/>
    <n v="6942"/>
    <n v="1602.1"/>
    <n v="0"/>
    <n v="0"/>
    <n v="1602.1"/>
    <n v="7"/>
    <n v="4.2"/>
  </r>
  <r>
    <n v="23022"/>
    <s v="Dining Room"/>
    <s v="Buffet"/>
    <x v="7"/>
    <x v="5"/>
    <x v="0"/>
    <x v="1"/>
    <x v="0"/>
    <n v="7018"/>
    <n v="1360.57"/>
    <n v="91.43"/>
    <n v="0"/>
    <n v="1452"/>
    <n v="10"/>
    <n v="3.7"/>
  </r>
  <r>
    <n v="81364"/>
    <s v="Outdoor"/>
    <s v="Umbrella"/>
    <x v="0"/>
    <x v="0"/>
    <x v="0"/>
    <x v="1"/>
    <x v="3"/>
    <n v="6876"/>
    <n v="1573.47"/>
    <n v="71.3"/>
    <n v="0"/>
    <n v="1644.77"/>
    <n v="5"/>
    <n v="3.1"/>
  </r>
  <r>
    <n v="17936"/>
    <s v="Outdoor"/>
    <s v="Patio Set"/>
    <x v="12"/>
    <x v="1"/>
    <x v="0"/>
    <x v="0"/>
    <x v="5"/>
    <n v="7523"/>
    <n v="1011.74"/>
    <n v="64.77"/>
    <n v="184.41"/>
    <n v="1260.92"/>
    <n v="7"/>
    <n v="4.3"/>
  </r>
  <r>
    <n v="46160"/>
    <s v="Office"/>
    <s v="Bookshelf"/>
    <x v="11"/>
    <x v="0"/>
    <x v="0"/>
    <x v="0"/>
    <x v="1"/>
    <n v="4109"/>
    <n v="1249.67"/>
    <n v="75.64"/>
    <n v="185.77"/>
    <n v="1511.08"/>
    <n v="3"/>
    <n v="2"/>
  </r>
  <r>
    <n v="26011"/>
    <s v="Kitchen"/>
    <s v="Pantry Cabinet"/>
    <x v="11"/>
    <x v="1"/>
    <x v="0"/>
    <x v="1"/>
    <x v="3"/>
    <n v="8450"/>
    <n v="1228.44"/>
    <n v="70.2"/>
    <n v="0"/>
    <n v="1298.6400000000001"/>
    <n v="3"/>
    <m/>
  </r>
  <r>
    <n v="22015"/>
    <s v="Bedroom"/>
    <s v="Chest of Drawers"/>
    <x v="2"/>
    <x v="0"/>
    <x v="0"/>
    <x v="0"/>
    <x v="6"/>
    <n v="4475"/>
    <n v="2579.6799999999998"/>
    <n v="98.58"/>
    <n v="46.49"/>
    <n v="2724.75"/>
    <n v="2"/>
    <n v="2.2000000000000002"/>
  </r>
  <r>
    <n v="94109"/>
    <s v="Outdoor"/>
    <s v="Patio Set"/>
    <x v="12"/>
    <x v="4"/>
    <x v="0"/>
    <x v="0"/>
    <x v="6"/>
    <n v="1349"/>
    <n v="804.88"/>
    <n v="134.28"/>
    <n v="39.270000000000003"/>
    <n v="978.43"/>
    <n v="9"/>
    <n v="3.1"/>
  </r>
  <r>
    <n v="16629"/>
    <s v="Office"/>
    <s v="Office Chair"/>
    <x v="9"/>
    <x v="1"/>
    <x v="0"/>
    <x v="1"/>
    <x v="5"/>
    <n v="6464"/>
    <n v="418.07"/>
    <n v="34.17"/>
    <n v="0"/>
    <n v="452.24"/>
    <n v="6"/>
    <n v="3.9"/>
  </r>
  <r>
    <n v="41925"/>
    <s v="Office"/>
    <s v="Desk"/>
    <x v="12"/>
    <x v="0"/>
    <x v="0"/>
    <x v="1"/>
    <x v="3"/>
    <n v="3063"/>
    <n v="284.87"/>
    <n v="38.14"/>
    <n v="0"/>
    <n v="323.01"/>
    <n v="8"/>
    <n v="4.5"/>
  </r>
  <r>
    <n v="84000"/>
    <s v="Dining Room"/>
    <s v="Dining Table"/>
    <x v="9"/>
    <x v="2"/>
    <x v="1"/>
    <x v="1"/>
    <x v="2"/>
    <n v="4362"/>
    <n v="701.33"/>
    <n v="118.27"/>
    <n v="0"/>
    <n v="819.6"/>
    <n v="13"/>
    <n v="2.5"/>
  </r>
  <r>
    <n v="18992"/>
    <s v="Dining Room"/>
    <s v="Dining Table"/>
    <x v="8"/>
    <x v="1"/>
    <x v="0"/>
    <x v="0"/>
    <x v="0"/>
    <n v="4394"/>
    <n v="1326.26"/>
    <n v="53.48"/>
    <n v="62.65"/>
    <n v="1442.39"/>
    <n v="7"/>
    <n v="4.8"/>
  </r>
  <r>
    <n v="86858"/>
    <s v="Kitchen"/>
    <s v="Bar Cart"/>
    <x v="4"/>
    <x v="2"/>
    <x v="1"/>
    <x v="1"/>
    <x v="5"/>
    <n v="4538"/>
    <n v="2186.8200000000002"/>
    <n v="140.97999999999999"/>
    <n v="0"/>
    <n v="2327.8000000000002"/>
    <n v="5"/>
    <n v="4.7"/>
  </r>
  <r>
    <n v="40539"/>
    <s v="Bedroom"/>
    <s v="Nightstand"/>
    <x v="2"/>
    <x v="0"/>
    <x v="0"/>
    <x v="1"/>
    <x v="1"/>
    <n v="6383"/>
    <n v="1949.36"/>
    <n v="126.67"/>
    <n v="0"/>
    <n v="2076.0300000000002"/>
    <n v="13"/>
    <m/>
  </r>
  <r>
    <n v="29340"/>
    <s v="Outdoor"/>
    <s v="Lounge Chair"/>
    <x v="3"/>
    <x v="4"/>
    <x v="0"/>
    <x v="0"/>
    <x v="4"/>
    <n v="1046"/>
    <n v="1678.72"/>
    <n v="92.24"/>
    <n v="84.92"/>
    <n v="1855.88"/>
    <n v="9"/>
    <m/>
  </r>
  <r>
    <n v="46342"/>
    <s v="Kitchen"/>
    <s v="Kitchen Cabinet"/>
    <x v="4"/>
    <x v="1"/>
    <x v="0"/>
    <x v="0"/>
    <x v="6"/>
    <n v="3370"/>
    <n v="1297.18"/>
    <n v="0"/>
    <n v="81.510000000000005"/>
    <n v="1378.69"/>
    <n v="13"/>
    <n v="1"/>
  </r>
  <r>
    <n v="27038"/>
    <s v="Dining Room"/>
    <s v="China Cabinet"/>
    <x v="1"/>
    <x v="2"/>
    <x v="1"/>
    <x v="0"/>
    <x v="5"/>
    <n v="9850"/>
    <n v="256.24"/>
    <n v="36.840000000000003"/>
    <n v="268.89999999999998"/>
    <n v="561.98"/>
    <n v="6"/>
    <n v="4.5"/>
  </r>
  <r>
    <n v="42853"/>
    <s v="Outdoor"/>
    <s v="Umbrella"/>
    <x v="0"/>
    <x v="5"/>
    <x v="0"/>
    <x v="1"/>
    <x v="0"/>
    <n v="3858"/>
    <n v="1514.17"/>
    <n v="69.87"/>
    <n v="0"/>
    <n v="1584.04"/>
    <n v="6"/>
    <n v="4.5"/>
  </r>
  <r>
    <n v="24408"/>
    <s v="Living Room"/>
    <s v="Ottoman"/>
    <x v="5"/>
    <x v="0"/>
    <x v="0"/>
    <x v="1"/>
    <x v="3"/>
    <n v="1422"/>
    <n v="1688.35"/>
    <n v="140.68"/>
    <n v="0"/>
    <n v="1829.03"/>
    <n v="4"/>
    <n v="4.4000000000000004"/>
  </r>
  <r>
    <n v="27275"/>
    <s v="Office"/>
    <s v="Computer Table"/>
    <x v="9"/>
    <x v="4"/>
    <x v="0"/>
    <x v="1"/>
    <x v="1"/>
    <n v="1243"/>
    <n v="449.42"/>
    <n v="31.68"/>
    <n v="0"/>
    <n v="481.1"/>
    <n v="3"/>
    <n v="1.5"/>
  </r>
  <r>
    <n v="56955"/>
    <s v="Office"/>
    <s v="Filing Cabinet"/>
    <x v="4"/>
    <x v="4"/>
    <x v="0"/>
    <x v="0"/>
    <x v="5"/>
    <n v="4898"/>
    <n v="248.29"/>
    <n v="78.52"/>
    <n v="128.80000000000001"/>
    <n v="455.61"/>
    <n v="8"/>
    <n v="2.7"/>
  </r>
  <r>
    <n v="87182"/>
    <s v="Dining Room"/>
    <s v="Dining Chair"/>
    <x v="4"/>
    <x v="2"/>
    <x v="1"/>
    <x v="1"/>
    <x v="3"/>
    <n v="6304"/>
    <n v="894.83"/>
    <n v="64.59"/>
    <m/>
    <n v="959.42"/>
    <n v="5"/>
    <n v="2.8"/>
  </r>
  <r>
    <n v="12068"/>
    <s v="Outdoor"/>
    <s v="Lounge Chair"/>
    <x v="3"/>
    <x v="1"/>
    <x v="0"/>
    <x v="1"/>
    <x v="1"/>
    <n v="3854"/>
    <n v="291.47000000000003"/>
    <n v="60.17"/>
    <n v="0"/>
    <n v="351.64"/>
    <n v="12"/>
    <n v="1.8"/>
  </r>
  <r>
    <n v="44782"/>
    <s v="Outdoor"/>
    <s v="Umbrella"/>
    <x v="0"/>
    <x v="1"/>
    <x v="0"/>
    <x v="0"/>
    <x v="2"/>
    <n v="1858"/>
    <n v="572.77"/>
    <n v="0"/>
    <n v="33.32"/>
    <n v="606.09"/>
    <n v="4"/>
    <n v="2.4"/>
  </r>
  <r>
    <n v="26614"/>
    <s v="Kitchen"/>
    <s v="Kitchen Island"/>
    <x v="1"/>
    <x v="4"/>
    <x v="0"/>
    <x v="1"/>
    <x v="0"/>
    <n v="7897"/>
    <n v="311.79000000000002"/>
    <n v="62.84"/>
    <n v="0"/>
    <n v="374.63"/>
    <n v="5"/>
    <n v="3.7"/>
  </r>
  <r>
    <n v="78955"/>
    <s v="Kitchen"/>
    <s v="Bar Cart"/>
    <x v="9"/>
    <x v="4"/>
    <x v="0"/>
    <x v="1"/>
    <x v="1"/>
    <n v="2862"/>
    <n v="872.64"/>
    <n v="143.03"/>
    <n v="0"/>
    <n v="1015.67"/>
    <n v="3"/>
    <m/>
  </r>
  <r>
    <n v="18330"/>
    <s v="Bedroom"/>
    <s v="Dresser"/>
    <x v="3"/>
    <x v="2"/>
    <x v="1"/>
    <x v="0"/>
    <x v="6"/>
    <n v="8802"/>
    <n v="483"/>
    <n v="28.31"/>
    <n v="280.75"/>
    <n v="792.06"/>
    <n v="14"/>
    <n v="2.4"/>
  </r>
  <r>
    <n v="68756"/>
    <s v="Kitchen"/>
    <s v="Kitchen Cabinet"/>
    <x v="6"/>
    <x v="1"/>
    <x v="0"/>
    <x v="1"/>
    <x v="2"/>
    <n v="6931"/>
    <n v="1437.34"/>
    <n v="66.5"/>
    <n v="0"/>
    <n v="1503.84"/>
    <n v="13"/>
    <n v="3.2"/>
  </r>
  <r>
    <n v="77271"/>
    <s v="Office"/>
    <s v="Office Chair"/>
    <x v="10"/>
    <x v="3"/>
    <x v="0"/>
    <x v="0"/>
    <x v="1"/>
    <n v="2786"/>
    <n v="348.27"/>
    <n v="29.09"/>
    <n v="36.76"/>
    <n v="414.12"/>
    <n v="3"/>
    <n v="2.7"/>
  </r>
  <r>
    <n v="69245"/>
    <s v="Dining Room"/>
    <s v="China Cabinet"/>
    <x v="1"/>
    <x v="1"/>
    <x v="0"/>
    <x v="0"/>
    <x v="3"/>
    <n v="9254"/>
    <n v="1021.88"/>
    <n v="134.58000000000001"/>
    <n v="33.74"/>
    <n v="1190.2"/>
    <n v="4"/>
    <n v="1.7"/>
  </r>
  <r>
    <n v="39038"/>
    <s v="Dining Room"/>
    <s v="China Cabinet"/>
    <x v="2"/>
    <x v="2"/>
    <x v="1"/>
    <x v="0"/>
    <x v="0"/>
    <n v="1710"/>
    <n v="1792.7"/>
    <n v="108.35"/>
    <n v="70.819999999999993"/>
    <n v="1971.87"/>
    <n v="2"/>
    <n v="3"/>
  </r>
  <r>
    <n v="96363"/>
    <s v="Dining Room"/>
    <s v="Dining Table"/>
    <x v="10"/>
    <x v="1"/>
    <x v="0"/>
    <x v="1"/>
    <x v="4"/>
    <n v="9543"/>
    <n v="848.92"/>
    <n v="145.12"/>
    <n v="0"/>
    <n v="994.04"/>
    <n v="3"/>
    <m/>
  </r>
  <r>
    <n v="49535"/>
    <s v="Office"/>
    <s v="Filing Cabinet"/>
    <x v="9"/>
    <x v="1"/>
    <x v="0"/>
    <x v="0"/>
    <x v="2"/>
    <n v="8504"/>
    <n v="972.27"/>
    <n v="0"/>
    <n v="196.98"/>
    <n v="1169.25"/>
    <n v="11"/>
    <n v="2.8"/>
  </r>
  <r>
    <n v="94323"/>
    <s v="Kitchen"/>
    <s v="Bar Cart"/>
    <x v="7"/>
    <x v="4"/>
    <x v="0"/>
    <x v="1"/>
    <x v="1"/>
    <n v="1510"/>
    <n v="765.01"/>
    <n v="0"/>
    <n v="0"/>
    <n v="765.01"/>
    <n v="6"/>
    <n v="4"/>
  </r>
  <r>
    <n v="17972"/>
    <s v="Living Room"/>
    <s v="Armchair"/>
    <x v="4"/>
    <x v="5"/>
    <x v="0"/>
    <x v="1"/>
    <x v="1"/>
    <n v="8847"/>
    <n v="786.88"/>
    <n v="0"/>
    <n v="0"/>
    <n v="786.88"/>
    <n v="2"/>
    <m/>
  </r>
  <r>
    <n v="62640"/>
    <s v="Office"/>
    <s v="Bookshelf"/>
    <x v="11"/>
    <x v="1"/>
    <x v="0"/>
    <x v="1"/>
    <x v="3"/>
    <n v="7984"/>
    <n v="998.98"/>
    <n v="65.41"/>
    <n v="0"/>
    <n v="1064.3900000000001"/>
    <n v="8"/>
    <n v="3.9"/>
  </r>
  <r>
    <n v="99928"/>
    <s v="Bedroom"/>
    <s v="Dresser"/>
    <x v="0"/>
    <x v="4"/>
    <x v="0"/>
    <x v="1"/>
    <x v="1"/>
    <n v="2768"/>
    <n v="2046.73"/>
    <n v="101.27"/>
    <n v="0"/>
    <n v="2148"/>
    <n v="8"/>
    <n v="2.9"/>
  </r>
  <r>
    <n v="74260"/>
    <s v="Living Room"/>
    <s v="Armchair"/>
    <x v="8"/>
    <x v="0"/>
    <x v="0"/>
    <x v="1"/>
    <x v="4"/>
    <n v="8267"/>
    <n v="2065.29"/>
    <n v="93.41"/>
    <n v="0"/>
    <n v="2158.6999999999998"/>
    <n v="2"/>
    <m/>
  </r>
  <r>
    <n v="19632"/>
    <s v="Bedroom"/>
    <s v="Chest of Drawers"/>
    <x v="11"/>
    <x v="0"/>
    <x v="0"/>
    <x v="1"/>
    <x v="1"/>
    <n v="2323"/>
    <n v="2105.77"/>
    <n v="0"/>
    <n v="0"/>
    <n v="2105.77"/>
    <n v="9"/>
    <n v="3.1"/>
  </r>
  <r>
    <n v="52219"/>
    <s v="Living Room"/>
    <s v="Armchair"/>
    <x v="0"/>
    <x v="3"/>
    <x v="0"/>
    <x v="1"/>
    <x v="3"/>
    <n v="3430"/>
    <n v="890.9"/>
    <n v="118.43"/>
    <n v="0"/>
    <n v="1009.33"/>
    <n v="14"/>
    <n v="2.7"/>
  </r>
  <r>
    <n v="18609"/>
    <s v="Living Room"/>
    <s v="Sofa"/>
    <x v="8"/>
    <x v="2"/>
    <x v="1"/>
    <x v="1"/>
    <x v="3"/>
    <n v="3067"/>
    <n v="1380.85"/>
    <n v="91.3"/>
    <n v="0"/>
    <n v="1472.15"/>
    <n v="11"/>
    <n v="4.3"/>
  </r>
  <r>
    <n v="46046"/>
    <s v="Living Room"/>
    <s v="Ottoman"/>
    <x v="5"/>
    <x v="3"/>
    <x v="0"/>
    <x v="1"/>
    <x v="1"/>
    <n v="9984"/>
    <n v="237.42"/>
    <n v="80.540000000000006"/>
    <n v="0"/>
    <n v="317.95999999999998"/>
    <n v="3"/>
    <n v="4.4000000000000004"/>
  </r>
  <r>
    <n v="52622"/>
    <s v="Outdoor"/>
    <s v="Outdoor Table"/>
    <x v="1"/>
    <x v="5"/>
    <x v="0"/>
    <x v="1"/>
    <x v="5"/>
    <n v="7240"/>
    <n v="668.01"/>
    <n v="125.74"/>
    <n v="0"/>
    <n v="793.75"/>
    <n v="10"/>
    <n v="2.4"/>
  </r>
  <r>
    <n v="88301"/>
    <s v="Living Room"/>
    <s v="Side Table"/>
    <x v="6"/>
    <x v="0"/>
    <x v="0"/>
    <x v="0"/>
    <x v="1"/>
    <n v="9692"/>
    <n v="2459.0300000000002"/>
    <n v="0"/>
    <n v="230.16"/>
    <n v="2689.19"/>
    <n v="1"/>
    <n v="1.1000000000000001"/>
  </r>
  <r>
    <n v="48652"/>
    <s v="Outdoor"/>
    <s v="Lounge Chair"/>
    <x v="8"/>
    <x v="1"/>
    <x v="0"/>
    <x v="1"/>
    <x v="4"/>
    <n v="8433"/>
    <n v="1583.49"/>
    <n v="110.19"/>
    <n v="0"/>
    <n v="1693.68"/>
    <n v="5"/>
    <n v="4.9000000000000004"/>
  </r>
  <r>
    <n v="76263"/>
    <s v="Outdoor"/>
    <s v="Lounge Chair"/>
    <x v="4"/>
    <x v="3"/>
    <x v="0"/>
    <x v="0"/>
    <x v="5"/>
    <n v="8048"/>
    <n v="1477.66"/>
    <n v="0"/>
    <n v="29.77"/>
    <n v="1507.43"/>
    <n v="14"/>
    <m/>
  </r>
  <r>
    <n v="22999"/>
    <s v="Office"/>
    <s v="Desk"/>
    <x v="3"/>
    <x v="3"/>
    <x v="0"/>
    <x v="0"/>
    <x v="0"/>
    <n v="2874"/>
    <n v="1002.63"/>
    <n v="112.61"/>
    <n v="32.520000000000003"/>
    <n v="1147.76"/>
    <n v="8"/>
    <m/>
  </r>
  <r>
    <n v="95814"/>
    <s v="Bedroom"/>
    <s v="Mattress"/>
    <x v="3"/>
    <x v="3"/>
    <x v="0"/>
    <x v="0"/>
    <x v="6"/>
    <n v="4522"/>
    <n v="2255.5300000000002"/>
    <n v="98.5"/>
    <n v="237.78"/>
    <n v="2591.81"/>
    <n v="4"/>
    <n v="4.3"/>
  </r>
  <r>
    <n v="66370"/>
    <s v="Living Room"/>
    <s v="Sofa"/>
    <x v="11"/>
    <x v="3"/>
    <x v="0"/>
    <x v="1"/>
    <x v="1"/>
    <n v="8398"/>
    <n v="1649.94"/>
    <n v="147.94999999999999"/>
    <n v="0"/>
    <n v="1797.89"/>
    <n v="12"/>
    <n v="3.9"/>
  </r>
  <r>
    <n v="39949"/>
    <s v="Office"/>
    <s v="Filing Cabinet"/>
    <x v="3"/>
    <x v="4"/>
    <x v="0"/>
    <x v="1"/>
    <x v="6"/>
    <n v="7779"/>
    <n v="808.97"/>
    <n v="143.53"/>
    <n v="0"/>
    <n v="952.5"/>
    <n v="4"/>
    <n v="3.1"/>
  </r>
  <r>
    <n v="54424"/>
    <s v="Kitchen"/>
    <s v="Kitchen Island"/>
    <x v="5"/>
    <x v="5"/>
    <x v="0"/>
    <x v="0"/>
    <x v="6"/>
    <n v="8430"/>
    <n v="889.27"/>
    <n v="138.91"/>
    <n v="243.4"/>
    <n v="1271.58"/>
    <n v="11"/>
    <n v="3.8"/>
  </r>
  <r>
    <n v="62262"/>
    <s v="Outdoor"/>
    <s v="Garden Chair"/>
    <x v="10"/>
    <x v="5"/>
    <x v="0"/>
    <x v="1"/>
    <x v="6"/>
    <n v="7815"/>
    <n v="924.25"/>
    <n v="100.76"/>
    <n v="0"/>
    <n v="1025.01"/>
    <n v="10"/>
    <n v="3.9"/>
  </r>
  <r>
    <n v="22463"/>
    <s v="Outdoor"/>
    <s v="Lounge Chair"/>
    <x v="1"/>
    <x v="4"/>
    <x v="0"/>
    <x v="1"/>
    <x v="5"/>
    <n v="6120"/>
    <n v="1733.68"/>
    <n v="117.31"/>
    <n v="0"/>
    <n v="1850.99"/>
    <n v="13"/>
    <n v="4.9000000000000004"/>
  </r>
  <r>
    <n v="65936"/>
    <s v="Dining Room"/>
    <s v="Dining Table"/>
    <x v="10"/>
    <x v="2"/>
    <x v="1"/>
    <x v="0"/>
    <x v="5"/>
    <n v="6120"/>
    <n v="1367.41"/>
    <n v="0"/>
    <n v="80.290000000000006"/>
    <n v="1447.7"/>
    <n v="2"/>
    <n v="4.8"/>
  </r>
  <r>
    <n v="97177"/>
    <s v="Bedroom"/>
    <s v="Wardrobe"/>
    <x v="7"/>
    <x v="3"/>
    <x v="0"/>
    <x v="1"/>
    <x v="2"/>
    <n v="5176"/>
    <n v="284.08999999999997"/>
    <n v="26.36"/>
    <n v="0"/>
    <n v="310.45"/>
    <n v="6"/>
    <n v="1.7"/>
  </r>
  <r>
    <n v="59060"/>
    <s v="Living Room"/>
    <s v="TV Stand"/>
    <x v="7"/>
    <x v="2"/>
    <x v="1"/>
    <x v="0"/>
    <x v="5"/>
    <n v="3500"/>
    <n v="1190.43"/>
    <n v="62.07"/>
    <n v="188.67"/>
    <n v="1441.17"/>
    <n v="6"/>
    <n v="4.0999999999999996"/>
  </r>
  <r>
    <n v="72163"/>
    <s v="Outdoor"/>
    <s v="Umbrella"/>
    <x v="0"/>
    <x v="4"/>
    <x v="0"/>
    <x v="0"/>
    <x v="2"/>
    <n v="2099"/>
    <n v="1147.08"/>
    <m/>
    <n v="269.85000000000002"/>
    <n v="1416.93"/>
    <n v="14"/>
    <n v="4.9000000000000004"/>
  </r>
  <r>
    <n v="21957"/>
    <s v="Living Room"/>
    <s v="Ottoman"/>
    <x v="7"/>
    <x v="0"/>
    <x v="0"/>
    <x v="0"/>
    <x v="4"/>
    <n v="2398"/>
    <n v="296.52999999999997"/>
    <n v="32.909999999999997"/>
    <n v="95.55"/>
    <n v="424.99"/>
    <n v="3"/>
    <n v="3.8"/>
  </r>
  <r>
    <n v="22219"/>
    <s v="Living Room"/>
    <s v="Coffee Table"/>
    <x v="10"/>
    <x v="2"/>
    <x v="1"/>
    <x v="0"/>
    <x v="6"/>
    <n v="8075"/>
    <n v="1688.31"/>
    <n v="63.78"/>
    <n v="295.45"/>
    <n v="2047.54"/>
    <n v="13"/>
    <n v="2"/>
  </r>
  <r>
    <n v="22656"/>
    <s v="Kitchen"/>
    <s v="Bar Cart"/>
    <x v="12"/>
    <x v="0"/>
    <x v="0"/>
    <x v="1"/>
    <x v="2"/>
    <n v="7105"/>
    <n v="487.51"/>
    <n v="52.93"/>
    <n v="0"/>
    <n v="540.44000000000005"/>
    <n v="6"/>
    <n v="2"/>
  </r>
  <r>
    <n v="27054"/>
    <s v="Bedroom"/>
    <s v="Mattress"/>
    <x v="5"/>
    <x v="0"/>
    <x v="0"/>
    <x v="1"/>
    <x v="5"/>
    <n v="1982"/>
    <n v="2435.04"/>
    <n v="90.93"/>
    <n v="0"/>
    <n v="2525.9699999999998"/>
    <n v="14"/>
    <n v="3.7"/>
  </r>
  <r>
    <n v="86869"/>
    <s v="Living Room"/>
    <s v="Side Table"/>
    <x v="5"/>
    <x v="0"/>
    <x v="0"/>
    <x v="1"/>
    <x v="2"/>
    <n v="6400"/>
    <n v="2054.37"/>
    <n v="58.48"/>
    <n v="0"/>
    <n v="2112.85"/>
    <n v="7"/>
    <n v="1.7"/>
  </r>
  <r>
    <n v="97819"/>
    <s v="Living Room"/>
    <s v="Side Table"/>
    <x v="9"/>
    <x v="1"/>
    <x v="0"/>
    <x v="0"/>
    <x v="6"/>
    <n v="3002"/>
    <n v="2321.79"/>
    <n v="0"/>
    <n v="141.93"/>
    <n v="2463.7199999999998"/>
    <n v="11"/>
    <n v="4.5"/>
  </r>
  <r>
    <n v="63845"/>
    <s v="Dining Room"/>
    <s v="Dining Table"/>
    <x v="12"/>
    <x v="1"/>
    <x v="0"/>
    <x v="0"/>
    <x v="1"/>
    <n v="6793"/>
    <n v="1671.31"/>
    <n v="111.04"/>
    <n v="216.93"/>
    <n v="1999.28"/>
    <n v="4"/>
    <n v="3.5"/>
  </r>
  <r>
    <n v="97207"/>
    <s v="Outdoor"/>
    <s v="Outdoor Table"/>
    <x v="9"/>
    <x v="5"/>
    <x v="0"/>
    <x v="0"/>
    <x v="3"/>
    <n v="7929"/>
    <n v="1614.66"/>
    <n v="90.45"/>
    <n v="108.43"/>
    <n v="1813.54"/>
    <n v="9"/>
    <n v="3.9"/>
  </r>
  <r>
    <n v="16743"/>
    <s v="Kitchen"/>
    <s v="Kitchen Cabinet"/>
    <x v="7"/>
    <x v="4"/>
    <x v="0"/>
    <x v="1"/>
    <x v="6"/>
    <n v="5712"/>
    <n v="770.22"/>
    <n v="81.23"/>
    <n v="0"/>
    <n v="851.45"/>
    <n v="13"/>
    <n v="1.1000000000000001"/>
  </r>
  <r>
    <n v="88696"/>
    <s v="Bedroom"/>
    <s v="Dresser"/>
    <x v="6"/>
    <x v="3"/>
    <x v="0"/>
    <x v="0"/>
    <x v="1"/>
    <n v="6119"/>
    <n v="2220.5500000000002"/>
    <n v="61.04"/>
    <n v="125.98"/>
    <n v="2407.5700000000002"/>
    <n v="9"/>
    <n v="1.2"/>
  </r>
  <r>
    <n v="56090"/>
    <s v="Dining Room"/>
    <s v="China Cabinet"/>
    <x v="6"/>
    <x v="5"/>
    <x v="0"/>
    <x v="0"/>
    <x v="4"/>
    <n v="2697"/>
    <n v="1500.03"/>
    <n v="148.30000000000001"/>
    <n v="129.91999999999999"/>
    <n v="1778.25"/>
    <n v="11"/>
    <n v="3.9"/>
  </r>
  <r>
    <n v="85748"/>
    <s v="Office"/>
    <s v="Computer Table"/>
    <x v="2"/>
    <x v="3"/>
    <x v="0"/>
    <x v="0"/>
    <x v="0"/>
    <n v="9313"/>
    <n v="1127.27"/>
    <n v="0"/>
    <n v="145.43"/>
    <n v="1272.7"/>
    <n v="3"/>
    <n v="4.3"/>
  </r>
  <r>
    <n v="37884"/>
    <s v="Office"/>
    <s v="Desk"/>
    <x v="11"/>
    <x v="4"/>
    <x v="0"/>
    <x v="1"/>
    <x v="1"/>
    <n v="3535"/>
    <n v="756.28"/>
    <n v="86.93"/>
    <n v="0"/>
    <n v="843.21"/>
    <n v="10"/>
    <n v="4.0999999999999996"/>
  </r>
  <r>
    <n v="96079"/>
    <s v="Outdoor"/>
    <s v="Lounge Chair"/>
    <x v="10"/>
    <x v="1"/>
    <x v="0"/>
    <x v="1"/>
    <x v="1"/>
    <n v="8900"/>
    <n v="1794.24"/>
    <n v="144.78"/>
    <n v="0"/>
    <n v="1939.02"/>
    <n v="14"/>
    <n v="3"/>
  </r>
  <r>
    <n v="39392"/>
    <s v="Bedroom"/>
    <s v="Chest of Drawers"/>
    <x v="1"/>
    <x v="4"/>
    <x v="0"/>
    <x v="1"/>
    <x v="6"/>
    <n v="2773"/>
    <n v="1612.58"/>
    <n v="119.45"/>
    <n v="0"/>
    <n v="1732.03"/>
    <n v="8"/>
    <m/>
  </r>
  <r>
    <n v="55890"/>
    <s v="Living Room"/>
    <s v="Ottoman"/>
    <x v="2"/>
    <x v="2"/>
    <x v="1"/>
    <x v="1"/>
    <x v="6"/>
    <n v="7022"/>
    <n v="2160.33"/>
    <n v="0"/>
    <n v="0"/>
    <n v="2160.33"/>
    <n v="10"/>
    <n v="3.1"/>
  </r>
  <r>
    <n v="25058"/>
    <s v="Dining Room"/>
    <s v="Bar Stool"/>
    <x v="11"/>
    <x v="2"/>
    <x v="1"/>
    <x v="0"/>
    <x v="5"/>
    <n v="5564"/>
    <n v="658.56"/>
    <n v="0"/>
    <n v="89.19"/>
    <n v="747.75"/>
    <n v="7"/>
    <m/>
  </r>
  <r>
    <n v="85248"/>
    <s v="Bedroom"/>
    <s v="Chest of Drawers"/>
    <x v="0"/>
    <x v="2"/>
    <x v="1"/>
    <x v="1"/>
    <x v="3"/>
    <n v="4705"/>
    <n v="1543.06"/>
    <n v="0"/>
    <n v="0"/>
    <n v="1543.06"/>
    <n v="2"/>
    <n v="2.7"/>
  </r>
  <r>
    <n v="66244"/>
    <s v="Office"/>
    <s v="Bookshelf"/>
    <x v="1"/>
    <x v="1"/>
    <x v="0"/>
    <x v="0"/>
    <x v="6"/>
    <n v="1430"/>
    <n v="1189.52"/>
    <n v="122"/>
    <n v="75.239999999999995"/>
    <n v="1386.76"/>
    <n v="8"/>
    <n v="3.7"/>
  </r>
  <r>
    <n v="89822"/>
    <s v="Living Room"/>
    <s v="Ottoman"/>
    <x v="10"/>
    <x v="1"/>
    <x v="0"/>
    <x v="1"/>
    <x v="6"/>
    <n v="5381"/>
    <n v="1728.36"/>
    <n v="73.28"/>
    <n v="0"/>
    <n v="1801.64"/>
    <n v="6"/>
    <n v="4.8"/>
  </r>
  <r>
    <n v="13794"/>
    <s v="Outdoor"/>
    <s v="Patio Set"/>
    <x v="2"/>
    <x v="5"/>
    <x v="0"/>
    <x v="1"/>
    <x v="3"/>
    <n v="3955"/>
    <n v="1578.82"/>
    <n v="107.2"/>
    <n v="0"/>
    <n v="1686.02"/>
    <n v="9"/>
    <n v="3.6"/>
  </r>
  <r>
    <n v="45818"/>
    <s v="Kitchen"/>
    <s v="Kitchen Island"/>
    <x v="4"/>
    <x v="5"/>
    <x v="0"/>
    <x v="0"/>
    <x v="2"/>
    <n v="6062"/>
    <n v="2406.04"/>
    <n v="125.06"/>
    <n v="41.46"/>
    <n v="2572.56"/>
    <n v="9"/>
    <n v="1.1000000000000001"/>
  </r>
  <r>
    <n v="54541"/>
    <s v="Outdoor"/>
    <s v="Umbrella"/>
    <x v="5"/>
    <x v="2"/>
    <x v="1"/>
    <x v="1"/>
    <x v="1"/>
    <n v="6751"/>
    <n v="882.98"/>
    <n v="110.69"/>
    <n v="0"/>
    <n v="993.67"/>
    <n v="10"/>
    <m/>
  </r>
  <r>
    <n v="10800"/>
    <s v="Bedroom"/>
    <s v="Nightstand"/>
    <x v="2"/>
    <x v="4"/>
    <x v="0"/>
    <x v="1"/>
    <x v="5"/>
    <n v="3972"/>
    <n v="218.56"/>
    <n v="64.59"/>
    <n v="0"/>
    <n v="283.14999999999998"/>
    <n v="5"/>
    <m/>
  </r>
  <r>
    <n v="28776"/>
    <s v="Dining Room"/>
    <s v="Dining Chair"/>
    <x v="8"/>
    <x v="5"/>
    <x v="0"/>
    <x v="0"/>
    <x v="0"/>
    <n v="7566"/>
    <n v="447.07"/>
    <n v="82.62"/>
    <n v="195.22"/>
    <n v="724.91"/>
    <n v="11"/>
    <n v="3.5"/>
  </r>
  <r>
    <n v="19120"/>
    <s v="Outdoor"/>
    <s v="Patio Set"/>
    <x v="2"/>
    <x v="3"/>
    <x v="0"/>
    <x v="0"/>
    <x v="5"/>
    <n v="3324"/>
    <n v="641.74"/>
    <n v="0"/>
    <n v="283.95"/>
    <n v="925.69"/>
    <n v="5"/>
    <n v="4.3"/>
  </r>
  <r>
    <n v="92991"/>
    <s v="Bedroom"/>
    <s v="Wardrobe"/>
    <x v="7"/>
    <x v="0"/>
    <x v="0"/>
    <x v="1"/>
    <x v="0"/>
    <n v="1502"/>
    <n v="1820.18"/>
    <m/>
    <n v="0"/>
    <n v="1945.42"/>
    <n v="2"/>
    <n v="2.2999999999999998"/>
  </r>
  <r>
    <n v="22026"/>
    <s v="Office"/>
    <s v="Office Chair"/>
    <x v="7"/>
    <x v="1"/>
    <x v="0"/>
    <x v="0"/>
    <x v="2"/>
    <n v="9691"/>
    <n v="658.64"/>
    <n v="0"/>
    <n v="155.41"/>
    <n v="814.05"/>
    <n v="10"/>
    <n v="2"/>
  </r>
  <r>
    <n v="38197"/>
    <s v="Bedroom"/>
    <s v="Dresser"/>
    <x v="3"/>
    <x v="4"/>
    <x v="0"/>
    <x v="0"/>
    <x v="1"/>
    <n v="7163"/>
    <n v="1769.5"/>
    <n v="134.63"/>
    <n v="68.67"/>
    <n v="1972.8"/>
    <n v="3"/>
    <n v="3.2"/>
  </r>
  <r>
    <n v="65028"/>
    <s v="Living Room"/>
    <s v="Sofa"/>
    <x v="6"/>
    <x v="0"/>
    <x v="0"/>
    <x v="0"/>
    <x v="6"/>
    <n v="8432"/>
    <n v="2069.08"/>
    <n v="112.07"/>
    <n v="26.5"/>
    <n v="2207.65"/>
    <n v="8"/>
    <n v="2"/>
  </r>
  <r>
    <n v="54681"/>
    <s v="Outdoor"/>
    <s v="Garden Chair"/>
    <x v="1"/>
    <x v="1"/>
    <x v="0"/>
    <x v="0"/>
    <x v="3"/>
    <n v="3578"/>
    <n v="1115.51"/>
    <n v="54.55"/>
    <n v="108.97"/>
    <n v="1279.03"/>
    <n v="12"/>
    <m/>
  </r>
  <r>
    <n v="58503"/>
    <s v="Dining Room"/>
    <s v="Buffet"/>
    <x v="10"/>
    <x v="2"/>
    <x v="1"/>
    <x v="1"/>
    <x v="5"/>
    <n v="6105"/>
    <n v="500.62"/>
    <n v="130.21"/>
    <n v="0"/>
    <n v="630.83000000000004"/>
    <n v="11"/>
    <n v="4"/>
  </r>
  <r>
    <n v="52517"/>
    <s v="Outdoor"/>
    <s v="Outdoor Table"/>
    <x v="5"/>
    <x v="1"/>
    <x v="0"/>
    <x v="0"/>
    <x v="5"/>
    <n v="2391"/>
    <n v="713.69"/>
    <n v="109.95"/>
    <n v="82.32"/>
    <n v="905.96"/>
    <n v="1"/>
    <n v="1"/>
  </r>
  <r>
    <n v="16895"/>
    <s v="Office"/>
    <s v="Computer Table"/>
    <x v="2"/>
    <x v="2"/>
    <x v="1"/>
    <x v="0"/>
    <x v="2"/>
    <n v="3549"/>
    <n v="1351.28"/>
    <n v="126.25"/>
    <n v="38.47"/>
    <n v="1516"/>
    <n v="14"/>
    <n v="2.8"/>
  </r>
  <r>
    <n v="30632"/>
    <s v="Office"/>
    <s v="Computer Table"/>
    <x v="5"/>
    <x v="2"/>
    <x v="1"/>
    <x v="0"/>
    <x v="4"/>
    <n v="1815"/>
    <n v="588.30999999999995"/>
    <n v="0"/>
    <n v="36.57"/>
    <n v="624.88"/>
    <n v="4"/>
    <n v="1.9"/>
  </r>
  <r>
    <n v="98338"/>
    <s v="Outdoor"/>
    <s v="Outdoor Table"/>
    <x v="10"/>
    <x v="2"/>
    <x v="1"/>
    <x v="1"/>
    <x v="0"/>
    <n v="2336"/>
    <n v="465.99"/>
    <n v="86.22"/>
    <n v="0"/>
    <n v="552.21"/>
    <n v="13"/>
    <n v="1.9"/>
  </r>
  <r>
    <n v="45665"/>
    <s v="Dining Room"/>
    <s v="Buffet"/>
    <x v="7"/>
    <x v="5"/>
    <x v="0"/>
    <x v="0"/>
    <x v="4"/>
    <n v="8259"/>
    <n v="1818.56"/>
    <n v="70.91"/>
    <n v="166.64"/>
    <n v="2056.11"/>
    <n v="5"/>
    <n v="3"/>
  </r>
  <r>
    <n v="96761"/>
    <s v="Outdoor"/>
    <s v="Umbrella"/>
    <x v="9"/>
    <x v="2"/>
    <x v="1"/>
    <x v="0"/>
    <x v="5"/>
    <n v="7947"/>
    <n v="1259.0899999999999"/>
    <n v="67.55"/>
    <n v="28.19"/>
    <n v="1354.83"/>
    <n v="10"/>
    <n v="4.5"/>
  </r>
  <r>
    <n v="73656"/>
    <s v="Outdoor"/>
    <s v="Patio Set"/>
    <x v="3"/>
    <x v="1"/>
    <x v="0"/>
    <x v="1"/>
    <x v="4"/>
    <n v="8242"/>
    <n v="1786.72"/>
    <n v="103.29"/>
    <n v="0"/>
    <n v="1890.01"/>
    <n v="11"/>
    <n v="2.8"/>
  </r>
  <r>
    <n v="64287"/>
    <s v="Outdoor"/>
    <s v="Patio Set"/>
    <x v="7"/>
    <x v="0"/>
    <x v="0"/>
    <x v="1"/>
    <x v="1"/>
    <n v="5475"/>
    <n v="1558.87"/>
    <n v="134.43"/>
    <n v="0"/>
    <n v="1693.3"/>
    <n v="5"/>
    <m/>
  </r>
  <r>
    <n v="38255"/>
    <s v="Dining Room"/>
    <s v="China Cabinet"/>
    <x v="3"/>
    <x v="5"/>
    <x v="0"/>
    <x v="1"/>
    <x v="6"/>
    <n v="9394"/>
    <n v="1542.14"/>
    <n v="72.45"/>
    <n v="0"/>
    <n v="1614.59"/>
    <n v="7"/>
    <n v="2.2999999999999998"/>
  </r>
  <r>
    <n v="24918"/>
    <s v="Living Room"/>
    <s v="Ottoman"/>
    <x v="8"/>
    <x v="2"/>
    <x v="1"/>
    <x v="1"/>
    <x v="0"/>
    <n v="6655"/>
    <n v="2057.65"/>
    <n v="72.56"/>
    <n v="0"/>
    <n v="2130.21"/>
    <n v="2"/>
    <n v="1.8"/>
  </r>
  <r>
    <n v="66349"/>
    <s v="Outdoor"/>
    <s v="Patio Set"/>
    <x v="4"/>
    <x v="2"/>
    <x v="1"/>
    <x v="0"/>
    <x v="2"/>
    <n v="2816"/>
    <n v="195.99"/>
    <n v="57.4"/>
    <n v="184.05"/>
    <n v="437.44"/>
    <n v="4"/>
    <m/>
  </r>
  <r>
    <n v="47125"/>
    <s v="Living Room"/>
    <s v="TV Stand"/>
    <x v="5"/>
    <x v="3"/>
    <x v="0"/>
    <x v="0"/>
    <x v="1"/>
    <n v="8972"/>
    <n v="1395.25"/>
    <n v="0"/>
    <n v="264.61"/>
    <n v="1659.86"/>
    <n v="11"/>
    <n v="1.5"/>
  </r>
  <r>
    <n v="79066"/>
    <s v="Dining Room"/>
    <s v="Dining Table"/>
    <x v="2"/>
    <x v="3"/>
    <x v="0"/>
    <x v="1"/>
    <x v="4"/>
    <n v="6053"/>
    <n v="1587.03"/>
    <n v="0"/>
    <n v="0"/>
    <n v="1587.03"/>
    <n v="1"/>
    <n v="3.5"/>
  </r>
  <r>
    <n v="15952"/>
    <s v="Living Room"/>
    <s v="Ottoman"/>
    <x v="0"/>
    <x v="1"/>
    <x v="0"/>
    <x v="1"/>
    <x v="3"/>
    <n v="4612"/>
    <n v="320.07"/>
    <n v="88.74"/>
    <n v="0"/>
    <n v="408.81"/>
    <n v="2"/>
    <n v="2.6"/>
  </r>
  <r>
    <n v="61807"/>
    <s v="Living Room"/>
    <s v="Armchair"/>
    <x v="8"/>
    <x v="4"/>
    <x v="0"/>
    <x v="0"/>
    <x v="5"/>
    <n v="1897"/>
    <n v="1083.02"/>
    <n v="137.99"/>
    <n v="165.09"/>
    <n v="1386.1"/>
    <n v="11"/>
    <n v="2.8"/>
  </r>
  <r>
    <n v="11007"/>
    <s v="Living Room"/>
    <s v="Sofa"/>
    <x v="0"/>
    <x v="0"/>
    <x v="0"/>
    <x v="0"/>
    <x v="5"/>
    <n v="4349"/>
    <n v="228.26"/>
    <n v="78.5"/>
    <n v="81.87"/>
    <n v="388.63"/>
    <n v="5"/>
    <n v="2.9"/>
  </r>
  <r>
    <n v="49507"/>
    <s v="Bedroom"/>
    <s v="Mattress"/>
    <x v="8"/>
    <x v="2"/>
    <x v="1"/>
    <x v="1"/>
    <x v="3"/>
    <n v="4460"/>
    <n v="2421.52"/>
    <n v="0"/>
    <n v="0"/>
    <n v="2421.52"/>
    <n v="10"/>
    <n v="4.8"/>
  </r>
  <r>
    <n v="27987"/>
    <s v="Kitchen"/>
    <s v="Bar Cart"/>
    <x v="1"/>
    <x v="3"/>
    <x v="0"/>
    <x v="1"/>
    <x v="5"/>
    <n v="5186"/>
    <n v="624.29999999999995"/>
    <n v="84.29"/>
    <n v="0"/>
    <n v="708.59"/>
    <n v="1"/>
    <n v="3.6"/>
  </r>
  <r>
    <n v="47938"/>
    <s v="Kitchen"/>
    <s v="Kitchen Island"/>
    <x v="9"/>
    <x v="0"/>
    <x v="0"/>
    <x v="0"/>
    <x v="3"/>
    <n v="6375"/>
    <n v="1228.53"/>
    <n v="0"/>
    <n v="89.26"/>
    <n v="1317.79"/>
    <n v="6"/>
    <n v="2.9"/>
  </r>
  <r>
    <n v="25726"/>
    <s v="Outdoor"/>
    <s v="Outdoor Table"/>
    <x v="5"/>
    <x v="0"/>
    <x v="0"/>
    <x v="1"/>
    <x v="5"/>
    <n v="1126"/>
    <n v="1555.81"/>
    <n v="83.57"/>
    <n v="0"/>
    <n v="1639.38"/>
    <n v="7"/>
    <n v="1.4"/>
  </r>
  <r>
    <n v="75193"/>
    <s v="Living Room"/>
    <s v="Side Table"/>
    <x v="9"/>
    <x v="0"/>
    <x v="0"/>
    <x v="0"/>
    <x v="5"/>
    <n v="8055"/>
    <n v="712.96"/>
    <m/>
    <n v="74.040000000000006"/>
    <n v="787"/>
    <n v="13"/>
    <n v="2.2999999999999998"/>
  </r>
  <r>
    <n v="33028"/>
    <s v="Office"/>
    <s v="Desk"/>
    <x v="11"/>
    <x v="0"/>
    <x v="0"/>
    <x v="0"/>
    <x v="5"/>
    <n v="3116"/>
    <n v="1253.04"/>
    <n v="0"/>
    <n v="33.950000000000003"/>
    <n v="1286.99"/>
    <n v="9"/>
    <m/>
  </r>
  <r>
    <n v="59834"/>
    <s v="Outdoor"/>
    <s v="Umbrella"/>
    <x v="8"/>
    <x v="4"/>
    <x v="0"/>
    <x v="0"/>
    <x v="5"/>
    <n v="9725"/>
    <n v="1655.97"/>
    <n v="147.53"/>
    <n v="64.209999999999994"/>
    <n v="1867.71"/>
    <n v="4"/>
    <n v="3.9"/>
  </r>
  <r>
    <n v="40161"/>
    <s v="Bedroom"/>
    <s v="Mattress"/>
    <x v="2"/>
    <x v="2"/>
    <x v="1"/>
    <x v="0"/>
    <x v="5"/>
    <n v="9196"/>
    <n v="211.25"/>
    <n v="88.22"/>
    <n v="45.79"/>
    <n v="345.26"/>
    <n v="3"/>
    <n v="4.0999999999999996"/>
  </r>
  <r>
    <n v="83233"/>
    <s v="Dining Room"/>
    <s v="Buffet"/>
    <x v="1"/>
    <x v="5"/>
    <x v="0"/>
    <x v="1"/>
    <x v="2"/>
    <n v="6802"/>
    <n v="556.28"/>
    <n v="116.09"/>
    <n v="0"/>
    <n v="672.37"/>
    <n v="12"/>
    <m/>
  </r>
  <r>
    <n v="19447"/>
    <s v="Bedroom"/>
    <s v="Mattress"/>
    <x v="0"/>
    <x v="4"/>
    <x v="0"/>
    <x v="1"/>
    <x v="5"/>
    <n v="7505"/>
    <n v="1667.78"/>
    <n v="81.8"/>
    <n v="0"/>
    <n v="1749.58"/>
    <n v="11"/>
    <n v="1.2"/>
  </r>
  <r>
    <n v="15544"/>
    <s v="Kitchen"/>
    <s v="Kitchen Cabinet"/>
    <x v="7"/>
    <x v="4"/>
    <x v="0"/>
    <x v="1"/>
    <x v="1"/>
    <n v="8147"/>
    <n v="2037.09"/>
    <n v="55.33"/>
    <n v="0"/>
    <n v="2092.42"/>
    <n v="14"/>
    <m/>
  </r>
  <r>
    <n v="12456"/>
    <s v="Bedroom"/>
    <s v="Chest of Drawers"/>
    <x v="8"/>
    <x v="0"/>
    <x v="0"/>
    <x v="0"/>
    <x v="3"/>
    <n v="8532"/>
    <n v="382.01"/>
    <n v="60.3"/>
    <n v="75.430000000000007"/>
    <n v="517.74"/>
    <n v="13"/>
    <n v="4"/>
  </r>
  <r>
    <n v="20205"/>
    <s v="Office"/>
    <s v="Desk"/>
    <x v="0"/>
    <x v="1"/>
    <x v="0"/>
    <x v="1"/>
    <x v="0"/>
    <n v="6129"/>
    <n v="536.99"/>
    <n v="119.45"/>
    <n v="0"/>
    <n v="656.44"/>
    <n v="8"/>
    <n v="2.6"/>
  </r>
  <r>
    <n v="85465"/>
    <s v="Bedroom"/>
    <s v="Mattress"/>
    <x v="8"/>
    <x v="2"/>
    <x v="1"/>
    <x v="0"/>
    <x v="3"/>
    <n v="8033"/>
    <n v="2700.42"/>
    <n v="73.44"/>
    <n v="142.5"/>
    <n v="2916.36"/>
    <n v="7"/>
    <n v="4.7"/>
  </r>
  <r>
    <n v="85156"/>
    <s v="Living Room"/>
    <s v="Coffee Table"/>
    <x v="0"/>
    <x v="2"/>
    <x v="1"/>
    <x v="1"/>
    <x v="1"/>
    <n v="7626"/>
    <n v="1928.73"/>
    <n v="0"/>
    <n v="0"/>
    <n v="1928.73"/>
    <n v="4"/>
    <n v="2.9"/>
  </r>
  <r>
    <n v="93904"/>
    <s v="Office"/>
    <s v="Filing Cabinet"/>
    <x v="10"/>
    <x v="5"/>
    <x v="0"/>
    <x v="1"/>
    <x v="6"/>
    <n v="7843"/>
    <n v="694.16"/>
    <n v="99.75"/>
    <n v="0"/>
    <n v="793.91"/>
    <n v="7"/>
    <m/>
  </r>
  <r>
    <n v="47947"/>
    <s v="Outdoor"/>
    <s v="Patio Set"/>
    <x v="8"/>
    <x v="3"/>
    <x v="0"/>
    <x v="0"/>
    <x v="3"/>
    <n v="2887"/>
    <n v="742.5"/>
    <n v="0"/>
    <n v="192.66"/>
    <n v="935.16"/>
    <n v="2"/>
    <m/>
  </r>
  <r>
    <n v="63088"/>
    <s v="Bedroom"/>
    <s v="Dresser"/>
    <x v="9"/>
    <x v="1"/>
    <x v="0"/>
    <x v="1"/>
    <x v="3"/>
    <n v="1341"/>
    <n v="710.44"/>
    <n v="80.27"/>
    <n v="0"/>
    <n v="790.71"/>
    <n v="4"/>
    <n v="5"/>
  </r>
  <r>
    <n v="52568"/>
    <s v="Dining Room"/>
    <s v="Dining Table"/>
    <x v="0"/>
    <x v="1"/>
    <x v="0"/>
    <x v="1"/>
    <x v="0"/>
    <n v="3815"/>
    <n v="1563.14"/>
    <n v="0"/>
    <n v="0"/>
    <n v="1563.14"/>
    <n v="13"/>
    <n v="4.8"/>
  </r>
  <r>
    <n v="91018"/>
    <s v="Office"/>
    <s v="Computer Table"/>
    <x v="7"/>
    <x v="0"/>
    <x v="0"/>
    <x v="0"/>
    <x v="4"/>
    <n v="8538"/>
    <n v="1484.77"/>
    <n v="136.55000000000001"/>
    <n v="86.17"/>
    <n v="1707.49"/>
    <n v="4"/>
    <n v="3.1"/>
  </r>
  <r>
    <n v="57428"/>
    <s v="Office"/>
    <s v="Bookshelf"/>
    <x v="5"/>
    <x v="2"/>
    <x v="1"/>
    <x v="1"/>
    <x v="5"/>
    <n v="2443"/>
    <n v="1204.52"/>
    <n v="68.78"/>
    <n v="0"/>
    <n v="1273.3"/>
    <n v="4"/>
    <n v="4.4000000000000004"/>
  </r>
  <r>
    <n v="67240"/>
    <s v="Kitchen"/>
    <s v="Bar Cart"/>
    <x v="3"/>
    <x v="1"/>
    <x v="0"/>
    <x v="1"/>
    <x v="3"/>
    <n v="2734"/>
    <n v="972.26"/>
    <n v="99.98"/>
    <n v="0"/>
    <n v="1072.24"/>
    <n v="6"/>
    <n v="2.7"/>
  </r>
  <r>
    <n v="41891"/>
    <s v="Dining Room"/>
    <s v="Bar Stool"/>
    <x v="0"/>
    <x v="4"/>
    <x v="0"/>
    <x v="0"/>
    <x v="2"/>
    <n v="8138"/>
    <n v="1215.21"/>
    <n v="53.22"/>
    <n v="98.86"/>
    <n v="1367.29"/>
    <n v="6"/>
    <n v="4.2"/>
  </r>
  <r>
    <n v="87184"/>
    <s v="Office"/>
    <s v="Filing Cabinet"/>
    <x v="10"/>
    <x v="1"/>
    <x v="0"/>
    <x v="1"/>
    <x v="6"/>
    <n v="7560"/>
    <n v="369.97"/>
    <n v="54.3"/>
    <n v="0"/>
    <n v="424.27"/>
    <n v="4"/>
    <n v="2.2999999999999998"/>
  </r>
  <r>
    <n v="78676"/>
    <s v="Living Room"/>
    <s v="Coffee Table"/>
    <x v="3"/>
    <x v="2"/>
    <x v="1"/>
    <x v="0"/>
    <x v="5"/>
    <n v="2288"/>
    <n v="439.92"/>
    <n v="66.47"/>
    <m/>
    <n v="660.42"/>
    <n v="4"/>
    <m/>
  </r>
  <r>
    <n v="61873"/>
    <s v="Bedroom"/>
    <s v="Dresser"/>
    <x v="3"/>
    <x v="5"/>
    <x v="0"/>
    <x v="0"/>
    <x v="0"/>
    <n v="6083"/>
    <n v="2029.77"/>
    <n v="0"/>
    <n v="151.85"/>
    <n v="2181.62"/>
    <n v="3"/>
    <n v="4.5999999999999996"/>
  </r>
  <r>
    <n v="54500"/>
    <s v="Bedroom"/>
    <s v="Wardrobe"/>
    <x v="10"/>
    <x v="5"/>
    <x v="0"/>
    <x v="0"/>
    <x v="3"/>
    <n v="4630"/>
    <n v="1342.48"/>
    <n v="88.9"/>
    <n v="93.52"/>
    <n v="1524.9"/>
    <n v="5"/>
    <n v="3.8"/>
  </r>
  <r>
    <n v="53655"/>
    <s v="Kitchen"/>
    <s v="Kitchen Cabinet"/>
    <x v="1"/>
    <x v="0"/>
    <x v="0"/>
    <x v="1"/>
    <x v="0"/>
    <n v="3754"/>
    <n v="1592.48"/>
    <n v="118.48"/>
    <n v="0"/>
    <n v="1710.96"/>
    <n v="4"/>
    <m/>
  </r>
  <r>
    <n v="20011"/>
    <s v="Office"/>
    <s v="Computer Table"/>
    <x v="2"/>
    <x v="2"/>
    <x v="1"/>
    <x v="1"/>
    <x v="4"/>
    <n v="9363"/>
    <n v="1226.74"/>
    <n v="141.03"/>
    <n v="0"/>
    <n v="1367.77"/>
    <n v="8"/>
    <n v="1.2"/>
  </r>
  <r>
    <n v="92998"/>
    <s v="Office"/>
    <s v="Bookshelf"/>
    <x v="6"/>
    <x v="5"/>
    <x v="0"/>
    <x v="0"/>
    <x v="4"/>
    <n v="2868"/>
    <n v="1074.45"/>
    <n v="79.739999999999995"/>
    <n v="187.37"/>
    <n v="1341.56"/>
    <n v="10"/>
    <n v="2.8"/>
  </r>
  <r>
    <n v="79547"/>
    <s v="Kitchen"/>
    <s v="Kitchen Island"/>
    <x v="9"/>
    <x v="1"/>
    <x v="0"/>
    <x v="0"/>
    <x v="4"/>
    <n v="9355"/>
    <n v="1165.81"/>
    <n v="73.97"/>
    <n v="188.26"/>
    <n v="1428.04"/>
    <n v="9"/>
    <n v="4.7"/>
  </r>
  <r>
    <n v="35415"/>
    <s v="Bedroom"/>
    <s v="Nightstand"/>
    <x v="8"/>
    <x v="0"/>
    <x v="0"/>
    <x v="1"/>
    <x v="1"/>
    <n v="6724"/>
    <n v="1322.14"/>
    <n v="62.12"/>
    <m/>
    <n v="1384.26"/>
    <n v="2"/>
    <n v="3"/>
  </r>
  <r>
    <n v="56019"/>
    <s v="Bedroom"/>
    <s v="Dresser"/>
    <x v="9"/>
    <x v="0"/>
    <x v="0"/>
    <x v="0"/>
    <x v="2"/>
    <n v="3419"/>
    <n v="741.01"/>
    <n v="0"/>
    <n v="40.97"/>
    <n v="781.98"/>
    <n v="11"/>
    <n v="2.5"/>
  </r>
  <r>
    <n v="40968"/>
    <s v="Bedroom"/>
    <s v="Nightstand"/>
    <x v="7"/>
    <x v="1"/>
    <x v="0"/>
    <x v="0"/>
    <x v="5"/>
    <n v="2684"/>
    <n v="257.66000000000003"/>
    <n v="43.8"/>
    <n v="167.03"/>
    <n v="468.49"/>
    <n v="8"/>
    <n v="1.3"/>
  </r>
  <r>
    <n v="29194"/>
    <s v="Outdoor"/>
    <s v="Lounge Chair"/>
    <x v="11"/>
    <x v="3"/>
    <x v="0"/>
    <x v="0"/>
    <x v="3"/>
    <n v="5193"/>
    <n v="381.42"/>
    <n v="86.53"/>
    <n v="91.92"/>
    <n v="559.87"/>
    <n v="10"/>
    <m/>
  </r>
  <r>
    <n v="35856"/>
    <s v="Outdoor"/>
    <s v="Lounge Chair"/>
    <x v="6"/>
    <x v="4"/>
    <x v="0"/>
    <x v="0"/>
    <x v="5"/>
    <n v="3842"/>
    <n v="427.95"/>
    <n v="75.349999999999994"/>
    <n v="115.35"/>
    <n v="618.65"/>
    <n v="6"/>
    <n v="3.9"/>
  </r>
  <r>
    <n v="88957"/>
    <s v="Office"/>
    <s v="Office Chair"/>
    <x v="5"/>
    <x v="3"/>
    <x v="0"/>
    <x v="0"/>
    <x v="2"/>
    <n v="3504"/>
    <n v="1267.83"/>
    <n v="114.1"/>
    <n v="253.55"/>
    <n v="1635.48"/>
    <n v="8"/>
    <m/>
  </r>
  <r>
    <n v="95918"/>
    <s v="Office"/>
    <s v="Desk"/>
    <x v="6"/>
    <x v="3"/>
    <x v="0"/>
    <x v="0"/>
    <x v="5"/>
    <n v="2234"/>
    <n v="1398.93"/>
    <n v="73.849999999999994"/>
    <n v="35.54"/>
    <n v="1508.32"/>
    <n v="1"/>
    <n v="1.8"/>
  </r>
  <r>
    <n v="33218"/>
    <s v="Living Room"/>
    <s v="Side Table"/>
    <x v="8"/>
    <x v="2"/>
    <x v="1"/>
    <x v="1"/>
    <x v="3"/>
    <n v="9095"/>
    <n v="586.13"/>
    <n v="0"/>
    <n v="0"/>
    <n v="586.13"/>
    <n v="9"/>
    <m/>
  </r>
  <r>
    <n v="70811"/>
    <s v="Outdoor"/>
    <s v="Garden Chair"/>
    <x v="8"/>
    <x v="5"/>
    <x v="0"/>
    <x v="1"/>
    <x v="0"/>
    <n v="8354"/>
    <n v="1180.71"/>
    <n v="89.51"/>
    <n v="0"/>
    <n v="1270.22"/>
    <n v="2"/>
    <n v="1.4"/>
  </r>
  <r>
    <n v="99277"/>
    <s v="Office"/>
    <s v="Bookshelf"/>
    <x v="2"/>
    <x v="5"/>
    <x v="0"/>
    <x v="0"/>
    <x v="1"/>
    <n v="6295"/>
    <n v="97.01"/>
    <n v="40.96"/>
    <n v="41.45"/>
    <n v="179.42"/>
    <n v="5"/>
    <n v="2.5"/>
  </r>
  <r>
    <n v="92210"/>
    <s v="Dining Room"/>
    <s v="China Cabinet"/>
    <x v="3"/>
    <x v="1"/>
    <x v="0"/>
    <x v="0"/>
    <x v="2"/>
    <n v="6179"/>
    <n v="1049.19"/>
    <n v="121.25"/>
    <n v="195.9"/>
    <n v="1366.34"/>
    <n v="10"/>
    <n v="3.5"/>
  </r>
  <r>
    <n v="29786"/>
    <s v="Outdoor"/>
    <s v="Garden Chair"/>
    <x v="5"/>
    <x v="4"/>
    <x v="0"/>
    <x v="1"/>
    <x v="3"/>
    <n v="8205"/>
    <n v="697.88"/>
    <n v="138.4"/>
    <n v="0"/>
    <n v="836.28"/>
    <n v="14"/>
    <n v="1.3"/>
  </r>
  <r>
    <n v="18950"/>
    <s v="Office"/>
    <s v="Filing Cabinet"/>
    <x v="9"/>
    <x v="0"/>
    <x v="0"/>
    <x v="0"/>
    <x v="2"/>
    <n v="8682"/>
    <n v="805.66"/>
    <n v="100.34"/>
    <n v="51.06"/>
    <n v="957.06"/>
    <n v="13"/>
    <n v="2.2000000000000002"/>
  </r>
  <r>
    <n v="67961"/>
    <s v="Bedroom"/>
    <s v="Wardrobe"/>
    <x v="6"/>
    <x v="3"/>
    <x v="0"/>
    <x v="1"/>
    <x v="5"/>
    <n v="5961"/>
    <n v="376.26"/>
    <n v="35.32"/>
    <n v="0"/>
    <n v="411.58"/>
    <n v="5"/>
    <n v="2.5"/>
  </r>
  <r>
    <n v="46002"/>
    <s v="Outdoor"/>
    <s v="Umbrella"/>
    <x v="3"/>
    <x v="1"/>
    <x v="0"/>
    <x v="0"/>
    <x v="2"/>
    <n v="1920"/>
    <n v="1781.11"/>
    <n v="137.72999999999999"/>
    <n v="131.75"/>
    <n v="2050.59"/>
    <n v="13"/>
    <n v="3.1"/>
  </r>
  <r>
    <n v="56129"/>
    <s v="Dining Room"/>
    <s v="Dining Table"/>
    <x v="9"/>
    <x v="1"/>
    <x v="0"/>
    <x v="0"/>
    <x v="5"/>
    <n v="9312"/>
    <n v="535.12"/>
    <n v="84.27"/>
    <n v="47.67"/>
    <n v="667.06"/>
    <n v="11"/>
    <n v="4.2"/>
  </r>
  <r>
    <n v="19724"/>
    <s v="Kitchen"/>
    <s v="Pantry Cabinet"/>
    <x v="1"/>
    <x v="5"/>
    <x v="0"/>
    <x v="0"/>
    <x v="5"/>
    <n v="6085"/>
    <n v="1447.24"/>
    <n v="0"/>
    <n v="46.75"/>
    <n v="1493.99"/>
    <n v="2"/>
    <n v="1.2"/>
  </r>
  <r>
    <n v="70521"/>
    <s v="Living Room"/>
    <s v="Coffee Table"/>
    <x v="4"/>
    <x v="0"/>
    <x v="0"/>
    <x v="0"/>
    <x v="5"/>
    <n v="8404"/>
    <n v="1563.05"/>
    <n v="143.18"/>
    <m/>
    <n v="1741.89"/>
    <n v="8"/>
    <n v="3.9"/>
  </r>
  <r>
    <n v="14929"/>
    <s v="Kitchen"/>
    <s v="Bar Cart"/>
    <x v="8"/>
    <x v="0"/>
    <x v="0"/>
    <x v="0"/>
    <x v="1"/>
    <n v="1932"/>
    <n v="966.82"/>
    <n v="146.77000000000001"/>
    <n v="186.24"/>
    <n v="1299.83"/>
    <n v="8"/>
    <m/>
  </r>
  <r>
    <n v="58331"/>
    <s v="Bedroom"/>
    <s v="Nightstand"/>
    <x v="11"/>
    <x v="4"/>
    <x v="0"/>
    <x v="0"/>
    <x v="3"/>
    <n v="5703"/>
    <n v="1407.92"/>
    <n v="123.49"/>
    <n v="152.97"/>
    <n v="1684.38"/>
    <n v="7"/>
    <n v="1.3"/>
  </r>
  <r>
    <n v="20057"/>
    <s v="Bedroom"/>
    <s v="Wardrobe"/>
    <x v="0"/>
    <x v="0"/>
    <x v="0"/>
    <x v="1"/>
    <x v="0"/>
    <n v="2479"/>
    <n v="2220.9499999999998"/>
    <n v="0"/>
    <n v="0"/>
    <n v="2220.9499999999998"/>
    <n v="5"/>
    <n v="2.5"/>
  </r>
  <r>
    <n v="90610"/>
    <s v="Dining Room"/>
    <s v="Dining Chair"/>
    <x v="3"/>
    <x v="0"/>
    <x v="0"/>
    <x v="0"/>
    <x v="1"/>
    <n v="9307"/>
    <n v="1458.24"/>
    <n v="0"/>
    <n v="25.32"/>
    <n v="1483.56"/>
    <n v="9"/>
    <n v="2.5"/>
  </r>
  <r>
    <n v="60394"/>
    <s v="Outdoor"/>
    <s v="Outdoor Table"/>
    <x v="4"/>
    <x v="0"/>
    <x v="0"/>
    <x v="0"/>
    <x v="6"/>
    <n v="8581"/>
    <n v="783.66"/>
    <n v="148.75"/>
    <n v="282.75"/>
    <n v="1215.1600000000001"/>
    <n v="2"/>
    <n v="3.3"/>
  </r>
  <r>
    <n v="86064"/>
    <s v="Outdoor"/>
    <s v="Outdoor Table"/>
    <x v="8"/>
    <x v="1"/>
    <x v="0"/>
    <x v="0"/>
    <x v="4"/>
    <n v="1672"/>
    <n v="990.85"/>
    <n v="118.85"/>
    <n v="288.98"/>
    <n v="1398.68"/>
    <n v="12"/>
    <n v="2.9"/>
  </r>
  <r>
    <n v="68947"/>
    <s v="Outdoor"/>
    <s v="Patio Set"/>
    <x v="4"/>
    <x v="4"/>
    <x v="0"/>
    <x v="1"/>
    <x v="3"/>
    <n v="4084"/>
    <n v="1300.83"/>
    <n v="76.13"/>
    <n v="0"/>
    <n v="1376.96"/>
    <n v="11"/>
    <m/>
  </r>
  <r>
    <n v="52143"/>
    <s v="Outdoor"/>
    <s v="Garden Chair"/>
    <x v="2"/>
    <x v="4"/>
    <x v="0"/>
    <x v="1"/>
    <x v="5"/>
    <n v="8792"/>
    <n v="170.36"/>
    <n v="82.82"/>
    <n v="0"/>
    <n v="253.18"/>
    <n v="7"/>
    <n v="4.9000000000000004"/>
  </r>
  <r>
    <n v="75715"/>
    <s v="Office"/>
    <s v="Desk"/>
    <x v="3"/>
    <x v="4"/>
    <x v="0"/>
    <x v="1"/>
    <x v="6"/>
    <n v="3471"/>
    <n v="1258.24"/>
    <n v="0"/>
    <n v="0"/>
    <n v="1258.24"/>
    <n v="9"/>
    <n v="3.6"/>
  </r>
  <r>
    <n v="18109"/>
    <s v="Outdoor"/>
    <s v="Lounge Chair"/>
    <x v="3"/>
    <x v="1"/>
    <x v="0"/>
    <x v="0"/>
    <x v="6"/>
    <n v="8381"/>
    <n v="1391.56"/>
    <n v="136.94"/>
    <n v="181.42"/>
    <n v="1709.92"/>
    <n v="5"/>
    <n v="4.7"/>
  </r>
  <r>
    <n v="23566"/>
    <s v="Living Room"/>
    <s v="Coffee Table"/>
    <x v="1"/>
    <x v="2"/>
    <x v="1"/>
    <x v="0"/>
    <x v="5"/>
    <n v="6626"/>
    <n v="2077.6999999999998"/>
    <n v="0"/>
    <n v="228.74"/>
    <n v="2306.44"/>
    <n v="11"/>
    <n v="2.7"/>
  </r>
  <r>
    <n v="21053"/>
    <s v="Outdoor"/>
    <s v="Garden Chair"/>
    <x v="1"/>
    <x v="5"/>
    <x v="0"/>
    <x v="0"/>
    <x v="6"/>
    <n v="9266"/>
    <n v="476.73"/>
    <n v="38.65"/>
    <n v="235.06"/>
    <n v="750.44"/>
    <n v="4"/>
    <n v="1.2"/>
  </r>
  <r>
    <n v="94689"/>
    <s v="Office"/>
    <s v="Filing Cabinet"/>
    <x v="12"/>
    <x v="2"/>
    <x v="1"/>
    <x v="0"/>
    <x v="0"/>
    <n v="3827"/>
    <n v="970.11"/>
    <n v="136.84"/>
    <n v="32.33"/>
    <n v="1139.28"/>
    <n v="7"/>
    <m/>
  </r>
  <r>
    <n v="15130"/>
    <s v="Kitchen"/>
    <s v="Bar Cart"/>
    <x v="5"/>
    <x v="3"/>
    <x v="0"/>
    <x v="0"/>
    <x v="5"/>
    <n v="5059"/>
    <n v="1351.37"/>
    <n v="60.08"/>
    <n v="175.18"/>
    <n v="1586.63"/>
    <n v="1"/>
    <n v="4.2"/>
  </r>
  <r>
    <n v="67377"/>
    <s v="Kitchen"/>
    <s v="Kitchen Island"/>
    <x v="3"/>
    <x v="2"/>
    <x v="1"/>
    <x v="1"/>
    <x v="6"/>
    <n v="8199"/>
    <n v="1126.46"/>
    <n v="146.21"/>
    <n v="0"/>
    <n v="1272.67"/>
    <n v="8"/>
    <n v="2.2999999999999998"/>
  </r>
  <r>
    <n v="78690"/>
    <s v="Outdoor"/>
    <s v="Outdoor Table"/>
    <x v="8"/>
    <x v="3"/>
    <x v="0"/>
    <x v="1"/>
    <x v="0"/>
    <n v="9564"/>
    <n v="1799.08"/>
    <n v="144.1"/>
    <n v="0"/>
    <n v="1943.18"/>
    <n v="7"/>
    <n v="4.9000000000000004"/>
  </r>
  <r>
    <n v="89928"/>
    <s v="Office"/>
    <s v="Filing Cabinet"/>
    <x v="0"/>
    <x v="1"/>
    <x v="0"/>
    <x v="0"/>
    <x v="4"/>
    <n v="3600"/>
    <n v="1109.81"/>
    <n v="63.89"/>
    <n v="195.11"/>
    <n v="1368.81"/>
    <n v="13"/>
    <n v="2.5"/>
  </r>
  <r>
    <n v="57696"/>
    <s v="Office"/>
    <s v="Computer Table"/>
    <x v="9"/>
    <x v="2"/>
    <x v="1"/>
    <x v="1"/>
    <x v="4"/>
    <n v="7108"/>
    <n v="666.64"/>
    <n v="0"/>
    <n v="0"/>
    <n v="666.64"/>
    <n v="1"/>
    <n v="4.5"/>
  </r>
  <r>
    <n v="47079"/>
    <s v="Office"/>
    <s v="Desk"/>
    <x v="2"/>
    <x v="1"/>
    <x v="0"/>
    <x v="0"/>
    <x v="1"/>
    <n v="7347"/>
    <n v="941.6"/>
    <n v="111.26"/>
    <m/>
    <n v="1195.6500000000001"/>
    <n v="8"/>
    <n v="4.4000000000000004"/>
  </r>
  <r>
    <n v="63578"/>
    <s v="Dining Room"/>
    <s v="China Cabinet"/>
    <x v="7"/>
    <x v="0"/>
    <x v="0"/>
    <x v="0"/>
    <x v="5"/>
    <n v="6543"/>
    <n v="470.65"/>
    <n v="35.74"/>
    <n v="74.900000000000006"/>
    <n v="581.29"/>
    <n v="2"/>
    <n v="3.7"/>
  </r>
  <r>
    <n v="98984"/>
    <s v="Office"/>
    <s v="Office Chair"/>
    <x v="8"/>
    <x v="0"/>
    <x v="0"/>
    <x v="0"/>
    <x v="2"/>
    <n v="1857"/>
    <n v="764.68"/>
    <n v="74.34"/>
    <n v="27.64"/>
    <n v="866.66"/>
    <n v="12"/>
    <m/>
  </r>
  <r>
    <n v="92691"/>
    <s v="Dining Room"/>
    <s v="Dining Chair"/>
    <x v="9"/>
    <x v="2"/>
    <x v="1"/>
    <x v="0"/>
    <x v="2"/>
    <n v="6482"/>
    <n v="1466.43"/>
    <n v="145.15"/>
    <n v="96.14"/>
    <n v="1707.72"/>
    <n v="11"/>
    <n v="1.4"/>
  </r>
  <r>
    <n v="18639"/>
    <s v="Bedroom"/>
    <s v="Wardrobe"/>
    <x v="6"/>
    <x v="1"/>
    <x v="0"/>
    <x v="1"/>
    <x v="2"/>
    <n v="6401"/>
    <n v="2334.06"/>
    <n v="114.4"/>
    <n v="0"/>
    <n v="2448.46"/>
    <n v="12"/>
    <n v="3.9"/>
  </r>
  <r>
    <n v="22387"/>
    <s v="Kitchen"/>
    <s v="Pantry Cabinet"/>
    <x v="4"/>
    <x v="1"/>
    <x v="0"/>
    <x v="0"/>
    <x v="0"/>
    <n v="7333"/>
    <n v="2078.58"/>
    <n v="0"/>
    <n v="108.77"/>
    <n v="2187.35"/>
    <n v="2"/>
    <n v="3.4"/>
  </r>
  <r>
    <n v="47243"/>
    <s v="Kitchen"/>
    <s v="Kitchen Cabinet"/>
    <x v="3"/>
    <x v="2"/>
    <x v="1"/>
    <x v="0"/>
    <x v="2"/>
    <n v="5128"/>
    <n v="580.32000000000005"/>
    <n v="88.02"/>
    <n v="106.19"/>
    <n v="774.53"/>
    <n v="9"/>
    <n v="2.6"/>
  </r>
  <r>
    <n v="96057"/>
    <s v="Dining Room"/>
    <s v="Dining Chair"/>
    <x v="1"/>
    <x v="2"/>
    <x v="1"/>
    <x v="1"/>
    <x v="2"/>
    <n v="3463"/>
    <n v="1087.53"/>
    <n v="72.209999999999994"/>
    <n v="0"/>
    <n v="1159.74"/>
    <n v="1"/>
    <n v="2.8"/>
  </r>
  <r>
    <n v="53694"/>
    <s v="Bedroom"/>
    <s v="Nightstand"/>
    <x v="9"/>
    <x v="3"/>
    <x v="0"/>
    <x v="1"/>
    <x v="3"/>
    <n v="2335"/>
    <n v="2087.9499999999998"/>
    <n v="0"/>
    <n v="0"/>
    <n v="2087.9499999999998"/>
    <n v="3"/>
    <n v="4.4000000000000004"/>
  </r>
  <r>
    <n v="86380"/>
    <s v="Dining Room"/>
    <s v="Bar Stool"/>
    <x v="9"/>
    <x v="0"/>
    <x v="0"/>
    <x v="1"/>
    <x v="0"/>
    <n v="3317"/>
    <n v="1054.52"/>
    <n v="77.349999999999994"/>
    <n v="0"/>
    <n v="1131.8699999999999"/>
    <n v="11"/>
    <n v="3"/>
  </r>
  <r>
    <n v="55851"/>
    <s v="Dining Room"/>
    <s v="Dining Chair"/>
    <x v="3"/>
    <x v="2"/>
    <x v="1"/>
    <x v="0"/>
    <x v="2"/>
    <n v="6082"/>
    <n v="1672.98"/>
    <n v="0"/>
    <n v="48.08"/>
    <n v="1721.06"/>
    <n v="13"/>
    <n v="3"/>
  </r>
  <r>
    <n v="95990"/>
    <s v="Outdoor"/>
    <s v="Garden Chair"/>
    <x v="7"/>
    <x v="1"/>
    <x v="0"/>
    <x v="1"/>
    <x v="6"/>
    <n v="7421"/>
    <n v="1785.25"/>
    <n v="83.74"/>
    <n v="0"/>
    <n v="1868.99"/>
    <n v="6"/>
    <n v="2.6"/>
  </r>
  <r>
    <n v="26901"/>
    <s v="Dining Room"/>
    <s v="Dining Chair"/>
    <x v="5"/>
    <x v="1"/>
    <x v="0"/>
    <x v="1"/>
    <x v="6"/>
    <n v="2388"/>
    <n v="1432.11"/>
    <n v="59.73"/>
    <n v="0"/>
    <n v="1491.84"/>
    <n v="13"/>
    <n v="4.5"/>
  </r>
  <r>
    <n v="50577"/>
    <s v="Office"/>
    <s v="Desk"/>
    <x v="8"/>
    <x v="1"/>
    <x v="0"/>
    <x v="0"/>
    <x v="2"/>
    <n v="7171"/>
    <n v="899.56"/>
    <n v="98.24"/>
    <n v="60.91"/>
    <n v="1058.71"/>
    <n v="12"/>
    <n v="3.6"/>
  </r>
  <r>
    <n v="94343"/>
    <s v="Kitchen"/>
    <s v="Kitchen Island"/>
    <x v="2"/>
    <x v="2"/>
    <x v="1"/>
    <x v="1"/>
    <x v="1"/>
    <n v="6381"/>
    <n v="1792.3"/>
    <n v="64.760000000000005"/>
    <n v="0"/>
    <n v="1857.06"/>
    <n v="11"/>
    <n v="4.7"/>
  </r>
  <r>
    <n v="26750"/>
    <s v="Bedroom"/>
    <s v="Bed Frame"/>
    <x v="9"/>
    <x v="0"/>
    <x v="0"/>
    <x v="1"/>
    <x v="5"/>
    <n v="9624"/>
    <n v="484.44"/>
    <n v="63.66"/>
    <n v="0"/>
    <n v="548.1"/>
    <n v="10"/>
    <n v="1.6"/>
  </r>
  <r>
    <n v="22249"/>
    <s v="Living Room"/>
    <s v="Sofa"/>
    <x v="10"/>
    <x v="1"/>
    <x v="0"/>
    <x v="0"/>
    <x v="1"/>
    <n v="7937"/>
    <n v="753.97"/>
    <n v="118.8"/>
    <n v="266.38"/>
    <n v="1139.1500000000001"/>
    <n v="13"/>
    <n v="1.4"/>
  </r>
  <r>
    <n v="76648"/>
    <s v="Dining Room"/>
    <s v="Buffet"/>
    <x v="0"/>
    <x v="4"/>
    <x v="0"/>
    <x v="0"/>
    <x v="3"/>
    <n v="6928"/>
    <n v="797.91"/>
    <n v="0"/>
    <n v="37.229999999999997"/>
    <n v="835.14"/>
    <n v="11"/>
    <n v="1.9"/>
  </r>
  <r>
    <n v="12389"/>
    <s v="Office"/>
    <s v="Bookshelf"/>
    <x v="1"/>
    <x v="3"/>
    <x v="0"/>
    <x v="0"/>
    <x v="6"/>
    <n v="6940"/>
    <n v="1065.0899999999999"/>
    <n v="0"/>
    <n v="222.63"/>
    <n v="1287.72"/>
    <n v="11"/>
    <n v="2.2000000000000002"/>
  </r>
  <r>
    <n v="50483"/>
    <s v="Living Room"/>
    <s v="Side Table"/>
    <x v="12"/>
    <x v="4"/>
    <x v="0"/>
    <x v="0"/>
    <x v="2"/>
    <n v="3953"/>
    <n v="2290.4299999999998"/>
    <n v="68.489999999999995"/>
    <n v="233.41"/>
    <n v="2592.33"/>
    <n v="9"/>
    <n v="3.1"/>
  </r>
  <r>
    <n v="38074"/>
    <s v="Kitchen"/>
    <s v="Kitchen Island"/>
    <x v="8"/>
    <x v="3"/>
    <x v="0"/>
    <x v="0"/>
    <x v="0"/>
    <n v="6598"/>
    <n v="1957.72"/>
    <n v="0"/>
    <n v="93.1"/>
    <n v="2050.8200000000002"/>
    <n v="12"/>
    <n v="3.2"/>
  </r>
  <r>
    <n v="73736"/>
    <s v="Bedroom"/>
    <s v="Wardrobe"/>
    <x v="2"/>
    <x v="4"/>
    <x v="0"/>
    <x v="1"/>
    <x v="6"/>
    <n v="4145"/>
    <n v="737.76"/>
    <n v="0"/>
    <n v="0"/>
    <n v="737.76"/>
    <n v="14"/>
    <n v="1.3"/>
  </r>
  <r>
    <n v="39693"/>
    <s v="Dining Room"/>
    <s v="China Cabinet"/>
    <x v="7"/>
    <x v="0"/>
    <x v="0"/>
    <x v="0"/>
    <x v="5"/>
    <n v="3253"/>
    <n v="426.05"/>
    <n v="98.28"/>
    <n v="65.03"/>
    <n v="589.36"/>
    <n v="9"/>
    <n v="2.2000000000000002"/>
  </r>
  <r>
    <n v="30308"/>
    <s v="Kitchen"/>
    <s v="Pantry Cabinet"/>
    <x v="2"/>
    <x v="1"/>
    <x v="0"/>
    <x v="1"/>
    <x v="2"/>
    <n v="2264"/>
    <n v="1829.22"/>
    <n v="148.6"/>
    <n v="0"/>
    <n v="1977.82"/>
    <n v="10"/>
    <n v="1.8"/>
  </r>
  <r>
    <n v="48770"/>
    <s v="Living Room"/>
    <s v="Coffee Table"/>
    <x v="9"/>
    <x v="4"/>
    <x v="0"/>
    <x v="0"/>
    <x v="1"/>
    <n v="2657"/>
    <n v="284.49"/>
    <n v="35.630000000000003"/>
    <n v="80.11"/>
    <n v="400.23"/>
    <n v="4"/>
    <n v="2.1"/>
  </r>
  <r>
    <n v="76543"/>
    <s v="Living Room"/>
    <s v="Ottoman"/>
    <x v="11"/>
    <x v="1"/>
    <x v="0"/>
    <x v="1"/>
    <x v="1"/>
    <n v="9843"/>
    <n v="786.42"/>
    <n v="140.37"/>
    <n v="0"/>
    <n v="926.79"/>
    <n v="8"/>
    <m/>
  </r>
  <r>
    <n v="79013"/>
    <s v="Outdoor"/>
    <s v="Garden Chair"/>
    <x v="8"/>
    <x v="4"/>
    <x v="0"/>
    <x v="1"/>
    <x v="4"/>
    <n v="1618"/>
    <n v="1034.24"/>
    <n v="0"/>
    <n v="0"/>
    <n v="1034.24"/>
    <n v="11"/>
    <n v="1.8"/>
  </r>
  <r>
    <n v="96760"/>
    <s v="Outdoor"/>
    <s v="Umbrella"/>
    <x v="12"/>
    <x v="5"/>
    <x v="0"/>
    <x v="1"/>
    <x v="0"/>
    <n v="6517"/>
    <n v="1148.1600000000001"/>
    <n v="65.349999999999994"/>
    <n v="0"/>
    <n v="1213.51"/>
    <n v="7"/>
    <m/>
  </r>
  <r>
    <n v="91006"/>
    <s v="Dining Room"/>
    <s v="Dining Table"/>
    <x v="8"/>
    <x v="2"/>
    <x v="1"/>
    <x v="1"/>
    <x v="5"/>
    <n v="3147"/>
    <n v="1109.79"/>
    <n v="90.68"/>
    <n v="0"/>
    <n v="1200.47"/>
    <n v="11"/>
    <m/>
  </r>
  <r>
    <n v="88282"/>
    <s v="Bedroom"/>
    <s v="Dresser"/>
    <x v="9"/>
    <x v="2"/>
    <x v="1"/>
    <x v="0"/>
    <x v="3"/>
    <n v="7172"/>
    <n v="178.11"/>
    <n v="53.29"/>
    <n v="292.77"/>
    <n v="524.16999999999996"/>
    <n v="13"/>
    <n v="1.7"/>
  </r>
  <r>
    <n v="30218"/>
    <s v="Office"/>
    <s v="Office Chair"/>
    <x v="5"/>
    <x v="5"/>
    <x v="0"/>
    <x v="1"/>
    <x v="6"/>
    <n v="3658"/>
    <n v="831.12"/>
    <n v="136.54"/>
    <n v="0"/>
    <n v="967.66"/>
    <n v="10"/>
    <m/>
  </r>
  <r>
    <n v="33703"/>
    <s v="Office"/>
    <s v="Desk"/>
    <x v="6"/>
    <x v="4"/>
    <x v="0"/>
    <x v="1"/>
    <x v="4"/>
    <n v="3712"/>
    <n v="570.15"/>
    <n v="146.80000000000001"/>
    <n v="0"/>
    <n v="716.95"/>
    <n v="8"/>
    <n v="2"/>
  </r>
  <r>
    <n v="67366"/>
    <s v="Bedroom"/>
    <s v="Chest of Drawers"/>
    <x v="10"/>
    <x v="5"/>
    <x v="0"/>
    <x v="0"/>
    <x v="1"/>
    <n v="1715"/>
    <n v="510.15"/>
    <n v="123.54"/>
    <n v="170.75"/>
    <n v="804.44"/>
    <n v="4"/>
    <n v="2.7"/>
  </r>
  <r>
    <n v="63852"/>
    <s v="Dining Room"/>
    <s v="Buffet"/>
    <x v="4"/>
    <x v="2"/>
    <x v="1"/>
    <x v="1"/>
    <x v="4"/>
    <n v="6968"/>
    <n v="1054.24"/>
    <n v="0"/>
    <n v="0"/>
    <n v="1054.24"/>
    <n v="9"/>
    <n v="4.5"/>
  </r>
  <r>
    <n v="98652"/>
    <s v="Living Room"/>
    <s v="TV Stand"/>
    <x v="9"/>
    <x v="2"/>
    <x v="1"/>
    <x v="0"/>
    <x v="3"/>
    <n v="4891"/>
    <n v="1134.98"/>
    <n v="59.01"/>
    <n v="43.25"/>
    <n v="1237.24"/>
    <n v="2"/>
    <n v="1.2"/>
  </r>
  <r>
    <n v="68222"/>
    <s v="Office"/>
    <s v="Office Chair"/>
    <x v="9"/>
    <x v="3"/>
    <x v="0"/>
    <x v="0"/>
    <x v="1"/>
    <n v="5668"/>
    <n v="1446.28"/>
    <n v="100.87"/>
    <n v="224.67"/>
    <n v="1771.82"/>
    <n v="11"/>
    <n v="4.5999999999999996"/>
  </r>
  <r>
    <n v="68841"/>
    <s v="Living Room"/>
    <s v="Ottoman"/>
    <x v="9"/>
    <x v="1"/>
    <x v="0"/>
    <x v="1"/>
    <x v="2"/>
    <n v="4833"/>
    <n v="637.41999999999996"/>
    <n v="50.73"/>
    <n v="0"/>
    <n v="688.15"/>
    <n v="12"/>
    <n v="2.4"/>
  </r>
  <r>
    <n v="79993"/>
    <s v="Kitchen"/>
    <s v="Kitchen Island"/>
    <x v="8"/>
    <x v="3"/>
    <x v="0"/>
    <x v="0"/>
    <x v="1"/>
    <n v="4918"/>
    <n v="1636.22"/>
    <n v="117.45"/>
    <n v="53.76"/>
    <n v="1807.43"/>
    <n v="14"/>
    <m/>
  </r>
  <r>
    <n v="50562"/>
    <s v="Office"/>
    <s v="Filing Cabinet"/>
    <x v="2"/>
    <x v="2"/>
    <x v="1"/>
    <x v="1"/>
    <x v="6"/>
    <n v="8684"/>
    <n v="322.08999999999997"/>
    <n v="97.73"/>
    <n v="0"/>
    <n v="419.82"/>
    <n v="11"/>
    <n v="3.2"/>
  </r>
  <r>
    <n v="35430"/>
    <s v="Office"/>
    <s v="Bookshelf"/>
    <x v="6"/>
    <x v="4"/>
    <x v="0"/>
    <x v="1"/>
    <x v="2"/>
    <n v="7026"/>
    <n v="455.95"/>
    <n v="25.17"/>
    <n v="0"/>
    <n v="481.12"/>
    <n v="4"/>
    <n v="4.7"/>
  </r>
  <r>
    <n v="98907"/>
    <s v="Living Room"/>
    <s v="Armchair"/>
    <x v="8"/>
    <x v="1"/>
    <x v="0"/>
    <x v="0"/>
    <x v="5"/>
    <n v="8218"/>
    <n v="2252.7399999999998"/>
    <n v="55.75"/>
    <n v="199.28"/>
    <n v="2507.77"/>
    <n v="6"/>
    <m/>
  </r>
  <r>
    <n v="70513"/>
    <s v="Office"/>
    <s v="Bookshelf"/>
    <x v="5"/>
    <x v="5"/>
    <x v="0"/>
    <x v="0"/>
    <x v="2"/>
    <n v="5616"/>
    <n v="92.59"/>
    <n v="57.31"/>
    <n v="38.229999999999997"/>
    <n v="188.13"/>
    <n v="3"/>
    <n v="4.7"/>
  </r>
  <r>
    <n v="60052"/>
    <s v="Outdoor"/>
    <s v="Outdoor Table"/>
    <x v="10"/>
    <x v="1"/>
    <x v="0"/>
    <x v="1"/>
    <x v="2"/>
    <n v="9239"/>
    <n v="523.05999999999995"/>
    <m/>
    <n v="0"/>
    <n v="602.99"/>
    <n v="3"/>
    <n v="2.1"/>
  </r>
  <r>
    <n v="79135"/>
    <s v="Office"/>
    <s v="Desk"/>
    <x v="5"/>
    <x v="5"/>
    <x v="0"/>
    <x v="0"/>
    <x v="1"/>
    <n v="7859"/>
    <n v="278.62"/>
    <n v="81.03"/>
    <n v="188.36"/>
    <n v="548.01"/>
    <n v="12"/>
    <n v="1.8"/>
  </r>
  <r>
    <n v="31241"/>
    <s v="Office"/>
    <s v="Bookshelf"/>
    <x v="10"/>
    <x v="4"/>
    <x v="0"/>
    <x v="0"/>
    <x v="1"/>
    <n v="4271"/>
    <n v="1359.42"/>
    <n v="0"/>
    <n v="293.95"/>
    <n v="1653.37"/>
    <n v="5"/>
    <m/>
  </r>
  <r>
    <n v="89254"/>
    <s v="Outdoor"/>
    <s v="Garden Chair"/>
    <x v="2"/>
    <x v="3"/>
    <x v="0"/>
    <x v="1"/>
    <x v="5"/>
    <n v="3267"/>
    <n v="686.06"/>
    <n v="138.18"/>
    <n v="0"/>
    <n v="824.24"/>
    <n v="3"/>
    <m/>
  </r>
  <r>
    <n v="42768"/>
    <s v="Bedroom"/>
    <s v="Dresser"/>
    <x v="3"/>
    <x v="0"/>
    <x v="0"/>
    <x v="1"/>
    <x v="6"/>
    <n v="1854"/>
    <n v="1575"/>
    <n v="73.650000000000006"/>
    <n v="0"/>
    <n v="1648.65"/>
    <n v="7"/>
    <n v="3.9"/>
  </r>
  <r>
    <n v="94040"/>
    <s v="Dining Room"/>
    <s v="Buffet"/>
    <x v="11"/>
    <x v="1"/>
    <x v="0"/>
    <x v="0"/>
    <x v="5"/>
    <n v="8873"/>
    <n v="256.97000000000003"/>
    <n v="57.17"/>
    <n v="62.47"/>
    <n v="376.61"/>
    <n v="13"/>
    <m/>
  </r>
  <r>
    <n v="58655"/>
    <s v="Outdoor"/>
    <s v="Lounge Chair"/>
    <x v="4"/>
    <x v="3"/>
    <x v="0"/>
    <x v="0"/>
    <x v="5"/>
    <n v="2680"/>
    <n v="477.38"/>
    <m/>
    <n v="59.43"/>
    <n v="614.79"/>
    <n v="14"/>
    <n v="3.5"/>
  </r>
  <r>
    <n v="77621"/>
    <s v="Office"/>
    <s v="Office Chair"/>
    <x v="5"/>
    <x v="0"/>
    <x v="0"/>
    <x v="0"/>
    <x v="1"/>
    <n v="3042"/>
    <n v="468.88"/>
    <n v="39.409999999999997"/>
    <n v="152.65"/>
    <n v="660.94"/>
    <n v="4"/>
    <m/>
  </r>
  <r>
    <n v="47363"/>
    <s v="Kitchen"/>
    <s v="Kitchen Cabinet"/>
    <x v="3"/>
    <x v="1"/>
    <x v="0"/>
    <x v="1"/>
    <x v="0"/>
    <n v="2374"/>
    <n v="1840.35"/>
    <m/>
    <n v="0"/>
    <n v="1912.53"/>
    <n v="8"/>
    <m/>
  </r>
  <r>
    <n v="31012"/>
    <s v="Dining Room"/>
    <s v="Dining Table"/>
    <x v="5"/>
    <x v="5"/>
    <x v="0"/>
    <x v="1"/>
    <x v="0"/>
    <n v="5469"/>
    <n v="611.57000000000005"/>
    <n v="0"/>
    <n v="0"/>
    <n v="611.57000000000005"/>
    <n v="12"/>
    <n v="2.2999999999999998"/>
  </r>
  <r>
    <n v="68893"/>
    <s v="Living Room"/>
    <s v="Sofa"/>
    <x v="1"/>
    <x v="2"/>
    <x v="1"/>
    <x v="1"/>
    <x v="1"/>
    <n v="9410"/>
    <n v="1718.99"/>
    <n v="78.53"/>
    <n v="0"/>
    <n v="1797.52"/>
    <n v="10"/>
    <m/>
  </r>
  <r>
    <n v="29313"/>
    <s v="Dining Room"/>
    <s v="Bar Stool"/>
    <x v="0"/>
    <x v="4"/>
    <x v="0"/>
    <x v="0"/>
    <x v="3"/>
    <n v="8167"/>
    <n v="678.28"/>
    <n v="0"/>
    <n v="66.56"/>
    <n v="744.84"/>
    <n v="12"/>
    <n v="4"/>
  </r>
  <r>
    <n v="22021"/>
    <s v="Dining Room"/>
    <s v="Dining Chair"/>
    <x v="9"/>
    <x v="4"/>
    <x v="0"/>
    <x v="1"/>
    <x v="0"/>
    <n v="4637"/>
    <n v="1335.47"/>
    <n v="0"/>
    <n v="0"/>
    <n v="1335.47"/>
    <n v="2"/>
    <n v="1.5"/>
  </r>
  <r>
    <n v="69130"/>
    <s v="Living Room"/>
    <s v="Ottoman"/>
    <x v="11"/>
    <x v="1"/>
    <x v="0"/>
    <x v="0"/>
    <x v="1"/>
    <n v="6727"/>
    <n v="2427.16"/>
    <n v="131.74"/>
    <n v="288.83"/>
    <n v="2847.73"/>
    <n v="2"/>
    <n v="3.5"/>
  </r>
  <r>
    <n v="13495"/>
    <s v="Bedroom"/>
    <s v="Wardrobe"/>
    <x v="7"/>
    <x v="2"/>
    <x v="1"/>
    <x v="0"/>
    <x v="6"/>
    <n v="7797"/>
    <n v="2204.19"/>
    <n v="0"/>
    <n v="232.57"/>
    <n v="2436.7600000000002"/>
    <n v="5"/>
    <n v="4"/>
  </r>
  <r>
    <n v="16980"/>
    <s v="Office"/>
    <s v="Office Chair"/>
    <x v="5"/>
    <x v="5"/>
    <x v="0"/>
    <x v="1"/>
    <x v="3"/>
    <n v="7495"/>
    <n v="1373.41"/>
    <n v="0"/>
    <n v="0"/>
    <n v="1373.41"/>
    <n v="9"/>
    <n v="3"/>
  </r>
  <r>
    <n v="75799"/>
    <s v="Dining Room"/>
    <s v="Dining Chair"/>
    <x v="1"/>
    <x v="0"/>
    <x v="0"/>
    <x v="0"/>
    <x v="2"/>
    <n v="7126"/>
    <n v="650.35"/>
    <n v="56.08"/>
    <n v="224.25"/>
    <n v="930.68"/>
    <n v="9"/>
    <n v="4.9000000000000004"/>
  </r>
  <r>
    <n v="40903"/>
    <s v="Kitchen"/>
    <s v="Pantry Cabinet"/>
    <x v="7"/>
    <x v="0"/>
    <x v="0"/>
    <x v="0"/>
    <x v="3"/>
    <n v="7326"/>
    <n v="1537.5"/>
    <n v="110.72"/>
    <n v="50.18"/>
    <n v="1698.4"/>
    <n v="10"/>
    <n v="3.8"/>
  </r>
  <r>
    <n v="20696"/>
    <s v="Outdoor"/>
    <s v="Umbrella"/>
    <x v="4"/>
    <x v="3"/>
    <x v="0"/>
    <x v="1"/>
    <x v="3"/>
    <n v="7142"/>
    <n v="577.08000000000004"/>
    <n v="79.64"/>
    <n v="0"/>
    <n v="656.72"/>
    <n v="9"/>
    <m/>
  </r>
  <r>
    <n v="39430"/>
    <s v="Bedroom"/>
    <s v="Dresser"/>
    <x v="6"/>
    <x v="5"/>
    <x v="0"/>
    <x v="1"/>
    <x v="2"/>
    <n v="1461"/>
    <n v="261.41000000000003"/>
    <n v="36.11"/>
    <n v="0"/>
    <n v="297.52"/>
    <n v="3"/>
    <n v="4.2"/>
  </r>
  <r>
    <n v="51770"/>
    <s v="Bedroom"/>
    <s v="Wardrobe"/>
    <x v="12"/>
    <x v="4"/>
    <x v="0"/>
    <x v="1"/>
    <x v="6"/>
    <n v="2623"/>
    <n v="481.13"/>
    <n v="73.650000000000006"/>
    <n v="0"/>
    <n v="554.78"/>
    <n v="6"/>
    <m/>
  </r>
  <r>
    <n v="95191"/>
    <s v="Outdoor"/>
    <s v="Garden Chair"/>
    <x v="11"/>
    <x v="3"/>
    <x v="0"/>
    <x v="0"/>
    <x v="3"/>
    <n v="6493"/>
    <n v="823.77"/>
    <n v="82.46"/>
    <m/>
    <n v="951.83"/>
    <n v="4"/>
    <n v="2.1"/>
  </r>
  <r>
    <n v="29142"/>
    <s v="Outdoor"/>
    <s v="Umbrella"/>
    <x v="0"/>
    <x v="4"/>
    <x v="0"/>
    <x v="1"/>
    <x v="5"/>
    <n v="3254"/>
    <n v="325.63"/>
    <n v="80.930000000000007"/>
    <n v="0"/>
    <n v="406.56"/>
    <n v="11"/>
    <n v="3.5"/>
  </r>
  <r>
    <n v="15020"/>
    <s v="Office"/>
    <s v="Desk"/>
    <x v="3"/>
    <x v="2"/>
    <x v="1"/>
    <x v="1"/>
    <x v="5"/>
    <n v="5700"/>
    <n v="540.45000000000005"/>
    <n v="0"/>
    <n v="0"/>
    <n v="540.45000000000005"/>
    <n v="3"/>
    <n v="3.9"/>
  </r>
  <r>
    <n v="71925"/>
    <s v="Office"/>
    <s v="Office Chair"/>
    <x v="11"/>
    <x v="5"/>
    <x v="0"/>
    <x v="0"/>
    <x v="5"/>
    <n v="3273"/>
    <n v="784.26"/>
    <n v="131.56"/>
    <n v="78.48"/>
    <n v="994.3"/>
    <n v="12"/>
    <n v="2.1"/>
  </r>
  <r>
    <n v="71487"/>
    <s v="Office"/>
    <s v="Computer Table"/>
    <x v="3"/>
    <x v="3"/>
    <x v="0"/>
    <x v="1"/>
    <x v="4"/>
    <n v="8349"/>
    <n v="346.74"/>
    <n v="35.76"/>
    <n v="0"/>
    <n v="382.5"/>
    <n v="4"/>
    <n v="3.6"/>
  </r>
  <r>
    <n v="90654"/>
    <s v="Kitchen"/>
    <s v="Bar Cart"/>
    <x v="5"/>
    <x v="1"/>
    <x v="0"/>
    <x v="1"/>
    <x v="0"/>
    <n v="1086"/>
    <n v="1898.88"/>
    <n v="110.33"/>
    <n v="0"/>
    <n v="2009.21"/>
    <n v="7"/>
    <m/>
  </r>
  <r>
    <n v="20384"/>
    <s v="Bedroom"/>
    <s v="Mattress"/>
    <x v="9"/>
    <x v="3"/>
    <x v="0"/>
    <x v="0"/>
    <x v="5"/>
    <n v="1311"/>
    <n v="2344.84"/>
    <n v="0"/>
    <n v="48.94"/>
    <n v="2393.7800000000002"/>
    <n v="2"/>
    <n v="4.3"/>
  </r>
  <r>
    <n v="43544"/>
    <s v="Bedroom"/>
    <s v="Nightstand"/>
    <x v="7"/>
    <x v="1"/>
    <x v="0"/>
    <x v="1"/>
    <x v="6"/>
    <n v="4533"/>
    <n v="2315.06"/>
    <n v="131.55000000000001"/>
    <n v="0"/>
    <n v="2446.61"/>
    <n v="6"/>
    <n v="2"/>
  </r>
  <r>
    <n v="29597"/>
    <s v="Outdoor"/>
    <s v="Umbrella"/>
    <x v="4"/>
    <x v="3"/>
    <x v="0"/>
    <x v="0"/>
    <x v="5"/>
    <n v="9991"/>
    <n v="353.07"/>
    <n v="86.87"/>
    <n v="110.26"/>
    <n v="550.20000000000005"/>
    <n v="14"/>
    <n v="1"/>
  </r>
  <r>
    <n v="89807"/>
    <s v="Office"/>
    <s v="Filing Cabinet"/>
    <x v="12"/>
    <x v="3"/>
    <x v="0"/>
    <x v="0"/>
    <x v="5"/>
    <n v="9647"/>
    <n v="289.27"/>
    <n v="74.150000000000006"/>
    <n v="253.01"/>
    <n v="616.42999999999995"/>
    <n v="12"/>
    <n v="1.4"/>
  </r>
  <r>
    <n v="65476"/>
    <s v="Living Room"/>
    <s v="TV Stand"/>
    <x v="1"/>
    <x v="1"/>
    <x v="0"/>
    <x v="0"/>
    <x v="1"/>
    <n v="2821"/>
    <n v="1021.81"/>
    <n v="61.84"/>
    <n v="40.11"/>
    <n v="1123.76"/>
    <n v="3"/>
    <n v="2.2999999999999998"/>
  </r>
  <r>
    <n v="47762"/>
    <s v="Bedroom"/>
    <s v="Chest of Drawers"/>
    <x v="9"/>
    <x v="3"/>
    <x v="0"/>
    <x v="0"/>
    <x v="2"/>
    <n v="4893"/>
    <n v="2108.41"/>
    <n v="78.7"/>
    <n v="191.62"/>
    <n v="2378.73"/>
    <n v="11"/>
    <n v="2.1"/>
  </r>
  <r>
    <n v="49472"/>
    <s v="Living Room"/>
    <s v="Coffee Table"/>
    <x v="2"/>
    <x v="3"/>
    <x v="0"/>
    <x v="0"/>
    <x v="3"/>
    <n v="2996"/>
    <n v="1988.9"/>
    <n v="0"/>
    <n v="217"/>
    <n v="2205.9"/>
    <n v="13"/>
    <n v="2.9"/>
  </r>
  <r>
    <n v="16258"/>
    <s v="Office"/>
    <s v="Bookshelf"/>
    <x v="9"/>
    <x v="0"/>
    <x v="0"/>
    <x v="0"/>
    <x v="3"/>
    <n v="4906"/>
    <n v="285.43"/>
    <n v="49.23"/>
    <n v="88.38"/>
    <n v="423.04"/>
    <n v="6"/>
    <n v="2.7"/>
  </r>
  <r>
    <n v="65027"/>
    <s v="Outdoor"/>
    <s v="Outdoor Table"/>
    <x v="7"/>
    <x v="5"/>
    <x v="0"/>
    <x v="0"/>
    <x v="1"/>
    <n v="8489"/>
    <n v="378.07"/>
    <n v="95.8"/>
    <n v="212.8"/>
    <n v="686.67"/>
    <n v="8"/>
    <n v="3"/>
  </r>
  <r>
    <n v="18232"/>
    <s v="Living Room"/>
    <s v="Ottoman"/>
    <x v="8"/>
    <x v="4"/>
    <x v="0"/>
    <x v="0"/>
    <x v="1"/>
    <n v="2816"/>
    <n v="1844.32"/>
    <n v="127.66"/>
    <m/>
    <n v="2002.86"/>
    <n v="1"/>
    <n v="4.4000000000000004"/>
  </r>
  <r>
    <n v="75513"/>
    <s v="Bedroom"/>
    <s v="Bed Frame"/>
    <x v="3"/>
    <x v="5"/>
    <x v="0"/>
    <x v="0"/>
    <x v="5"/>
    <n v="9782"/>
    <n v="319.8"/>
    <n v="51.2"/>
    <n v="146.04"/>
    <n v="517.04"/>
    <n v="14"/>
    <n v="4.9000000000000004"/>
  </r>
  <r>
    <n v="12154"/>
    <s v="Bedroom"/>
    <s v="Bed Frame"/>
    <x v="9"/>
    <x v="3"/>
    <x v="0"/>
    <x v="0"/>
    <x v="4"/>
    <n v="9443"/>
    <n v="2278.94"/>
    <n v="0"/>
    <n v="259.95999999999998"/>
    <n v="2538.9"/>
    <n v="12"/>
    <n v="2.5"/>
  </r>
  <r>
    <n v="85372"/>
    <s v="Kitchen"/>
    <s v="Kitchen Island"/>
    <x v="0"/>
    <x v="0"/>
    <x v="0"/>
    <x v="0"/>
    <x v="5"/>
    <n v="4963"/>
    <n v="1349.02"/>
    <n v="65.819999999999993"/>
    <n v="114.13"/>
    <n v="1528.97"/>
    <n v="4"/>
    <m/>
  </r>
  <r>
    <n v="28818"/>
    <s v="Bedroom"/>
    <s v="Nightstand"/>
    <x v="6"/>
    <x v="1"/>
    <x v="0"/>
    <x v="1"/>
    <x v="0"/>
    <n v="5772"/>
    <n v="2269.14"/>
    <n v="119.86"/>
    <n v="0"/>
    <n v="2389"/>
    <n v="8"/>
    <n v="2.2999999999999998"/>
  </r>
  <r>
    <n v="66261"/>
    <s v="Dining Room"/>
    <s v="Dining Table"/>
    <x v="10"/>
    <x v="4"/>
    <x v="0"/>
    <x v="0"/>
    <x v="4"/>
    <n v="1025"/>
    <n v="396.19"/>
    <n v="91.09"/>
    <n v="75.16"/>
    <n v="562.44000000000005"/>
    <n v="1"/>
    <n v="2.7"/>
  </r>
  <r>
    <n v="90584"/>
    <s v="Dining Room"/>
    <s v="China Cabinet"/>
    <x v="9"/>
    <x v="5"/>
    <x v="0"/>
    <x v="0"/>
    <x v="1"/>
    <n v="6780"/>
    <n v="1053.56"/>
    <n v="92.37"/>
    <n v="197.31"/>
    <n v="1343.24"/>
    <n v="9"/>
    <n v="4.8"/>
  </r>
  <r>
    <n v="41531"/>
    <s v="Kitchen"/>
    <s v="Kitchen Island"/>
    <x v="1"/>
    <x v="3"/>
    <x v="0"/>
    <x v="0"/>
    <x v="2"/>
    <n v="7825"/>
    <n v="781.59"/>
    <n v="0"/>
    <n v="221.61"/>
    <n v="1003.2"/>
    <n v="11"/>
    <n v="4.3"/>
  </r>
  <r>
    <n v="34551"/>
    <s v="Dining Room"/>
    <s v="Buffet"/>
    <x v="1"/>
    <x v="4"/>
    <x v="0"/>
    <x v="0"/>
    <x v="0"/>
    <n v="2402"/>
    <n v="469.99"/>
    <n v="33.130000000000003"/>
    <n v="160.32"/>
    <n v="663.44"/>
    <n v="14"/>
    <n v="2"/>
  </r>
  <r>
    <n v="78614"/>
    <s v="Living Room"/>
    <s v="Coffee Table"/>
    <x v="0"/>
    <x v="0"/>
    <x v="0"/>
    <x v="0"/>
    <x v="0"/>
    <n v="6908"/>
    <n v="1573.35"/>
    <n v="80.91"/>
    <n v="31.01"/>
    <n v="1685.27"/>
    <n v="2"/>
    <n v="3.3"/>
  </r>
  <r>
    <n v="18870"/>
    <s v="Living Room"/>
    <s v="TV Stand"/>
    <x v="4"/>
    <x v="2"/>
    <x v="1"/>
    <x v="1"/>
    <x v="2"/>
    <n v="9618"/>
    <n v="414.39"/>
    <m/>
    <n v="0"/>
    <n v="462.54"/>
    <n v="13"/>
    <n v="2.6"/>
  </r>
  <r>
    <n v="81313"/>
    <s v="Office"/>
    <s v="Bookshelf"/>
    <x v="1"/>
    <x v="3"/>
    <x v="0"/>
    <x v="1"/>
    <x v="3"/>
    <n v="9312"/>
    <n v="1462.87"/>
    <n v="59.74"/>
    <n v="0"/>
    <n v="1522.61"/>
    <n v="12"/>
    <n v="3"/>
  </r>
  <r>
    <n v="76535"/>
    <s v="Office"/>
    <s v="Filing Cabinet"/>
    <x v="9"/>
    <x v="5"/>
    <x v="0"/>
    <x v="0"/>
    <x v="5"/>
    <n v="1333"/>
    <n v="912.63"/>
    <n v="79.010000000000005"/>
    <n v="161.81"/>
    <n v="1153.45"/>
    <n v="11"/>
    <m/>
  </r>
  <r>
    <n v="61177"/>
    <s v="Outdoor"/>
    <s v="Garden Chair"/>
    <x v="8"/>
    <x v="4"/>
    <x v="0"/>
    <x v="1"/>
    <x v="2"/>
    <n v="8702"/>
    <n v="1418.56"/>
    <n v="0"/>
    <n v="0"/>
    <n v="1418.56"/>
    <n v="8"/>
    <n v="2.4"/>
  </r>
  <r>
    <n v="15706"/>
    <s v="Office"/>
    <s v="Office Chair"/>
    <x v="5"/>
    <x v="5"/>
    <x v="0"/>
    <x v="0"/>
    <x v="2"/>
    <n v="7338"/>
    <n v="1344.77"/>
    <n v="88.76"/>
    <n v="48.95"/>
    <n v="1482.48"/>
    <n v="10"/>
    <n v="3"/>
  </r>
  <r>
    <n v="58929"/>
    <s v="Dining Room"/>
    <s v="China Cabinet"/>
    <x v="11"/>
    <x v="5"/>
    <x v="0"/>
    <x v="1"/>
    <x v="0"/>
    <n v="5155"/>
    <n v="1748.31"/>
    <n v="139.51"/>
    <n v="0"/>
    <n v="1887.82"/>
    <n v="2"/>
    <n v="1.7"/>
  </r>
  <r>
    <n v="12128"/>
    <s v="Dining Room"/>
    <s v="China Cabinet"/>
    <x v="10"/>
    <x v="1"/>
    <x v="0"/>
    <x v="0"/>
    <x v="5"/>
    <n v="6850"/>
    <n v="790.32"/>
    <n v="0"/>
    <n v="188.69"/>
    <n v="979.01"/>
    <n v="8"/>
    <n v="4.0999999999999996"/>
  </r>
  <r>
    <n v="18855"/>
    <s v="Living Room"/>
    <s v="Ottoman"/>
    <x v="10"/>
    <x v="2"/>
    <x v="1"/>
    <x v="1"/>
    <x v="3"/>
    <n v="6649"/>
    <n v="1323"/>
    <n v="78.66"/>
    <n v="0"/>
    <n v="1401.66"/>
    <n v="14"/>
    <n v="3.7"/>
  </r>
  <r>
    <n v="41604"/>
    <s v="Kitchen"/>
    <s v="Kitchen Cabinet"/>
    <x v="6"/>
    <x v="3"/>
    <x v="0"/>
    <x v="1"/>
    <x v="4"/>
    <n v="2698"/>
    <n v="1122.0999999999999"/>
    <n v="100.59"/>
    <n v="0"/>
    <n v="1222.69"/>
    <n v="11"/>
    <m/>
  </r>
  <r>
    <n v="86271"/>
    <s v="Bedroom"/>
    <s v="Chest of Drawers"/>
    <x v="3"/>
    <x v="0"/>
    <x v="0"/>
    <x v="0"/>
    <x v="4"/>
    <n v="6447"/>
    <n v="2490.52"/>
    <n v="0"/>
    <n v="137.58000000000001"/>
    <n v="2628.1"/>
    <n v="10"/>
    <n v="1.3"/>
  </r>
  <r>
    <n v="27486"/>
    <s v="Living Room"/>
    <s v="TV Stand"/>
    <x v="9"/>
    <x v="3"/>
    <x v="0"/>
    <x v="1"/>
    <x v="1"/>
    <n v="1726"/>
    <n v="1271.52"/>
    <n v="140.01"/>
    <n v="0"/>
    <n v="1411.53"/>
    <n v="2"/>
    <m/>
  </r>
  <r>
    <n v="56176"/>
    <s v="Office"/>
    <s v="Desk"/>
    <x v="10"/>
    <x v="3"/>
    <x v="0"/>
    <x v="1"/>
    <x v="6"/>
    <n v="9945"/>
    <n v="650.16"/>
    <n v="0"/>
    <n v="0"/>
    <n v="650.16"/>
    <n v="10"/>
    <n v="3.8"/>
  </r>
  <r>
    <n v="54374"/>
    <s v="Office"/>
    <s v="Office Chair"/>
    <x v="8"/>
    <x v="0"/>
    <x v="0"/>
    <x v="0"/>
    <x v="1"/>
    <n v="3868"/>
    <n v="854.02"/>
    <n v="64.55"/>
    <n v="156.82"/>
    <n v="1075.3900000000001"/>
    <n v="10"/>
    <n v="1.2"/>
  </r>
  <r>
    <n v="99742"/>
    <s v="Bedroom"/>
    <s v="Bed Frame"/>
    <x v="1"/>
    <x v="3"/>
    <x v="0"/>
    <x v="1"/>
    <x v="6"/>
    <n v="8612"/>
    <n v="752.75"/>
    <n v="0"/>
    <n v="0"/>
    <n v="752.75"/>
    <n v="5"/>
    <n v="1.7"/>
  </r>
  <r>
    <n v="72722"/>
    <s v="Office"/>
    <s v="Office Chair"/>
    <x v="3"/>
    <x v="2"/>
    <x v="1"/>
    <x v="0"/>
    <x v="2"/>
    <n v="3986"/>
    <n v="503.64"/>
    <n v="137.13"/>
    <n v="118.41"/>
    <n v="759.18"/>
    <n v="1"/>
    <m/>
  </r>
  <r>
    <n v="27675"/>
    <s v="Dining Room"/>
    <s v="Dining Chair"/>
    <x v="9"/>
    <x v="0"/>
    <x v="0"/>
    <x v="1"/>
    <x v="6"/>
    <n v="2033"/>
    <n v="477.35"/>
    <n v="95.65"/>
    <n v="0"/>
    <n v="573"/>
    <n v="8"/>
    <n v="4.0999999999999996"/>
  </r>
  <r>
    <n v="69988"/>
    <s v="Outdoor"/>
    <s v="Umbrella"/>
    <x v="9"/>
    <x v="1"/>
    <x v="0"/>
    <x v="0"/>
    <x v="2"/>
    <n v="1605"/>
    <n v="792.08"/>
    <n v="0"/>
    <n v="43.07"/>
    <n v="835.15"/>
    <n v="10"/>
    <n v="2.2999999999999998"/>
  </r>
  <r>
    <n v="48462"/>
    <s v="Outdoor"/>
    <s v="Outdoor Table"/>
    <x v="11"/>
    <x v="4"/>
    <x v="0"/>
    <x v="0"/>
    <x v="4"/>
    <n v="4302"/>
    <n v="173.41"/>
    <n v="92.24"/>
    <n v="279.64999999999998"/>
    <n v="545.29999999999995"/>
    <n v="2"/>
    <n v="3.7"/>
  </r>
  <r>
    <n v="15741"/>
    <s v="Living Room"/>
    <s v="Armchair"/>
    <x v="1"/>
    <x v="4"/>
    <x v="0"/>
    <x v="0"/>
    <x v="1"/>
    <n v="4268"/>
    <n v="2369.64"/>
    <n v="113.43"/>
    <n v="30.47"/>
    <n v="2513.54"/>
    <n v="4"/>
    <n v="3.2"/>
  </r>
  <r>
    <n v="15492"/>
    <s v="Bedroom"/>
    <s v="Dresser"/>
    <x v="2"/>
    <x v="1"/>
    <x v="0"/>
    <x v="0"/>
    <x v="1"/>
    <n v="6170"/>
    <n v="747.82"/>
    <n v="0"/>
    <n v="181.38"/>
    <n v="929.2"/>
    <n v="1"/>
    <n v="2.2000000000000002"/>
  </r>
  <r>
    <n v="50642"/>
    <s v="Outdoor"/>
    <s v="Lounge Chair"/>
    <x v="1"/>
    <x v="0"/>
    <x v="0"/>
    <x v="1"/>
    <x v="1"/>
    <n v="9444"/>
    <n v="833.19"/>
    <n v="132.82"/>
    <n v="0"/>
    <n v="966.01"/>
    <n v="9"/>
    <n v="2.2999999999999998"/>
  </r>
  <r>
    <n v="62196"/>
    <s v="Dining Room"/>
    <s v="Dining Chair"/>
    <x v="6"/>
    <x v="0"/>
    <x v="0"/>
    <x v="1"/>
    <x v="4"/>
    <n v="9897"/>
    <n v="1150.23"/>
    <n v="0"/>
    <n v="0"/>
    <n v="1150.23"/>
    <n v="7"/>
    <n v="3.6"/>
  </r>
  <r>
    <n v="72049"/>
    <s v="Dining Room"/>
    <s v="China Cabinet"/>
    <x v="10"/>
    <x v="1"/>
    <x v="0"/>
    <x v="0"/>
    <x v="2"/>
    <n v="5150"/>
    <n v="1882.01"/>
    <m/>
    <n v="27.24"/>
    <n v="1969.17"/>
    <n v="1"/>
    <n v="2.6"/>
  </r>
  <r>
    <n v="14799"/>
    <s v="Kitchen"/>
    <s v="Kitchen Island"/>
    <x v="10"/>
    <x v="4"/>
    <x v="0"/>
    <x v="1"/>
    <x v="1"/>
    <n v="4131"/>
    <n v="1693.76"/>
    <n v="130.59"/>
    <n v="0"/>
    <n v="1824.35"/>
    <n v="14"/>
    <n v="1.9"/>
  </r>
  <r>
    <n v="47501"/>
    <s v="Living Room"/>
    <s v="Coffee Table"/>
    <x v="9"/>
    <x v="0"/>
    <x v="0"/>
    <x v="1"/>
    <x v="0"/>
    <n v="6848"/>
    <n v="2169.59"/>
    <n v="85.06"/>
    <n v="0"/>
    <n v="2254.65"/>
    <n v="7"/>
    <n v="3.6"/>
  </r>
  <r>
    <n v="16265"/>
    <s v="Dining Room"/>
    <s v="Dining Chair"/>
    <x v="3"/>
    <x v="1"/>
    <x v="0"/>
    <x v="1"/>
    <x v="5"/>
    <n v="6438"/>
    <n v="1064.3699999999999"/>
    <n v="0"/>
    <n v="0"/>
    <n v="1064.3699999999999"/>
    <n v="5"/>
    <n v="4.2"/>
  </r>
  <r>
    <n v="45811"/>
    <s v="Living Room"/>
    <s v="Armchair"/>
    <x v="0"/>
    <x v="2"/>
    <x v="1"/>
    <x v="1"/>
    <x v="6"/>
    <n v="3039"/>
    <n v="275.14999999999998"/>
    <n v="26.97"/>
    <n v="0"/>
    <n v="302.12"/>
    <n v="14"/>
    <n v="4.3"/>
  </r>
  <r>
    <n v="58237"/>
    <s v="Bedroom"/>
    <s v="Wardrobe"/>
    <x v="5"/>
    <x v="4"/>
    <x v="0"/>
    <x v="1"/>
    <x v="1"/>
    <n v="8159"/>
    <n v="2979.56"/>
    <n v="0"/>
    <n v="0"/>
    <n v="2979.56"/>
    <n v="4"/>
    <n v="2.6"/>
  </r>
  <r>
    <n v="62431"/>
    <s v="Bedroom"/>
    <s v="Chest of Drawers"/>
    <x v="9"/>
    <x v="5"/>
    <x v="0"/>
    <x v="1"/>
    <x v="3"/>
    <n v="8204"/>
    <n v="1262.67"/>
    <n v="90.31"/>
    <n v="0"/>
    <n v="1352.98"/>
    <n v="9"/>
    <n v="1.9"/>
  </r>
  <r>
    <n v="60678"/>
    <s v="Living Room"/>
    <s v="Side Table"/>
    <x v="4"/>
    <x v="3"/>
    <x v="0"/>
    <x v="1"/>
    <x v="0"/>
    <n v="6554"/>
    <n v="1526.95"/>
    <n v="126.22"/>
    <n v="0"/>
    <n v="1653.17"/>
    <n v="14"/>
    <n v="4.8"/>
  </r>
  <r>
    <n v="34486"/>
    <s v="Living Room"/>
    <s v="Armchair"/>
    <x v="12"/>
    <x v="3"/>
    <x v="0"/>
    <x v="0"/>
    <x v="4"/>
    <n v="9129"/>
    <n v="226.54"/>
    <n v="82.75"/>
    <n v="40.450000000000003"/>
    <n v="349.74"/>
    <n v="9"/>
    <n v="1.3"/>
  </r>
  <r>
    <n v="75211"/>
    <s v="Outdoor"/>
    <s v="Garden Chair"/>
    <x v="4"/>
    <x v="1"/>
    <x v="0"/>
    <x v="0"/>
    <x v="2"/>
    <n v="7018"/>
    <n v="1772.63"/>
    <n v="127.76"/>
    <n v="82.63"/>
    <n v="1983.02"/>
    <n v="4"/>
    <n v="3.1"/>
  </r>
  <r>
    <n v="78062"/>
    <s v="Office"/>
    <s v="Bookshelf"/>
    <x v="0"/>
    <x v="3"/>
    <x v="0"/>
    <x v="0"/>
    <x v="0"/>
    <n v="5369"/>
    <n v="1016.15"/>
    <n v="0"/>
    <n v="40.96"/>
    <n v="1057.1099999999999"/>
    <n v="10"/>
    <n v="1.4"/>
  </r>
  <r>
    <n v="20828"/>
    <s v="Bedroom"/>
    <s v="Dresser"/>
    <x v="5"/>
    <x v="0"/>
    <x v="0"/>
    <x v="0"/>
    <x v="0"/>
    <n v="7955"/>
    <n v="896.68"/>
    <n v="0"/>
    <n v="276.69"/>
    <n v="1173.3699999999999"/>
    <n v="14"/>
    <n v="1.4"/>
  </r>
  <r>
    <n v="20345"/>
    <s v="Office"/>
    <s v="Office Chair"/>
    <x v="1"/>
    <x v="2"/>
    <x v="1"/>
    <x v="1"/>
    <x v="0"/>
    <n v="8055"/>
    <n v="378.62"/>
    <n v="56.49"/>
    <n v="0"/>
    <n v="435.11"/>
    <n v="11"/>
    <n v="4.2"/>
  </r>
  <r>
    <n v="88964"/>
    <s v="Bedroom"/>
    <s v="Chest of Drawers"/>
    <x v="7"/>
    <x v="3"/>
    <x v="0"/>
    <x v="1"/>
    <x v="5"/>
    <n v="3956"/>
    <n v="1766.79"/>
    <n v="53.15"/>
    <m/>
    <n v="1819.94"/>
    <n v="6"/>
    <n v="3.5"/>
  </r>
  <r>
    <n v="81496"/>
    <s v="Kitchen"/>
    <s v="Kitchen Cabinet"/>
    <x v="12"/>
    <x v="5"/>
    <x v="0"/>
    <x v="0"/>
    <x v="0"/>
    <n v="5813"/>
    <n v="2338.48"/>
    <n v="0"/>
    <m/>
    <n v="2376.4299999999998"/>
    <n v="13"/>
    <n v="4.5"/>
  </r>
  <r>
    <n v="52101"/>
    <s v="Dining Room"/>
    <s v="Dining Chair"/>
    <x v="8"/>
    <x v="1"/>
    <x v="0"/>
    <x v="1"/>
    <x v="3"/>
    <n v="2680"/>
    <n v="517.54999999999995"/>
    <n v="143.97999999999999"/>
    <m/>
    <n v="661.53"/>
    <n v="5"/>
    <n v="4.8"/>
  </r>
  <r>
    <n v="20494"/>
    <s v="Outdoor"/>
    <s v="Outdoor Table"/>
    <x v="9"/>
    <x v="2"/>
    <x v="1"/>
    <x v="1"/>
    <x v="1"/>
    <n v="6372"/>
    <n v="920.62"/>
    <n v="93.61"/>
    <n v="0"/>
    <n v="1014.23"/>
    <n v="4"/>
    <n v="1.8"/>
  </r>
  <r>
    <n v="96628"/>
    <s v="Living Room"/>
    <s v="Ottoman"/>
    <x v="8"/>
    <x v="4"/>
    <x v="0"/>
    <x v="0"/>
    <x v="0"/>
    <n v="5843"/>
    <n v="2024.25"/>
    <n v="66.569999999999993"/>
    <n v="215.02"/>
    <n v="2305.84"/>
    <n v="8"/>
    <n v="4"/>
  </r>
  <r>
    <n v="50173"/>
    <s v="Kitchen"/>
    <s v="Pantry Cabinet"/>
    <x v="3"/>
    <x v="2"/>
    <x v="1"/>
    <x v="0"/>
    <x v="3"/>
    <n v="8305"/>
    <n v="1244.49"/>
    <n v="87.4"/>
    <n v="175.09"/>
    <n v="1506.98"/>
    <n v="1"/>
    <n v="2"/>
  </r>
  <r>
    <n v="88986"/>
    <s v="Outdoor"/>
    <s v="Umbrella"/>
    <x v="6"/>
    <x v="2"/>
    <x v="1"/>
    <x v="0"/>
    <x v="6"/>
    <n v="7981"/>
    <n v="731.22"/>
    <n v="0"/>
    <n v="142.94"/>
    <n v="874.16"/>
    <n v="3"/>
    <n v="1.3"/>
  </r>
  <r>
    <n v="31842"/>
    <s v="Bedroom"/>
    <s v="Dresser"/>
    <x v="7"/>
    <x v="3"/>
    <x v="0"/>
    <x v="0"/>
    <x v="1"/>
    <n v="8272"/>
    <n v="498.57"/>
    <n v="48.89"/>
    <n v="121.38"/>
    <n v="668.84"/>
    <n v="10"/>
    <n v="4.5999999999999996"/>
  </r>
  <r>
    <n v="56077"/>
    <s v="Dining Room"/>
    <s v="China Cabinet"/>
    <x v="6"/>
    <x v="3"/>
    <x v="0"/>
    <x v="1"/>
    <x v="3"/>
    <n v="8325"/>
    <n v="503.13"/>
    <n v="0"/>
    <n v="0"/>
    <n v="503.13"/>
    <n v="12"/>
    <n v="4.5"/>
  </r>
  <r>
    <n v="15551"/>
    <s v="Outdoor"/>
    <s v="Lounge Chair"/>
    <x v="3"/>
    <x v="3"/>
    <x v="0"/>
    <x v="0"/>
    <x v="0"/>
    <n v="6776"/>
    <n v="1275.52"/>
    <n v="131.34"/>
    <n v="52.48"/>
    <n v="1459.34"/>
    <n v="8"/>
    <n v="5"/>
  </r>
  <r>
    <n v="90589"/>
    <s v="Office"/>
    <s v="Desk"/>
    <x v="10"/>
    <x v="2"/>
    <x v="1"/>
    <x v="0"/>
    <x v="5"/>
    <n v="8126"/>
    <n v="934.03"/>
    <n v="73.64"/>
    <n v="101.78"/>
    <n v="1109.45"/>
    <n v="13"/>
    <n v="5"/>
  </r>
  <r>
    <n v="45986"/>
    <s v="Office"/>
    <s v="Office Chair"/>
    <x v="11"/>
    <x v="2"/>
    <x v="1"/>
    <x v="0"/>
    <x v="2"/>
    <n v="1939"/>
    <n v="1352.08"/>
    <m/>
    <n v="36.75"/>
    <n v="1442.74"/>
    <n v="14"/>
    <n v="3.9"/>
  </r>
  <r>
    <n v="19835"/>
    <s v="Dining Room"/>
    <s v="Buffet"/>
    <x v="11"/>
    <x v="1"/>
    <x v="0"/>
    <x v="1"/>
    <x v="1"/>
    <n v="7655"/>
    <n v="251.56"/>
    <n v="83.1"/>
    <n v="0"/>
    <n v="334.66"/>
    <n v="10"/>
    <m/>
  </r>
  <r>
    <n v="57619"/>
    <s v="Office"/>
    <s v="Office Chair"/>
    <x v="8"/>
    <x v="1"/>
    <x v="0"/>
    <x v="0"/>
    <x v="4"/>
    <n v="9406"/>
    <n v="1277.17"/>
    <n v="60.27"/>
    <n v="45.64"/>
    <n v="1383.08"/>
    <n v="3"/>
    <m/>
  </r>
  <r>
    <n v="99051"/>
    <s v="Office"/>
    <s v="Desk"/>
    <x v="9"/>
    <x v="3"/>
    <x v="0"/>
    <x v="1"/>
    <x v="6"/>
    <n v="3621"/>
    <n v="321.67"/>
    <n v="39.340000000000003"/>
    <n v="0"/>
    <n v="361.01"/>
    <n v="14"/>
    <n v="5"/>
  </r>
  <r>
    <n v="14081"/>
    <s v="Living Room"/>
    <s v="Sofa"/>
    <x v="3"/>
    <x v="2"/>
    <x v="1"/>
    <x v="1"/>
    <x v="4"/>
    <n v="3339"/>
    <n v="310.41000000000003"/>
    <n v="47.82"/>
    <n v="0"/>
    <n v="358.23"/>
    <n v="6"/>
    <n v="4.2"/>
  </r>
  <r>
    <n v="89635"/>
    <s v="Bedroom"/>
    <s v="Mattress"/>
    <x v="0"/>
    <x v="0"/>
    <x v="0"/>
    <x v="1"/>
    <x v="4"/>
    <n v="8179"/>
    <n v="1812.84"/>
    <n v="0"/>
    <n v="0"/>
    <n v="1812.84"/>
    <n v="14"/>
    <m/>
  </r>
  <r>
    <n v="14561"/>
    <s v="Office"/>
    <s v="Office Chair"/>
    <x v="12"/>
    <x v="0"/>
    <x v="0"/>
    <x v="1"/>
    <x v="5"/>
    <n v="3068"/>
    <n v="820.9"/>
    <n v="0"/>
    <n v="0"/>
    <n v="820.9"/>
    <n v="11"/>
    <n v="2.1"/>
  </r>
  <r>
    <n v="18812"/>
    <s v="Living Room"/>
    <s v="TV Stand"/>
    <x v="5"/>
    <x v="1"/>
    <x v="0"/>
    <x v="0"/>
    <x v="5"/>
    <n v="4866"/>
    <n v="1962.26"/>
    <n v="85.3"/>
    <n v="84.75"/>
    <n v="2132.31"/>
    <n v="2"/>
    <n v="1.2"/>
  </r>
  <r>
    <n v="94562"/>
    <s v="Office"/>
    <s v="Filing Cabinet"/>
    <x v="7"/>
    <x v="3"/>
    <x v="0"/>
    <x v="0"/>
    <x v="5"/>
    <n v="7001"/>
    <n v="346.84"/>
    <n v="32.840000000000003"/>
    <n v="176.05"/>
    <n v="555.73"/>
    <n v="5"/>
    <n v="3.6"/>
  </r>
  <r>
    <n v="57467"/>
    <s v="Bedroom"/>
    <s v="Dresser"/>
    <x v="12"/>
    <x v="1"/>
    <x v="0"/>
    <x v="0"/>
    <x v="0"/>
    <n v="7272"/>
    <n v="1248.8900000000001"/>
    <n v="112.05"/>
    <n v="178.19"/>
    <n v="1539.13"/>
    <n v="5"/>
    <n v="3.7"/>
  </r>
  <r>
    <n v="84349"/>
    <s v="Bedroom"/>
    <s v="Nightstand"/>
    <x v="7"/>
    <x v="0"/>
    <x v="0"/>
    <x v="1"/>
    <x v="6"/>
    <n v="1530"/>
    <n v="2647.16"/>
    <n v="74.06"/>
    <n v="0"/>
    <n v="2721.22"/>
    <n v="3"/>
    <n v="2.9"/>
  </r>
  <r>
    <n v="89310"/>
    <s v="Dining Room"/>
    <s v="Dining Table"/>
    <x v="7"/>
    <x v="2"/>
    <x v="1"/>
    <x v="1"/>
    <x v="0"/>
    <n v="3513"/>
    <n v="1861.16"/>
    <n v="0"/>
    <n v="0"/>
    <n v="1861.16"/>
    <n v="4"/>
    <n v="3"/>
  </r>
  <r>
    <n v="99006"/>
    <s v="Office"/>
    <s v="Bookshelf"/>
    <x v="4"/>
    <x v="0"/>
    <x v="0"/>
    <x v="1"/>
    <x v="5"/>
    <n v="8371"/>
    <n v="605.09"/>
    <n v="0"/>
    <n v="0"/>
    <n v="605.09"/>
    <n v="12"/>
    <n v="1.8"/>
  </r>
  <r>
    <n v="58623"/>
    <s v="Kitchen"/>
    <s v="Kitchen Cabinet"/>
    <x v="5"/>
    <x v="4"/>
    <x v="0"/>
    <x v="0"/>
    <x v="6"/>
    <n v="7095"/>
    <n v="1465.04"/>
    <n v="93.36"/>
    <n v="97.95"/>
    <n v="1656.35"/>
    <n v="4"/>
    <m/>
  </r>
  <r>
    <n v="68188"/>
    <s v="Bedroom"/>
    <s v="Bed Frame"/>
    <x v="9"/>
    <x v="2"/>
    <x v="1"/>
    <x v="1"/>
    <x v="1"/>
    <n v="2259"/>
    <n v="1666.58"/>
    <n v="0"/>
    <n v="0"/>
    <n v="1666.58"/>
    <n v="7"/>
    <n v="1.9"/>
  </r>
  <r>
    <n v="85225"/>
    <s v="Bedroom"/>
    <s v="Mattress"/>
    <x v="1"/>
    <x v="4"/>
    <x v="0"/>
    <x v="1"/>
    <x v="4"/>
    <n v="3255"/>
    <n v="2389.3200000000002"/>
    <n v="78.8"/>
    <n v="0"/>
    <n v="2468.12"/>
    <n v="12"/>
    <m/>
  </r>
  <r>
    <n v="79397"/>
    <s v="Kitchen"/>
    <s v="Pantry Cabinet"/>
    <x v="1"/>
    <x v="3"/>
    <x v="0"/>
    <x v="0"/>
    <x v="4"/>
    <n v="7012"/>
    <n v="1926"/>
    <n v="118.79"/>
    <n v="168.14"/>
    <n v="2212.9299999999998"/>
    <n v="3"/>
    <n v="4.5999999999999996"/>
  </r>
  <r>
    <n v="62171"/>
    <s v="Office"/>
    <s v="Filing Cabinet"/>
    <x v="5"/>
    <x v="4"/>
    <x v="0"/>
    <x v="1"/>
    <x v="6"/>
    <n v="6150"/>
    <n v="554.36"/>
    <n v="0"/>
    <n v="0"/>
    <n v="554.36"/>
    <n v="2"/>
    <n v="4"/>
  </r>
  <r>
    <n v="95139"/>
    <s v="Office"/>
    <s v="Computer Table"/>
    <x v="5"/>
    <x v="4"/>
    <x v="0"/>
    <x v="1"/>
    <x v="4"/>
    <n v="5566"/>
    <n v="81.430000000000007"/>
    <n v="90.49"/>
    <n v="0"/>
    <n v="171.92"/>
    <n v="2"/>
    <m/>
  </r>
  <r>
    <n v="42717"/>
    <s v="Dining Room"/>
    <s v="Dining Chair"/>
    <x v="9"/>
    <x v="2"/>
    <x v="1"/>
    <x v="0"/>
    <x v="3"/>
    <n v="2858"/>
    <n v="1098.01"/>
    <n v="0"/>
    <n v="27.5"/>
    <n v="1125.51"/>
    <n v="13"/>
    <n v="2.8"/>
  </r>
  <r>
    <n v="13396"/>
    <s v="Dining Room"/>
    <s v="Buffet"/>
    <x v="6"/>
    <x v="4"/>
    <x v="0"/>
    <x v="1"/>
    <x v="1"/>
    <n v="4048"/>
    <n v="581.72"/>
    <n v="132.77000000000001"/>
    <n v="0"/>
    <n v="714.49"/>
    <n v="12"/>
    <n v="3.1"/>
  </r>
  <r>
    <n v="75410"/>
    <s v="Living Room"/>
    <s v="TV Stand"/>
    <x v="8"/>
    <x v="0"/>
    <x v="0"/>
    <x v="1"/>
    <x v="0"/>
    <n v="9482"/>
    <n v="1777.3"/>
    <m/>
    <n v="0"/>
    <n v="1829.37"/>
    <n v="14"/>
    <n v="5"/>
  </r>
  <r>
    <n v="60723"/>
    <s v="Bedroom"/>
    <s v="Wardrobe"/>
    <x v="6"/>
    <x v="1"/>
    <x v="0"/>
    <x v="0"/>
    <x v="3"/>
    <n v="2929"/>
    <n v="2261.89"/>
    <n v="85.94"/>
    <n v="96.03"/>
    <n v="2443.86"/>
    <n v="7"/>
    <n v="4.9000000000000004"/>
  </r>
  <r>
    <n v="44311"/>
    <s v="Office"/>
    <s v="Computer Table"/>
    <x v="11"/>
    <x v="2"/>
    <x v="1"/>
    <x v="1"/>
    <x v="5"/>
    <n v="5264"/>
    <n v="328.43"/>
    <n v="93.27"/>
    <n v="0"/>
    <n v="421.7"/>
    <n v="6"/>
    <n v="2.7"/>
  </r>
  <r>
    <n v="68493"/>
    <s v="Living Room"/>
    <s v="Ottoman"/>
    <x v="8"/>
    <x v="2"/>
    <x v="1"/>
    <x v="1"/>
    <x v="0"/>
    <n v="4515"/>
    <n v="1396.18"/>
    <n v="111.24"/>
    <n v="0"/>
    <n v="1507.42"/>
    <n v="13"/>
    <n v="4.9000000000000004"/>
  </r>
  <r>
    <n v="90199"/>
    <s v="Living Room"/>
    <s v="Armchair"/>
    <x v="2"/>
    <x v="2"/>
    <x v="1"/>
    <x v="0"/>
    <x v="0"/>
    <n v="5678"/>
    <n v="2332.64"/>
    <n v="0"/>
    <n v="162.38"/>
    <n v="2495.02"/>
    <n v="11"/>
    <n v="2.9"/>
  </r>
  <r>
    <n v="74382"/>
    <s v="Office"/>
    <s v="Office Chair"/>
    <x v="5"/>
    <x v="3"/>
    <x v="0"/>
    <x v="0"/>
    <x v="6"/>
    <n v="4279"/>
    <n v="388.6"/>
    <n v="86.91"/>
    <n v="37.21"/>
    <n v="512.72"/>
    <n v="1"/>
    <n v="3.6"/>
  </r>
  <r>
    <n v="26074"/>
    <s v="Bedroom"/>
    <s v="Dresser"/>
    <x v="0"/>
    <x v="3"/>
    <x v="0"/>
    <x v="0"/>
    <x v="6"/>
    <n v="3223"/>
    <n v="2654.36"/>
    <n v="100.2"/>
    <n v="42.83"/>
    <n v="2797.39"/>
    <n v="3"/>
    <n v="1.8"/>
  </r>
  <r>
    <n v="19706"/>
    <s v="Bedroom"/>
    <s v="Bed Frame"/>
    <x v="11"/>
    <x v="2"/>
    <x v="1"/>
    <x v="1"/>
    <x v="3"/>
    <n v="8406"/>
    <n v="1498.56"/>
    <n v="131.16999999999999"/>
    <n v="0"/>
    <n v="1629.73"/>
    <n v="7"/>
    <n v="4.5999999999999996"/>
  </r>
  <r>
    <n v="32630"/>
    <s v="Dining Room"/>
    <s v="Dining Chair"/>
    <x v="2"/>
    <x v="2"/>
    <x v="1"/>
    <x v="0"/>
    <x v="3"/>
    <n v="8292"/>
    <n v="1171.42"/>
    <n v="82.25"/>
    <n v="62.5"/>
    <n v="1316.17"/>
    <n v="7"/>
    <n v="2.2000000000000002"/>
  </r>
  <r>
    <n v="21506"/>
    <s v="Outdoor"/>
    <s v="Lounge Chair"/>
    <x v="10"/>
    <x v="1"/>
    <x v="0"/>
    <x v="1"/>
    <x v="6"/>
    <n v="6236"/>
    <n v="1050.6199999999999"/>
    <n v="137.59"/>
    <n v="0"/>
    <n v="1188.21"/>
    <n v="2"/>
    <m/>
  </r>
  <r>
    <n v="97535"/>
    <s v="Kitchen"/>
    <s v="Kitchen Cabinet"/>
    <x v="7"/>
    <x v="3"/>
    <x v="0"/>
    <x v="1"/>
    <x v="2"/>
    <n v="6692"/>
    <n v="1330.43"/>
    <n v="92.05"/>
    <n v="0"/>
    <n v="1422.48"/>
    <n v="8"/>
    <m/>
  </r>
  <r>
    <n v="18511"/>
    <s v="Office"/>
    <s v="Office Chair"/>
    <x v="5"/>
    <x v="0"/>
    <x v="0"/>
    <x v="0"/>
    <x v="5"/>
    <n v="9882"/>
    <n v="1153.32"/>
    <n v="80.239999999999995"/>
    <n v="112.73"/>
    <n v="1346.29"/>
    <n v="9"/>
    <n v="4.5"/>
  </r>
  <r>
    <n v="48058"/>
    <s v="Office"/>
    <s v="Office Chair"/>
    <x v="0"/>
    <x v="3"/>
    <x v="0"/>
    <x v="0"/>
    <x v="2"/>
    <n v="5914"/>
    <n v="737.19"/>
    <n v="101.8"/>
    <n v="26.37"/>
    <n v="865.36"/>
    <n v="14"/>
    <n v="1.4"/>
  </r>
  <r>
    <n v="30644"/>
    <s v="Dining Room"/>
    <s v="China Cabinet"/>
    <x v="4"/>
    <x v="1"/>
    <x v="0"/>
    <x v="0"/>
    <x v="4"/>
    <n v="3852"/>
    <n v="1014.79"/>
    <n v="56.09"/>
    <n v="75.81"/>
    <n v="1146.69"/>
    <n v="9"/>
    <n v="3"/>
  </r>
  <r>
    <n v="57381"/>
    <s v="Bedroom"/>
    <s v="Dresser"/>
    <x v="5"/>
    <x v="5"/>
    <x v="0"/>
    <x v="1"/>
    <x v="3"/>
    <n v="9335"/>
    <n v="1940.48"/>
    <n v="143.65"/>
    <n v="0"/>
    <n v="2084.13"/>
    <n v="10"/>
    <n v="1.5"/>
  </r>
  <r>
    <n v="39391"/>
    <s v="Living Room"/>
    <s v="Ottoman"/>
    <x v="5"/>
    <x v="3"/>
    <x v="0"/>
    <x v="1"/>
    <x v="6"/>
    <n v="2988"/>
    <n v="422.79"/>
    <n v="40.32"/>
    <n v="0"/>
    <n v="463.11"/>
    <n v="1"/>
    <n v="2.8"/>
  </r>
  <r>
    <n v="36342"/>
    <s v="Office"/>
    <s v="Filing Cabinet"/>
    <x v="6"/>
    <x v="4"/>
    <x v="0"/>
    <x v="1"/>
    <x v="0"/>
    <n v="3275"/>
    <n v="1475.43"/>
    <n v="134.16999999999999"/>
    <n v="0"/>
    <n v="1609.6"/>
    <n v="14"/>
    <n v="2.8"/>
  </r>
  <r>
    <n v="41029"/>
    <s v="Office"/>
    <s v="Desk"/>
    <x v="11"/>
    <x v="2"/>
    <x v="1"/>
    <x v="0"/>
    <x v="4"/>
    <n v="9094"/>
    <n v="983.4"/>
    <n v="0"/>
    <n v="75.58"/>
    <n v="1058.98"/>
    <n v="12"/>
    <n v="2.9"/>
  </r>
  <r>
    <n v="13445"/>
    <s v="Living Room"/>
    <s v="Ottoman"/>
    <x v="11"/>
    <x v="0"/>
    <x v="0"/>
    <x v="0"/>
    <x v="0"/>
    <n v="6912"/>
    <n v="1333.82"/>
    <n v="89.12"/>
    <n v="212.53"/>
    <n v="1635.47"/>
    <n v="7"/>
    <m/>
  </r>
  <r>
    <n v="82616"/>
    <s v="Kitchen"/>
    <s v="Pantry Cabinet"/>
    <x v="1"/>
    <x v="0"/>
    <x v="0"/>
    <x v="1"/>
    <x v="4"/>
    <n v="7044"/>
    <n v="324.24"/>
    <n v="47.71"/>
    <n v="0"/>
    <n v="371.95"/>
    <n v="1"/>
    <n v="2.4"/>
  </r>
  <r>
    <n v="71263"/>
    <s v="Office"/>
    <s v="Bookshelf"/>
    <x v="6"/>
    <x v="5"/>
    <x v="0"/>
    <x v="0"/>
    <x v="6"/>
    <n v="3126"/>
    <n v="92.95"/>
    <n v="36.869999999999997"/>
    <n v="190.26"/>
    <n v="320.08"/>
    <n v="9"/>
    <n v="1.3"/>
  </r>
  <r>
    <n v="90209"/>
    <s v="Outdoor"/>
    <s v="Umbrella"/>
    <x v="3"/>
    <x v="3"/>
    <x v="0"/>
    <x v="1"/>
    <x v="2"/>
    <n v="2412"/>
    <n v="709.83"/>
    <n v="128.66999999999999"/>
    <n v="0"/>
    <n v="838.5"/>
    <n v="13"/>
    <n v="2.2000000000000002"/>
  </r>
  <r>
    <n v="18617"/>
    <s v="Outdoor"/>
    <s v="Lounge Chair"/>
    <x v="0"/>
    <x v="2"/>
    <x v="1"/>
    <x v="1"/>
    <x v="3"/>
    <n v="6067"/>
    <n v="771.26"/>
    <n v="115.9"/>
    <n v="0"/>
    <n v="887.16"/>
    <n v="3"/>
    <n v="3.4"/>
  </r>
  <r>
    <n v="62187"/>
    <s v="Kitchen"/>
    <s v="Pantry Cabinet"/>
    <x v="8"/>
    <x v="5"/>
    <x v="0"/>
    <x v="0"/>
    <x v="2"/>
    <n v="8842"/>
    <n v="448.65"/>
    <n v="27.21"/>
    <n v="54.83"/>
    <n v="530.69000000000005"/>
    <n v="2"/>
    <n v="3.7"/>
  </r>
  <r>
    <n v="78903"/>
    <s v="Outdoor"/>
    <s v="Garden Chair"/>
    <x v="5"/>
    <x v="4"/>
    <x v="0"/>
    <x v="1"/>
    <x v="6"/>
    <n v="7730"/>
    <n v="323.95999999999998"/>
    <n v="91.06"/>
    <n v="0"/>
    <n v="415.02"/>
    <n v="13"/>
    <n v="4.7"/>
  </r>
  <r>
    <n v="63665"/>
    <s v="Living Room"/>
    <s v="Sofa"/>
    <x v="1"/>
    <x v="2"/>
    <x v="1"/>
    <x v="1"/>
    <x v="0"/>
    <n v="2208"/>
    <n v="2147.64"/>
    <n v="0"/>
    <n v="0"/>
    <n v="2147.64"/>
    <n v="10"/>
    <n v="1.1000000000000001"/>
  </r>
  <r>
    <n v="26426"/>
    <s v="Outdoor"/>
    <s v="Lounge Chair"/>
    <x v="9"/>
    <x v="5"/>
    <x v="0"/>
    <x v="0"/>
    <x v="1"/>
    <n v="6194"/>
    <n v="773.09"/>
    <n v="107.38"/>
    <n v="62.62"/>
    <n v="943.09"/>
    <n v="8"/>
    <n v="1.9"/>
  </r>
  <r>
    <n v="94192"/>
    <s v="Kitchen"/>
    <s v="Bar Cart"/>
    <x v="3"/>
    <x v="4"/>
    <x v="0"/>
    <x v="0"/>
    <x v="3"/>
    <n v="2215"/>
    <n v="489.24"/>
    <n v="26.82"/>
    <n v="51.66"/>
    <n v="567.72"/>
    <n v="3"/>
    <n v="2.4"/>
  </r>
  <r>
    <n v="68979"/>
    <s v="Living Room"/>
    <s v="TV Stand"/>
    <x v="10"/>
    <x v="4"/>
    <x v="0"/>
    <x v="1"/>
    <x v="6"/>
    <n v="8632"/>
    <n v="626.20000000000005"/>
    <n v="141.1"/>
    <n v="0"/>
    <n v="767.3"/>
    <n v="4"/>
    <n v="3.3"/>
  </r>
  <r>
    <n v="99143"/>
    <s v="Dining Room"/>
    <s v="China Cabinet"/>
    <x v="0"/>
    <x v="3"/>
    <x v="0"/>
    <x v="1"/>
    <x v="5"/>
    <n v="9476"/>
    <n v="1809.54"/>
    <n v="130.16"/>
    <n v="0"/>
    <n v="1939.7"/>
    <n v="7"/>
    <n v="4.5"/>
  </r>
  <r>
    <n v="55156"/>
    <s v="Kitchen"/>
    <s v="Kitchen Cabinet"/>
    <x v="11"/>
    <x v="0"/>
    <x v="0"/>
    <x v="1"/>
    <x v="4"/>
    <n v="3102"/>
    <n v="522.01"/>
    <n v="55.15"/>
    <n v="0"/>
    <n v="577.16"/>
    <n v="1"/>
    <n v="4.8"/>
  </r>
  <r>
    <n v="82260"/>
    <s v="Dining Room"/>
    <s v="Dining Table"/>
    <x v="7"/>
    <x v="4"/>
    <x v="0"/>
    <x v="1"/>
    <x v="3"/>
    <n v="3981"/>
    <n v="1757.64"/>
    <n v="0"/>
    <n v="0"/>
    <n v="1757.64"/>
    <n v="2"/>
    <n v="2"/>
  </r>
  <r>
    <n v="26912"/>
    <s v="Dining Room"/>
    <s v="Buffet"/>
    <x v="3"/>
    <x v="2"/>
    <x v="1"/>
    <x v="1"/>
    <x v="5"/>
    <n v="8088"/>
    <n v="1275.43"/>
    <n v="139.18"/>
    <n v="0"/>
    <n v="1414.61"/>
    <n v="5"/>
    <n v="1.1000000000000001"/>
  </r>
  <r>
    <n v="75911"/>
    <s v="Dining Room"/>
    <s v="Dining Table"/>
    <x v="4"/>
    <x v="0"/>
    <x v="0"/>
    <x v="1"/>
    <x v="0"/>
    <n v="1907"/>
    <n v="364.65"/>
    <n v="66.03"/>
    <n v="0"/>
    <n v="430.68"/>
    <n v="13"/>
    <n v="4.5"/>
  </r>
  <r>
    <n v="26274"/>
    <s v="Kitchen"/>
    <s v="Kitchen Island"/>
    <x v="7"/>
    <x v="0"/>
    <x v="0"/>
    <x v="1"/>
    <x v="5"/>
    <n v="9488"/>
    <n v="1060.8599999999999"/>
    <n v="0"/>
    <n v="0"/>
    <n v="1060.8599999999999"/>
    <n v="10"/>
    <n v="4.7"/>
  </r>
  <r>
    <n v="30056"/>
    <s v="Dining Room"/>
    <s v="Dining Table"/>
    <x v="4"/>
    <x v="3"/>
    <x v="0"/>
    <x v="0"/>
    <x v="0"/>
    <n v="5982"/>
    <n v="297.72000000000003"/>
    <n v="62.24"/>
    <n v="143.15"/>
    <n v="503.11"/>
    <n v="5"/>
    <n v="4.5"/>
  </r>
  <r>
    <n v="31581"/>
    <s v="Living Room"/>
    <s v="Coffee Table"/>
    <x v="9"/>
    <x v="0"/>
    <x v="0"/>
    <x v="0"/>
    <x v="3"/>
    <n v="3653"/>
    <n v="1428.63"/>
    <n v="118.19"/>
    <n v="157.82"/>
    <n v="1704.64"/>
    <n v="13"/>
    <n v="1.5"/>
  </r>
  <r>
    <n v="52291"/>
    <s v="Bedroom"/>
    <s v="Bed Frame"/>
    <x v="5"/>
    <x v="5"/>
    <x v="0"/>
    <x v="1"/>
    <x v="5"/>
    <n v="4694"/>
    <n v="1398.17"/>
    <n v="148.25"/>
    <n v="0"/>
    <n v="1546.42"/>
    <n v="6"/>
    <n v="2.7"/>
  </r>
  <r>
    <n v="55353"/>
    <s v="Living Room"/>
    <s v="Ottoman"/>
    <x v="1"/>
    <x v="0"/>
    <x v="0"/>
    <x v="0"/>
    <x v="5"/>
    <n v="9501"/>
    <n v="223.11"/>
    <n v="55.98"/>
    <n v="46.83"/>
    <n v="325.92"/>
    <n v="4"/>
    <n v="1.3"/>
  </r>
  <r>
    <n v="47230"/>
    <s v="Dining Room"/>
    <s v="Dining Table"/>
    <x v="2"/>
    <x v="1"/>
    <x v="0"/>
    <x v="1"/>
    <x v="0"/>
    <n v="2292"/>
    <n v="696.84"/>
    <n v="139.04"/>
    <n v="0"/>
    <n v="835.88"/>
    <n v="3"/>
    <n v="2.9"/>
  </r>
  <r>
    <n v="42847"/>
    <s v="Living Room"/>
    <s v="TV Stand"/>
    <x v="12"/>
    <x v="4"/>
    <x v="0"/>
    <x v="1"/>
    <x v="6"/>
    <n v="4216"/>
    <n v="2358.25"/>
    <n v="0"/>
    <n v="0"/>
    <n v="2358.25"/>
    <n v="14"/>
    <n v="3.9"/>
  </r>
  <r>
    <n v="93238"/>
    <s v="Outdoor"/>
    <s v="Garden Chair"/>
    <x v="11"/>
    <x v="3"/>
    <x v="0"/>
    <x v="0"/>
    <x v="5"/>
    <n v="5496"/>
    <n v="1019.29"/>
    <n v="0"/>
    <n v="33.67"/>
    <n v="1052.96"/>
    <n v="7"/>
    <n v="3.5"/>
  </r>
  <r>
    <n v="26406"/>
    <s v="Bedroom"/>
    <s v="Wardrobe"/>
    <x v="4"/>
    <x v="1"/>
    <x v="0"/>
    <x v="1"/>
    <x v="1"/>
    <n v="5961"/>
    <n v="807.03"/>
    <n v="71.08"/>
    <n v="0"/>
    <n v="878.11"/>
    <n v="12"/>
    <n v="1.6"/>
  </r>
  <r>
    <n v="90534"/>
    <s v="Outdoor"/>
    <s v="Lounge Chair"/>
    <x v="5"/>
    <x v="2"/>
    <x v="1"/>
    <x v="0"/>
    <x v="2"/>
    <n v="9740"/>
    <n v="1722.52"/>
    <n v="0"/>
    <n v="127.8"/>
    <n v="1850.32"/>
    <n v="7"/>
    <n v="4.9000000000000004"/>
  </r>
  <r>
    <n v="22245"/>
    <s v="Kitchen"/>
    <s v="Pantry Cabinet"/>
    <x v="6"/>
    <x v="2"/>
    <x v="1"/>
    <x v="0"/>
    <x v="0"/>
    <n v="9234"/>
    <n v="1389.79"/>
    <n v="88.47"/>
    <n v="60.29"/>
    <n v="1538.55"/>
    <n v="3"/>
    <n v="3.1"/>
  </r>
  <r>
    <n v="94015"/>
    <s v="Kitchen"/>
    <s v="Kitchen Cabinet"/>
    <x v="0"/>
    <x v="5"/>
    <x v="0"/>
    <x v="1"/>
    <x v="2"/>
    <n v="3762"/>
    <n v="2361.89"/>
    <n v="125.45"/>
    <n v="0"/>
    <n v="2487.34"/>
    <n v="14"/>
    <n v="4.2"/>
  </r>
  <r>
    <n v="87569"/>
    <s v="Living Room"/>
    <s v="TV Stand"/>
    <x v="7"/>
    <x v="0"/>
    <x v="0"/>
    <x v="0"/>
    <x v="1"/>
    <n v="3526"/>
    <n v="1869.31"/>
    <n v="136.57"/>
    <n v="38.83"/>
    <n v="2044.71"/>
    <n v="12"/>
    <n v="2.1"/>
  </r>
  <r>
    <n v="32439"/>
    <s v="Kitchen"/>
    <s v="Kitchen Cabinet"/>
    <x v="2"/>
    <x v="5"/>
    <x v="0"/>
    <x v="0"/>
    <x v="2"/>
    <n v="6531"/>
    <n v="657.61"/>
    <n v="124.56"/>
    <n v="95.39"/>
    <n v="877.56"/>
    <n v="5"/>
    <n v="4.8"/>
  </r>
  <r>
    <n v="83874"/>
    <s v="Kitchen"/>
    <s v="Kitchen Cabinet"/>
    <x v="0"/>
    <x v="3"/>
    <x v="0"/>
    <x v="1"/>
    <x v="0"/>
    <n v="1674"/>
    <n v="1042.57"/>
    <n v="111.55"/>
    <n v="0"/>
    <n v="1154.1199999999999"/>
    <n v="5"/>
    <n v="4.0999999999999996"/>
  </r>
  <r>
    <n v="13718"/>
    <s v="Dining Room"/>
    <s v="China Cabinet"/>
    <x v="5"/>
    <x v="0"/>
    <x v="0"/>
    <x v="1"/>
    <x v="0"/>
    <n v="2330"/>
    <n v="1355.48"/>
    <n v="134.76"/>
    <n v="0"/>
    <n v="1490.24"/>
    <n v="8"/>
    <m/>
  </r>
  <r>
    <n v="15958"/>
    <s v="Dining Room"/>
    <s v="Buffet"/>
    <x v="1"/>
    <x v="2"/>
    <x v="1"/>
    <x v="0"/>
    <x v="2"/>
    <n v="5336"/>
    <n v="1311.71"/>
    <n v="90.86"/>
    <n v="189.7"/>
    <n v="1592.27"/>
    <n v="9"/>
    <n v="1.3"/>
  </r>
  <r>
    <n v="95344"/>
    <s v="Dining Room"/>
    <s v="Bar Stool"/>
    <x v="2"/>
    <x v="1"/>
    <x v="0"/>
    <x v="0"/>
    <x v="0"/>
    <n v="4453"/>
    <n v="1751.21"/>
    <n v="0"/>
    <n v="93.56"/>
    <n v="1844.77"/>
    <n v="11"/>
    <m/>
  </r>
  <r>
    <n v="84991"/>
    <s v="Bedroom"/>
    <s v="Chest of Drawers"/>
    <x v="8"/>
    <x v="4"/>
    <x v="0"/>
    <x v="0"/>
    <x v="4"/>
    <n v="7825"/>
    <n v="1594.15"/>
    <n v="81.73"/>
    <n v="48.79"/>
    <n v="1724.67"/>
    <n v="5"/>
    <n v="1.1000000000000001"/>
  </r>
  <r>
    <n v="91016"/>
    <s v="Living Room"/>
    <s v="Ottoman"/>
    <x v="8"/>
    <x v="4"/>
    <x v="0"/>
    <x v="1"/>
    <x v="6"/>
    <n v="1496"/>
    <n v="739.8"/>
    <n v="0"/>
    <n v="0"/>
    <n v="739.8"/>
    <n v="2"/>
    <n v="1.9"/>
  </r>
  <r>
    <n v="75278"/>
    <s v="Outdoor"/>
    <s v="Lounge Chair"/>
    <x v="0"/>
    <x v="2"/>
    <x v="1"/>
    <x v="1"/>
    <x v="6"/>
    <n v="9938"/>
    <n v="267.8"/>
    <n v="56.99"/>
    <n v="0"/>
    <n v="324.79000000000002"/>
    <n v="3"/>
    <m/>
  </r>
  <r>
    <n v="47967"/>
    <s v="Office"/>
    <s v="Bookshelf"/>
    <x v="12"/>
    <x v="5"/>
    <x v="0"/>
    <x v="0"/>
    <x v="2"/>
    <n v="5949"/>
    <n v="748.37"/>
    <n v="112.19"/>
    <n v="104.46"/>
    <n v="965.02"/>
    <n v="3"/>
    <n v="1.1000000000000001"/>
  </r>
  <r>
    <n v="73300"/>
    <s v="Dining Room"/>
    <s v="China Cabinet"/>
    <x v="6"/>
    <x v="1"/>
    <x v="0"/>
    <x v="1"/>
    <x v="5"/>
    <n v="5012"/>
    <n v="1459.96"/>
    <n v="128.35"/>
    <n v="0"/>
    <n v="1588.31"/>
    <n v="4"/>
    <n v="3.3"/>
  </r>
  <r>
    <n v="99783"/>
    <s v="Office"/>
    <s v="Office Chair"/>
    <x v="7"/>
    <x v="3"/>
    <x v="0"/>
    <x v="1"/>
    <x v="3"/>
    <n v="7653"/>
    <n v="1436.35"/>
    <n v="149.22999999999999"/>
    <n v="0"/>
    <n v="1585.58"/>
    <n v="9"/>
    <n v="4.4000000000000004"/>
  </r>
  <r>
    <n v="48985"/>
    <s v="Office"/>
    <s v="Computer Table"/>
    <x v="8"/>
    <x v="5"/>
    <x v="0"/>
    <x v="1"/>
    <x v="1"/>
    <n v="8430"/>
    <n v="818.88"/>
    <n v="69.5"/>
    <n v="0"/>
    <n v="888.38"/>
    <n v="4"/>
    <n v="4.2"/>
  </r>
  <r>
    <n v="19564"/>
    <s v="Dining Room"/>
    <s v="Dining Table"/>
    <x v="7"/>
    <x v="4"/>
    <x v="0"/>
    <x v="1"/>
    <x v="0"/>
    <n v="1981"/>
    <n v="1416.84"/>
    <n v="145.76"/>
    <n v="0"/>
    <n v="1562.6"/>
    <n v="6"/>
    <m/>
  </r>
  <r>
    <n v="30719"/>
    <s v="Dining Room"/>
    <s v="Buffet"/>
    <x v="0"/>
    <x v="2"/>
    <x v="1"/>
    <x v="0"/>
    <x v="2"/>
    <n v="8202"/>
    <n v="1249.92"/>
    <n v="91.89"/>
    <n v="88.82"/>
    <n v="1430.63"/>
    <n v="7"/>
    <n v="3.7"/>
  </r>
  <r>
    <n v="64476"/>
    <s v="Dining Room"/>
    <s v="Bar Stool"/>
    <x v="6"/>
    <x v="5"/>
    <x v="0"/>
    <x v="1"/>
    <x v="5"/>
    <n v="8933"/>
    <n v="696.3"/>
    <n v="0"/>
    <n v="0"/>
    <n v="696.3"/>
    <n v="9"/>
    <n v="3.3"/>
  </r>
  <r>
    <n v="70875"/>
    <s v="Office"/>
    <s v="Office Chair"/>
    <x v="12"/>
    <x v="0"/>
    <x v="0"/>
    <x v="1"/>
    <x v="0"/>
    <n v="4342"/>
    <n v="316.81"/>
    <n v="56.4"/>
    <n v="0"/>
    <n v="373.21"/>
    <n v="12"/>
    <m/>
  </r>
  <r>
    <n v="54589"/>
    <s v="Outdoor"/>
    <s v="Garden Chair"/>
    <x v="7"/>
    <x v="5"/>
    <x v="0"/>
    <x v="1"/>
    <x v="4"/>
    <n v="3353"/>
    <n v="1783.39"/>
    <m/>
    <n v="0"/>
    <n v="1783.39"/>
    <n v="7"/>
    <n v="2.6"/>
  </r>
  <r>
    <n v="50970"/>
    <s v="Dining Room"/>
    <s v="Dining Table"/>
    <x v="6"/>
    <x v="0"/>
    <x v="0"/>
    <x v="0"/>
    <x v="4"/>
    <n v="6231"/>
    <n v="739.94"/>
    <n v="83.66"/>
    <n v="26.84"/>
    <n v="850.44"/>
    <n v="6"/>
    <n v="4.5999999999999996"/>
  </r>
  <r>
    <n v="55268"/>
    <s v="Office"/>
    <s v="Bookshelf"/>
    <x v="10"/>
    <x v="0"/>
    <x v="0"/>
    <x v="0"/>
    <x v="6"/>
    <n v="7532"/>
    <n v="1155.8800000000001"/>
    <n v="123.34"/>
    <n v="94.78"/>
    <n v="1374"/>
    <n v="10"/>
    <n v="3.7"/>
  </r>
  <r>
    <n v="27139"/>
    <s v="Office"/>
    <s v="Desk"/>
    <x v="7"/>
    <x v="4"/>
    <x v="0"/>
    <x v="0"/>
    <x v="3"/>
    <n v="7070"/>
    <n v="802.31"/>
    <n v="144.47999999999999"/>
    <n v="64.87"/>
    <n v="1011.66"/>
    <n v="6"/>
    <m/>
  </r>
  <r>
    <n v="77499"/>
    <s v="Kitchen"/>
    <s v="Pantry Cabinet"/>
    <x v="3"/>
    <x v="4"/>
    <x v="0"/>
    <x v="0"/>
    <x v="6"/>
    <n v="2739"/>
    <n v="927.57"/>
    <n v="125.73"/>
    <n v="45.35"/>
    <n v="1098.6500000000001"/>
    <n v="12"/>
    <n v="3.9"/>
  </r>
  <r>
    <n v="51827"/>
    <s v="Kitchen"/>
    <s v="Kitchen Cabinet"/>
    <x v="11"/>
    <x v="4"/>
    <x v="0"/>
    <x v="0"/>
    <x v="2"/>
    <n v="4960"/>
    <n v="518.83000000000004"/>
    <n v="0"/>
    <n v="127.38"/>
    <n v="646.21"/>
    <n v="8"/>
    <n v="1.7"/>
  </r>
  <r>
    <n v="71141"/>
    <s v="Living Room"/>
    <s v="Coffee Table"/>
    <x v="4"/>
    <x v="3"/>
    <x v="0"/>
    <x v="0"/>
    <x v="1"/>
    <n v="3007"/>
    <n v="1732.8"/>
    <n v="0"/>
    <n v="51.37"/>
    <n v="1784.17"/>
    <n v="1"/>
    <n v="3.2"/>
  </r>
  <r>
    <n v="45058"/>
    <s v="Living Room"/>
    <s v="TV Stand"/>
    <x v="10"/>
    <x v="2"/>
    <x v="1"/>
    <x v="1"/>
    <x v="0"/>
    <n v="8366"/>
    <n v="667.22"/>
    <n v="107.12"/>
    <n v="0"/>
    <n v="774.34"/>
    <n v="9"/>
    <m/>
  </r>
  <r>
    <n v="42495"/>
    <s v="Outdoor"/>
    <s v="Patio Set"/>
    <x v="9"/>
    <x v="5"/>
    <x v="0"/>
    <x v="0"/>
    <x v="4"/>
    <n v="3308"/>
    <n v="883.27"/>
    <n v="76.31"/>
    <n v="173.16"/>
    <n v="1132.74"/>
    <n v="2"/>
    <n v="4.2"/>
  </r>
  <r>
    <n v="22689"/>
    <s v="Living Room"/>
    <s v="TV Stand"/>
    <x v="7"/>
    <x v="2"/>
    <x v="1"/>
    <x v="0"/>
    <x v="5"/>
    <n v="1829"/>
    <n v="560.47"/>
    <n v="95.35"/>
    <n v="189.23"/>
    <n v="845.05"/>
    <n v="1"/>
    <n v="4.7"/>
  </r>
  <r>
    <n v="48038"/>
    <s v="Kitchen"/>
    <s v="Kitchen Island"/>
    <x v="11"/>
    <x v="0"/>
    <x v="0"/>
    <x v="1"/>
    <x v="5"/>
    <n v="7293"/>
    <n v="2388.1999999999998"/>
    <n v="74.59"/>
    <n v="0"/>
    <n v="2462.79"/>
    <n v="14"/>
    <n v="3.7"/>
  </r>
  <r>
    <n v="90658"/>
    <s v="Office"/>
    <s v="Desk"/>
    <x v="3"/>
    <x v="3"/>
    <x v="0"/>
    <x v="0"/>
    <x v="1"/>
    <n v="7850"/>
    <n v="1121.6600000000001"/>
    <n v="0"/>
    <n v="48.77"/>
    <n v="1170.43"/>
    <n v="14"/>
    <n v="1.9"/>
  </r>
  <r>
    <n v="42541"/>
    <s v="Kitchen"/>
    <s v="Bar Cart"/>
    <x v="6"/>
    <x v="2"/>
    <x v="1"/>
    <x v="1"/>
    <x v="1"/>
    <n v="3616"/>
    <n v="1861.98"/>
    <n v="0"/>
    <n v="0"/>
    <n v="1861.98"/>
    <n v="10"/>
    <n v="3.3"/>
  </r>
  <r>
    <n v="52917"/>
    <s v="Kitchen"/>
    <s v="Bar Cart"/>
    <x v="8"/>
    <x v="4"/>
    <x v="0"/>
    <x v="1"/>
    <x v="1"/>
    <n v="6123"/>
    <n v="2231.36"/>
    <n v="137.5"/>
    <n v="0"/>
    <n v="2368.86"/>
    <n v="8"/>
    <n v="2.6"/>
  </r>
  <r>
    <n v="34881"/>
    <s v="Dining Room"/>
    <s v="Dining Table"/>
    <x v="6"/>
    <x v="0"/>
    <x v="0"/>
    <x v="1"/>
    <x v="0"/>
    <n v="3610"/>
    <n v="515.97"/>
    <n v="139.68"/>
    <n v="0"/>
    <n v="655.65"/>
    <n v="7"/>
    <n v="2.2999999999999998"/>
  </r>
  <r>
    <n v="75308"/>
    <s v="Bedroom"/>
    <s v="Nightstand"/>
    <x v="10"/>
    <x v="0"/>
    <x v="0"/>
    <x v="1"/>
    <x v="3"/>
    <n v="9433"/>
    <n v="2875.5"/>
    <n v="84.76"/>
    <n v="0"/>
    <n v="2960.26"/>
    <n v="12"/>
    <m/>
  </r>
  <r>
    <n v="71186"/>
    <s v="Office"/>
    <s v="Desk"/>
    <x v="3"/>
    <x v="0"/>
    <x v="0"/>
    <x v="0"/>
    <x v="2"/>
    <n v="9171"/>
    <n v="121.13"/>
    <n v="45.09"/>
    <n v="159.12"/>
    <n v="325.33999999999997"/>
    <n v="13"/>
    <n v="3.7"/>
  </r>
  <r>
    <n v="50441"/>
    <s v="Office"/>
    <s v="Filing Cabinet"/>
    <x v="0"/>
    <x v="5"/>
    <x v="0"/>
    <x v="0"/>
    <x v="3"/>
    <n v="9148"/>
    <n v="646.12"/>
    <n v="76.83"/>
    <n v="163.63"/>
    <n v="886.58"/>
    <n v="1"/>
    <n v="2.6"/>
  </r>
  <r>
    <n v="13037"/>
    <s v="Bedroom"/>
    <s v="Chest of Drawers"/>
    <x v="9"/>
    <x v="3"/>
    <x v="0"/>
    <x v="1"/>
    <x v="2"/>
    <n v="2475"/>
    <n v="464.4"/>
    <n v="97.62"/>
    <n v="0"/>
    <n v="562.02"/>
    <n v="3"/>
    <n v="1.1000000000000001"/>
  </r>
  <r>
    <n v="61543"/>
    <s v="Office"/>
    <s v="Office Chair"/>
    <x v="7"/>
    <x v="0"/>
    <x v="0"/>
    <x v="0"/>
    <x v="2"/>
    <n v="9281"/>
    <n v="1188.22"/>
    <n v="85.27"/>
    <n v="37.97"/>
    <n v="1311.46"/>
    <n v="6"/>
    <n v="4.9000000000000004"/>
  </r>
  <r>
    <n v="69930"/>
    <s v="Outdoor"/>
    <s v="Garden Chair"/>
    <x v="4"/>
    <x v="3"/>
    <x v="0"/>
    <x v="1"/>
    <x v="0"/>
    <n v="4944"/>
    <n v="628.80999999999995"/>
    <n v="0"/>
    <n v="0"/>
    <n v="628.80999999999995"/>
    <n v="6"/>
    <n v="3.2"/>
  </r>
  <r>
    <n v="38199"/>
    <s v="Living Room"/>
    <s v="Ottoman"/>
    <x v="4"/>
    <x v="1"/>
    <x v="0"/>
    <x v="1"/>
    <x v="2"/>
    <n v="6781"/>
    <n v="435.8"/>
    <n v="54.85"/>
    <n v="0"/>
    <n v="490.65"/>
    <n v="1"/>
    <n v="2.2000000000000002"/>
  </r>
  <r>
    <n v="16377"/>
    <s v="Outdoor"/>
    <s v="Garden Chair"/>
    <x v="11"/>
    <x v="3"/>
    <x v="0"/>
    <x v="1"/>
    <x v="0"/>
    <n v="1828"/>
    <n v="205.73"/>
    <n v="81.239999999999995"/>
    <n v="0"/>
    <n v="286.97000000000003"/>
    <n v="11"/>
    <n v="4.3"/>
  </r>
  <r>
    <n v="46877"/>
    <s v="Living Room"/>
    <s v="Ottoman"/>
    <x v="0"/>
    <x v="2"/>
    <x v="1"/>
    <x v="0"/>
    <x v="2"/>
    <n v="9108"/>
    <n v="1860.86"/>
    <n v="91.54"/>
    <n v="54.78"/>
    <n v="2007.18"/>
    <n v="10"/>
    <n v="1.8"/>
  </r>
  <r>
    <n v="88317"/>
    <s v="Dining Room"/>
    <s v="Buffet"/>
    <x v="6"/>
    <x v="4"/>
    <x v="0"/>
    <x v="1"/>
    <x v="1"/>
    <n v="8710"/>
    <n v="1073.48"/>
    <n v="0"/>
    <n v="0"/>
    <n v="1073.48"/>
    <n v="8"/>
    <n v="2.1"/>
  </r>
  <r>
    <n v="47453"/>
    <s v="Office"/>
    <s v="Bookshelf"/>
    <x v="9"/>
    <x v="4"/>
    <x v="0"/>
    <x v="1"/>
    <x v="3"/>
    <n v="9793"/>
    <n v="689.94"/>
    <n v="0"/>
    <n v="0"/>
    <n v="689.94"/>
    <n v="9"/>
    <n v="2.1"/>
  </r>
  <r>
    <n v="11071"/>
    <s v="Bedroom"/>
    <s v="Nightstand"/>
    <x v="12"/>
    <x v="5"/>
    <x v="0"/>
    <x v="1"/>
    <x v="3"/>
    <n v="2761"/>
    <n v="199.06"/>
    <n v="62.28"/>
    <n v="0"/>
    <n v="261.33999999999997"/>
    <n v="6"/>
    <n v="3.9"/>
  </r>
  <r>
    <n v="66482"/>
    <s v="Living Room"/>
    <s v="Armchair"/>
    <x v="7"/>
    <x v="5"/>
    <x v="0"/>
    <x v="0"/>
    <x v="5"/>
    <n v="3194"/>
    <n v="1973.77"/>
    <n v="97.68"/>
    <n v="133.24"/>
    <n v="2204.69"/>
    <n v="13"/>
    <n v="1.3"/>
  </r>
  <r>
    <n v="44664"/>
    <s v="Office"/>
    <s v="Computer Table"/>
    <x v="4"/>
    <x v="3"/>
    <x v="0"/>
    <x v="1"/>
    <x v="2"/>
    <n v="6992"/>
    <n v="434.96"/>
    <n v="35.6"/>
    <n v="0"/>
    <n v="470.56"/>
    <n v="9"/>
    <n v="3.3"/>
  </r>
  <r>
    <n v="62855"/>
    <s v="Office"/>
    <s v="Bookshelf"/>
    <x v="9"/>
    <x v="5"/>
    <x v="0"/>
    <x v="0"/>
    <x v="2"/>
    <n v="6995"/>
    <n v="664.84"/>
    <n v="133.43"/>
    <n v="168.9"/>
    <n v="967.17"/>
    <n v="10"/>
    <n v="1"/>
  </r>
  <r>
    <n v="15930"/>
    <s v="Kitchen"/>
    <s v="Pantry Cabinet"/>
    <x v="9"/>
    <x v="1"/>
    <x v="0"/>
    <x v="1"/>
    <x v="0"/>
    <n v="7563"/>
    <n v="1500.3"/>
    <n v="115.2"/>
    <n v="0"/>
    <n v="1615.5"/>
    <n v="8"/>
    <n v="3.1"/>
  </r>
  <r>
    <n v="16705"/>
    <s v="Living Room"/>
    <s v="Armchair"/>
    <x v="3"/>
    <x v="0"/>
    <x v="0"/>
    <x v="0"/>
    <x v="5"/>
    <n v="4189"/>
    <n v="1808.29"/>
    <n v="125.69"/>
    <n v="29.15"/>
    <n v="1963.13"/>
    <n v="8"/>
    <n v="1.5"/>
  </r>
  <r>
    <n v="57516"/>
    <s v="Outdoor"/>
    <s v="Umbrella"/>
    <x v="11"/>
    <x v="1"/>
    <x v="0"/>
    <x v="1"/>
    <x v="4"/>
    <n v="5728"/>
    <n v="953.87"/>
    <n v="104.71"/>
    <m/>
    <n v="1058.58"/>
    <n v="1"/>
    <n v="2.7"/>
  </r>
  <r>
    <n v="19637"/>
    <s v="Dining Room"/>
    <s v="China Cabinet"/>
    <x v="9"/>
    <x v="2"/>
    <x v="1"/>
    <x v="0"/>
    <x v="3"/>
    <n v="7329"/>
    <n v="712.53"/>
    <n v="106.38"/>
    <n v="64.510000000000005"/>
    <n v="883.42"/>
    <n v="11"/>
    <n v="3.5"/>
  </r>
  <r>
    <n v="76093"/>
    <s v="Kitchen"/>
    <s v="Kitchen Cabinet"/>
    <x v="1"/>
    <x v="5"/>
    <x v="0"/>
    <x v="1"/>
    <x v="3"/>
    <n v="8378"/>
    <n v="1338.64"/>
    <n v="0"/>
    <n v="0"/>
    <n v="1338.64"/>
    <n v="12"/>
    <n v="4.4000000000000004"/>
  </r>
  <r>
    <n v="82070"/>
    <s v="Outdoor"/>
    <s v="Lounge Chair"/>
    <x v="9"/>
    <x v="3"/>
    <x v="0"/>
    <x v="0"/>
    <x v="3"/>
    <n v="5582"/>
    <n v="166.2"/>
    <n v="56.22"/>
    <n v="160.06"/>
    <n v="382.48"/>
    <n v="1"/>
    <n v="1.8"/>
  </r>
  <r>
    <n v="91689"/>
    <s v="Office"/>
    <s v="Bookshelf"/>
    <x v="5"/>
    <x v="5"/>
    <x v="0"/>
    <x v="0"/>
    <x v="6"/>
    <n v="2946"/>
    <n v="214.49"/>
    <n v="71.87"/>
    <n v="33.76"/>
    <n v="320.12"/>
    <n v="9"/>
    <n v="2.4"/>
  </r>
  <r>
    <n v="26864"/>
    <s v="Dining Room"/>
    <s v="Buffet"/>
    <x v="4"/>
    <x v="3"/>
    <x v="0"/>
    <x v="1"/>
    <x v="3"/>
    <n v="2584"/>
    <n v="1210.49"/>
    <n v="112.45"/>
    <n v="0"/>
    <n v="1322.94"/>
    <n v="5"/>
    <n v="3.6"/>
  </r>
  <r>
    <n v="61629"/>
    <s v="Bedroom"/>
    <s v="Bed Frame"/>
    <x v="7"/>
    <x v="4"/>
    <x v="0"/>
    <x v="1"/>
    <x v="4"/>
    <n v="7114"/>
    <n v="2232.38"/>
    <n v="0"/>
    <n v="0"/>
    <n v="2232.38"/>
    <n v="10"/>
    <m/>
  </r>
  <r>
    <n v="54444"/>
    <s v="Office"/>
    <s v="Bookshelf"/>
    <x v="4"/>
    <x v="3"/>
    <x v="0"/>
    <x v="1"/>
    <x v="2"/>
    <n v="6990"/>
    <n v="897.43"/>
    <n v="110.48"/>
    <n v="0"/>
    <n v="1007.91"/>
    <n v="4"/>
    <n v="4.0999999999999996"/>
  </r>
  <r>
    <n v="28909"/>
    <s v="Kitchen"/>
    <s v="Bar Cart"/>
    <x v="8"/>
    <x v="2"/>
    <x v="1"/>
    <x v="0"/>
    <x v="3"/>
    <n v="4261"/>
    <n v="615.33000000000004"/>
    <n v="50.02"/>
    <n v="28.42"/>
    <n v="693.77"/>
    <n v="13"/>
    <n v="3.7"/>
  </r>
  <r>
    <n v="88966"/>
    <s v="Living Room"/>
    <s v="Coffee Table"/>
    <x v="7"/>
    <x v="3"/>
    <x v="0"/>
    <x v="1"/>
    <x v="3"/>
    <n v="9341"/>
    <n v="1488.33"/>
    <n v="88.55"/>
    <n v="0"/>
    <n v="1576.88"/>
    <n v="6"/>
    <n v="3.1"/>
  </r>
  <r>
    <n v="62610"/>
    <s v="Bedroom"/>
    <s v="Mattress"/>
    <x v="11"/>
    <x v="1"/>
    <x v="0"/>
    <x v="1"/>
    <x v="0"/>
    <n v="9193"/>
    <n v="2844.65"/>
    <n v="121.13"/>
    <n v="0"/>
    <n v="2965.78"/>
    <n v="9"/>
    <n v="3.8"/>
  </r>
  <r>
    <n v="15276"/>
    <s v="Kitchen"/>
    <s v="Pantry Cabinet"/>
    <x v="9"/>
    <x v="0"/>
    <x v="0"/>
    <x v="1"/>
    <x v="5"/>
    <n v="1742"/>
    <n v="1734.6"/>
    <n v="0"/>
    <n v="0"/>
    <n v="1734.6"/>
    <n v="14"/>
    <n v="3.7"/>
  </r>
  <r>
    <n v="15100"/>
    <s v="Kitchen"/>
    <s v="Bar Cart"/>
    <x v="8"/>
    <x v="3"/>
    <x v="0"/>
    <x v="0"/>
    <x v="6"/>
    <n v="3245"/>
    <n v="1141.4100000000001"/>
    <n v="0"/>
    <n v="72.099999999999994"/>
    <n v="1213.51"/>
    <n v="9"/>
    <n v="3.3"/>
  </r>
  <r>
    <n v="53652"/>
    <s v="Dining Room"/>
    <s v="China Cabinet"/>
    <x v="9"/>
    <x v="1"/>
    <x v="0"/>
    <x v="1"/>
    <x v="6"/>
    <n v="8761"/>
    <n v="1850.97"/>
    <n v="53.35"/>
    <n v="0"/>
    <n v="1904.32"/>
    <n v="11"/>
    <n v="1.2"/>
  </r>
  <r>
    <n v="78069"/>
    <s v="Dining Room"/>
    <s v="Dining Table"/>
    <x v="10"/>
    <x v="1"/>
    <x v="0"/>
    <x v="1"/>
    <x v="2"/>
    <n v="8487"/>
    <n v="1945.17"/>
    <n v="136.32"/>
    <n v="0"/>
    <n v="2081.4899999999998"/>
    <n v="10"/>
    <n v="3"/>
  </r>
  <r>
    <n v="29521"/>
    <s v="Outdoor"/>
    <s v="Umbrella"/>
    <x v="3"/>
    <x v="3"/>
    <x v="0"/>
    <x v="0"/>
    <x v="0"/>
    <n v="9446"/>
    <n v="1482.26"/>
    <n v="0"/>
    <n v="85.28"/>
    <n v="1567.54"/>
    <n v="3"/>
    <n v="1.5"/>
  </r>
  <r>
    <n v="28321"/>
    <s v="Office"/>
    <s v="Office Chair"/>
    <x v="12"/>
    <x v="5"/>
    <x v="0"/>
    <x v="0"/>
    <x v="3"/>
    <n v="6373"/>
    <n v="526.22"/>
    <n v="77.75"/>
    <n v="33.32"/>
    <n v="637.29"/>
    <n v="11"/>
    <n v="2.2999999999999998"/>
  </r>
  <r>
    <n v="90356"/>
    <s v="Outdoor"/>
    <s v="Outdoor Table"/>
    <x v="2"/>
    <x v="5"/>
    <x v="0"/>
    <x v="0"/>
    <x v="1"/>
    <n v="6218"/>
    <n v="1001.96"/>
    <n v="90.32"/>
    <n v="29.82"/>
    <n v="1122.0999999999999"/>
    <n v="13"/>
    <n v="3.9"/>
  </r>
  <r>
    <n v="31299"/>
    <s v="Living Room"/>
    <s v="TV Stand"/>
    <x v="10"/>
    <x v="4"/>
    <x v="0"/>
    <x v="0"/>
    <x v="2"/>
    <n v="7438"/>
    <n v="1599.62"/>
    <n v="90.93"/>
    <n v="127.38"/>
    <n v="1817.93"/>
    <n v="6"/>
    <m/>
  </r>
  <r>
    <n v="90805"/>
    <s v="Outdoor"/>
    <s v="Patio Set"/>
    <x v="5"/>
    <x v="5"/>
    <x v="0"/>
    <x v="0"/>
    <x v="2"/>
    <n v="5902"/>
    <n v="1084.21"/>
    <n v="61.63"/>
    <n v="86.48"/>
    <n v="1232.32"/>
    <n v="3"/>
    <n v="3.5"/>
  </r>
  <r>
    <n v="87820"/>
    <s v="Living Room"/>
    <s v="Coffee Table"/>
    <x v="9"/>
    <x v="1"/>
    <x v="0"/>
    <x v="0"/>
    <x v="5"/>
    <n v="6511"/>
    <n v="1667.27"/>
    <n v="137.72"/>
    <n v="183.73"/>
    <n v="1988.72"/>
    <n v="11"/>
    <n v="4.5"/>
  </r>
  <r>
    <n v="76494"/>
    <s v="Dining Room"/>
    <s v="Dining Table"/>
    <x v="4"/>
    <x v="2"/>
    <x v="1"/>
    <x v="1"/>
    <x v="5"/>
    <n v="9351"/>
    <n v="820.69"/>
    <n v="0"/>
    <n v="0"/>
    <n v="820.69"/>
    <n v="3"/>
    <n v="2.7"/>
  </r>
  <r>
    <n v="79774"/>
    <s v="Bedroom"/>
    <s v="Dresser"/>
    <x v="7"/>
    <x v="0"/>
    <x v="0"/>
    <x v="1"/>
    <x v="2"/>
    <n v="9025"/>
    <n v="889.16"/>
    <n v="59.24"/>
    <n v="0"/>
    <n v="948.4"/>
    <n v="10"/>
    <n v="4.0999999999999996"/>
  </r>
  <r>
    <n v="83783"/>
    <s v="Outdoor"/>
    <s v="Garden Chair"/>
    <x v="9"/>
    <x v="0"/>
    <x v="0"/>
    <x v="1"/>
    <x v="6"/>
    <n v="5911"/>
    <n v="210.61"/>
    <n v="87.6"/>
    <n v="0"/>
    <n v="298.20999999999998"/>
    <n v="3"/>
    <n v="1.8"/>
  </r>
  <r>
    <n v="72245"/>
    <s v="Outdoor"/>
    <s v="Outdoor Table"/>
    <x v="4"/>
    <x v="0"/>
    <x v="0"/>
    <x v="1"/>
    <x v="6"/>
    <n v="1272"/>
    <n v="492.29"/>
    <n v="77.47"/>
    <n v="0"/>
    <n v="569.76"/>
    <n v="2"/>
    <n v="1.8"/>
  </r>
  <r>
    <n v="58281"/>
    <s v="Living Room"/>
    <s v="Sofa"/>
    <x v="12"/>
    <x v="4"/>
    <x v="0"/>
    <x v="1"/>
    <x v="0"/>
    <n v="6427"/>
    <n v="1389.17"/>
    <n v="97.52"/>
    <n v="0"/>
    <n v="1486.69"/>
    <n v="10"/>
    <n v="3.3"/>
  </r>
  <r>
    <n v="98317"/>
    <s v="Dining Room"/>
    <s v="Dining Table"/>
    <x v="2"/>
    <x v="5"/>
    <x v="0"/>
    <x v="1"/>
    <x v="6"/>
    <n v="2795"/>
    <n v="1296"/>
    <m/>
    <n v="0"/>
    <n v="1346.79"/>
    <n v="8"/>
    <n v="3.6"/>
  </r>
  <r>
    <n v="64596"/>
    <s v="Dining Room"/>
    <s v="Dining Chair"/>
    <x v="9"/>
    <x v="0"/>
    <x v="0"/>
    <x v="0"/>
    <x v="1"/>
    <n v="6040"/>
    <n v="987"/>
    <n v="0"/>
    <n v="271.38"/>
    <n v="1258.3800000000001"/>
    <n v="8"/>
    <n v="3.8"/>
  </r>
  <r>
    <n v="92478"/>
    <s v="Bedroom"/>
    <s v="Dresser"/>
    <x v="4"/>
    <x v="4"/>
    <x v="0"/>
    <x v="1"/>
    <x v="0"/>
    <n v="1436"/>
    <n v="2211.61"/>
    <n v="98.26"/>
    <n v="0"/>
    <n v="2309.87"/>
    <n v="5"/>
    <m/>
  </r>
  <r>
    <n v="88238"/>
    <s v="Office"/>
    <s v="Filing Cabinet"/>
    <x v="7"/>
    <x v="5"/>
    <x v="0"/>
    <x v="0"/>
    <x v="3"/>
    <n v="8775"/>
    <n v="1179.18"/>
    <n v="90.08"/>
    <n v="75.61"/>
    <n v="1344.87"/>
    <n v="5"/>
    <n v="4.9000000000000004"/>
  </r>
  <r>
    <n v="44803"/>
    <s v="Bedroom"/>
    <s v="Mattress"/>
    <x v="1"/>
    <x v="0"/>
    <x v="0"/>
    <x v="0"/>
    <x v="0"/>
    <n v="4728"/>
    <n v="2040.71"/>
    <n v="55.38"/>
    <n v="179.29"/>
    <n v="2275.38"/>
    <n v="3"/>
    <n v="2.8"/>
  </r>
  <r>
    <n v="16731"/>
    <s v="Outdoor"/>
    <s v="Garden Chair"/>
    <x v="3"/>
    <x v="3"/>
    <x v="0"/>
    <x v="1"/>
    <x v="4"/>
    <n v="8871"/>
    <n v="480.67"/>
    <n v="37.909999999999997"/>
    <n v="0"/>
    <n v="518.58000000000004"/>
    <n v="2"/>
    <n v="4.4000000000000004"/>
  </r>
  <r>
    <n v="32349"/>
    <s v="Bedroom"/>
    <s v="Mattress"/>
    <x v="6"/>
    <x v="0"/>
    <x v="0"/>
    <x v="1"/>
    <x v="4"/>
    <n v="9589"/>
    <n v="2101.4299999999998"/>
    <n v="87.43"/>
    <n v="0"/>
    <n v="2188.86"/>
    <n v="3"/>
    <n v="2.9"/>
  </r>
  <r>
    <n v="92447"/>
    <s v="Bedroom"/>
    <s v="Nightstand"/>
    <x v="8"/>
    <x v="2"/>
    <x v="1"/>
    <x v="0"/>
    <x v="2"/>
    <n v="7229"/>
    <n v="2055.0500000000002"/>
    <n v="120.62"/>
    <n v="169.28"/>
    <n v="2344.9499999999998"/>
    <n v="13"/>
    <n v="2.6"/>
  </r>
  <r>
    <n v="29369"/>
    <s v="Outdoor"/>
    <s v="Lounge Chair"/>
    <x v="8"/>
    <x v="4"/>
    <x v="0"/>
    <x v="0"/>
    <x v="2"/>
    <n v="4968"/>
    <n v="1134.95"/>
    <n v="84.69"/>
    <n v="94.28"/>
    <n v="1313.92"/>
    <n v="3"/>
    <n v="2.5"/>
  </r>
  <r>
    <n v="14138"/>
    <s v="Living Room"/>
    <s v="Ottoman"/>
    <x v="8"/>
    <x v="0"/>
    <x v="0"/>
    <x v="0"/>
    <x v="4"/>
    <n v="2800"/>
    <n v="1578.09"/>
    <n v="57.73"/>
    <n v="75"/>
    <n v="1710.82"/>
    <n v="1"/>
    <n v="2.7"/>
  </r>
  <r>
    <n v="35006"/>
    <s v="Bedroom"/>
    <s v="Nightstand"/>
    <x v="1"/>
    <x v="5"/>
    <x v="0"/>
    <x v="1"/>
    <x v="1"/>
    <n v="1310"/>
    <n v="579.63"/>
    <n v="117.53"/>
    <n v="0"/>
    <n v="697.16"/>
    <n v="1"/>
    <n v="4.8"/>
  </r>
  <r>
    <n v="67807"/>
    <s v="Outdoor"/>
    <s v="Umbrella"/>
    <x v="7"/>
    <x v="0"/>
    <x v="0"/>
    <x v="0"/>
    <x v="4"/>
    <n v="6139"/>
    <n v="1526.48"/>
    <n v="58.26"/>
    <n v="270.52999999999997"/>
    <n v="1855.27"/>
    <n v="1"/>
    <n v="1.5"/>
  </r>
  <r>
    <n v="64890"/>
    <s v="Office"/>
    <s v="Office Chair"/>
    <x v="10"/>
    <x v="4"/>
    <x v="0"/>
    <x v="0"/>
    <x v="6"/>
    <n v="3481"/>
    <n v="770.32"/>
    <n v="90.17"/>
    <n v="142.5"/>
    <n v="1002.99"/>
    <n v="12"/>
    <n v="3.4"/>
  </r>
  <r>
    <n v="64127"/>
    <s v="Office"/>
    <s v="Bookshelf"/>
    <x v="5"/>
    <x v="2"/>
    <x v="1"/>
    <x v="0"/>
    <x v="4"/>
    <n v="4340"/>
    <n v="1278.72"/>
    <n v="61.17"/>
    <n v="229.76"/>
    <n v="1569.65"/>
    <n v="7"/>
    <n v="1.3"/>
  </r>
  <r>
    <n v="63788"/>
    <s v="Kitchen"/>
    <s v="Kitchen Cabinet"/>
    <x v="11"/>
    <x v="3"/>
    <x v="0"/>
    <x v="1"/>
    <x v="0"/>
    <n v="9221"/>
    <n v="734.75"/>
    <n v="122.76"/>
    <n v="0"/>
    <n v="857.51"/>
    <n v="7"/>
    <m/>
  </r>
  <r>
    <n v="90147"/>
    <s v="Office"/>
    <s v="Filing Cabinet"/>
    <x v="5"/>
    <x v="4"/>
    <x v="0"/>
    <x v="1"/>
    <x v="6"/>
    <n v="8726"/>
    <n v="601.29"/>
    <n v="118.64"/>
    <n v="0"/>
    <n v="719.93"/>
    <n v="7"/>
    <n v="2.2000000000000002"/>
  </r>
  <r>
    <n v="18163"/>
    <s v="Bedroom"/>
    <s v="Dresser"/>
    <x v="8"/>
    <x v="1"/>
    <x v="0"/>
    <x v="1"/>
    <x v="0"/>
    <n v="3262"/>
    <n v="1167.1199999999999"/>
    <n v="0"/>
    <n v="0"/>
    <n v="1167.1199999999999"/>
    <n v="5"/>
    <n v="3.4"/>
  </r>
  <r>
    <n v="77984"/>
    <s v="Kitchen"/>
    <s v="Pantry Cabinet"/>
    <x v="8"/>
    <x v="0"/>
    <x v="0"/>
    <x v="0"/>
    <x v="4"/>
    <n v="4397"/>
    <n v="846.98"/>
    <n v="0"/>
    <n v="86.34"/>
    <n v="933.32"/>
    <n v="11"/>
    <n v="4.5999999999999996"/>
  </r>
  <r>
    <n v="83516"/>
    <s v="Kitchen"/>
    <s v="Bar Cart"/>
    <x v="8"/>
    <x v="3"/>
    <x v="0"/>
    <x v="1"/>
    <x v="5"/>
    <n v="6325"/>
    <n v="2321.31"/>
    <n v="143.22999999999999"/>
    <n v="0"/>
    <n v="2464.54"/>
    <n v="1"/>
    <m/>
  </r>
  <r>
    <n v="96799"/>
    <s v="Kitchen"/>
    <s v="Kitchen Island"/>
    <x v="9"/>
    <x v="2"/>
    <x v="1"/>
    <x v="1"/>
    <x v="4"/>
    <n v="8837"/>
    <n v="1140.21"/>
    <n v="57.88"/>
    <n v="0"/>
    <n v="1198.0899999999999"/>
    <n v="7"/>
    <n v="1.7"/>
  </r>
  <r>
    <n v="78875"/>
    <s v="Outdoor"/>
    <s v="Patio Set"/>
    <x v="4"/>
    <x v="1"/>
    <x v="0"/>
    <x v="0"/>
    <x v="2"/>
    <n v="7173"/>
    <n v="1530.81"/>
    <n v="61.64"/>
    <n v="199.49"/>
    <n v="1791.94"/>
    <n v="10"/>
    <n v="4.4000000000000004"/>
  </r>
  <r>
    <n v="51124"/>
    <s v="Living Room"/>
    <s v="TV Stand"/>
    <x v="11"/>
    <x v="4"/>
    <x v="0"/>
    <x v="1"/>
    <x v="4"/>
    <n v="3837"/>
    <n v="1518.67"/>
    <n v="0"/>
    <n v="0"/>
    <n v="1518.67"/>
    <n v="5"/>
    <n v="4.0999999999999996"/>
  </r>
  <r>
    <n v="70249"/>
    <s v="Living Room"/>
    <s v="Ottoman"/>
    <x v="4"/>
    <x v="3"/>
    <x v="0"/>
    <x v="1"/>
    <x v="2"/>
    <n v="9734"/>
    <n v="1116.94"/>
    <n v="0"/>
    <n v="0"/>
    <n v="1116.94"/>
    <n v="5"/>
    <m/>
  </r>
  <r>
    <n v="54869"/>
    <s v="Office"/>
    <s v="Desk"/>
    <x v="8"/>
    <x v="5"/>
    <x v="0"/>
    <x v="1"/>
    <x v="0"/>
    <n v="9950"/>
    <n v="470.17"/>
    <n v="59.68"/>
    <n v="0"/>
    <n v="529.85"/>
    <n v="2"/>
    <n v="1.1000000000000001"/>
  </r>
  <r>
    <n v="56437"/>
    <s v="Kitchen"/>
    <s v="Kitchen Cabinet"/>
    <x v="12"/>
    <x v="4"/>
    <x v="0"/>
    <x v="1"/>
    <x v="0"/>
    <n v="5331"/>
    <n v="1901.96"/>
    <n v="96.06"/>
    <n v="0"/>
    <n v="1998.02"/>
    <n v="11"/>
    <n v="3.2"/>
  </r>
  <r>
    <n v="89963"/>
    <s v="Dining Room"/>
    <s v="Bar Stool"/>
    <x v="3"/>
    <x v="2"/>
    <x v="1"/>
    <x v="1"/>
    <x v="1"/>
    <n v="8932"/>
    <n v="707.32"/>
    <n v="65.180000000000007"/>
    <n v="0"/>
    <n v="772.5"/>
    <n v="4"/>
    <n v="1.7"/>
  </r>
  <r>
    <n v="35200"/>
    <s v="Living Room"/>
    <s v="Side Table"/>
    <x v="8"/>
    <x v="2"/>
    <x v="1"/>
    <x v="1"/>
    <x v="6"/>
    <n v="5038"/>
    <n v="2160.27"/>
    <n v="113.14"/>
    <n v="0"/>
    <n v="2273.41"/>
    <n v="2"/>
    <n v="4.9000000000000004"/>
  </r>
  <r>
    <n v="46569"/>
    <s v="Dining Room"/>
    <s v="Buffet"/>
    <x v="11"/>
    <x v="4"/>
    <x v="0"/>
    <x v="0"/>
    <x v="4"/>
    <n v="5890"/>
    <n v="1381.55"/>
    <n v="0"/>
    <n v="156.49"/>
    <n v="1538.04"/>
    <n v="7"/>
    <n v="1.1000000000000001"/>
  </r>
  <r>
    <n v="39473"/>
    <s v="Office"/>
    <s v="Desk"/>
    <x v="1"/>
    <x v="5"/>
    <x v="0"/>
    <x v="0"/>
    <x v="2"/>
    <n v="5876"/>
    <n v="612.9"/>
    <n v="87.84"/>
    <n v="34.89"/>
    <n v="735.63"/>
    <n v="4"/>
    <n v="3.3"/>
  </r>
  <r>
    <n v="47880"/>
    <s v="Outdoor"/>
    <s v="Lounge Chair"/>
    <x v="6"/>
    <x v="1"/>
    <x v="0"/>
    <x v="1"/>
    <x v="4"/>
    <n v="4396"/>
    <n v="1057.6199999999999"/>
    <n v="71.78"/>
    <n v="0"/>
    <n v="1129.4000000000001"/>
    <n v="6"/>
    <n v="3.5"/>
  </r>
  <r>
    <n v="74094"/>
    <s v="Outdoor"/>
    <s v="Outdoor Table"/>
    <x v="10"/>
    <x v="5"/>
    <x v="0"/>
    <x v="1"/>
    <x v="2"/>
    <n v="6194"/>
    <n v="978.8"/>
    <n v="72.510000000000005"/>
    <n v="0"/>
    <n v="1051.31"/>
    <n v="8"/>
    <n v="2.1"/>
  </r>
  <r>
    <n v="72888"/>
    <s v="Bedroom"/>
    <s v="Nightstand"/>
    <x v="3"/>
    <x v="4"/>
    <x v="0"/>
    <x v="1"/>
    <x v="4"/>
    <n v="6714"/>
    <n v="971.96"/>
    <n v="83.41"/>
    <n v="0"/>
    <n v="1055.3699999999999"/>
    <n v="11"/>
    <n v="4.5999999999999996"/>
  </r>
  <r>
    <n v="83464"/>
    <s v="Office"/>
    <s v="Filing Cabinet"/>
    <x v="0"/>
    <x v="5"/>
    <x v="0"/>
    <x v="0"/>
    <x v="5"/>
    <n v="5480"/>
    <n v="662.62"/>
    <n v="111.89"/>
    <n v="39.99"/>
    <n v="814.5"/>
    <n v="12"/>
    <n v="1.1000000000000001"/>
  </r>
  <r>
    <n v="47721"/>
    <s v="Kitchen"/>
    <s v="Pantry Cabinet"/>
    <x v="1"/>
    <x v="0"/>
    <x v="0"/>
    <x v="1"/>
    <x v="6"/>
    <n v="2996"/>
    <n v="1805.6"/>
    <n v="52.27"/>
    <n v="0"/>
    <n v="1857.87"/>
    <n v="9"/>
    <n v="1.8"/>
  </r>
  <r>
    <n v="85166"/>
    <s v="Outdoor"/>
    <s v="Garden Chair"/>
    <x v="10"/>
    <x v="0"/>
    <x v="0"/>
    <x v="0"/>
    <x v="5"/>
    <n v="9899"/>
    <n v="439.1"/>
    <n v="95.29"/>
    <n v="113.27"/>
    <n v="647.66"/>
    <n v="2"/>
    <n v="1.8"/>
  </r>
  <r>
    <n v="59767"/>
    <s v="Outdoor"/>
    <s v="Umbrella"/>
    <x v="1"/>
    <x v="5"/>
    <x v="0"/>
    <x v="0"/>
    <x v="1"/>
    <n v="7464"/>
    <n v="882.03"/>
    <n v="0"/>
    <n v="225.03"/>
    <n v="1107.06"/>
    <n v="2"/>
    <n v="4.4000000000000004"/>
  </r>
  <r>
    <n v="55237"/>
    <s v="Outdoor"/>
    <s v="Patio Set"/>
    <x v="3"/>
    <x v="3"/>
    <x v="0"/>
    <x v="1"/>
    <x v="2"/>
    <n v="3399"/>
    <n v="161.36000000000001"/>
    <n v="27.42"/>
    <n v="0"/>
    <n v="188.78"/>
    <n v="14"/>
    <n v="2.9"/>
  </r>
  <r>
    <n v="48070"/>
    <s v="Office"/>
    <s v="Bookshelf"/>
    <x v="3"/>
    <x v="1"/>
    <x v="0"/>
    <x v="0"/>
    <x v="2"/>
    <n v="1689"/>
    <n v="1334.37"/>
    <n v="121.58"/>
    <n v="222.12"/>
    <n v="1678.07"/>
    <n v="12"/>
    <m/>
  </r>
  <r>
    <n v="47700"/>
    <s v="Living Room"/>
    <s v="TV Stand"/>
    <x v="11"/>
    <x v="4"/>
    <x v="0"/>
    <x v="1"/>
    <x v="2"/>
    <n v="2294"/>
    <n v="1118.69"/>
    <n v="112.93"/>
    <n v="0"/>
    <n v="1231.6199999999999"/>
    <n v="7"/>
    <n v="1.4"/>
  </r>
  <r>
    <n v="55398"/>
    <s v="Living Room"/>
    <s v="Side Table"/>
    <x v="10"/>
    <x v="1"/>
    <x v="0"/>
    <x v="0"/>
    <x v="1"/>
    <n v="8247"/>
    <n v="588.59"/>
    <n v="83.98"/>
    <n v="181.51"/>
    <n v="854.08"/>
    <n v="2"/>
    <n v="3.8"/>
  </r>
  <r>
    <n v="95979"/>
    <s v="Bedroom"/>
    <s v="Dresser"/>
    <x v="5"/>
    <x v="5"/>
    <x v="0"/>
    <x v="1"/>
    <x v="5"/>
    <n v="5201"/>
    <n v="1125.96"/>
    <n v="83.07"/>
    <n v="0"/>
    <n v="1209.03"/>
    <n v="12"/>
    <n v="2.1"/>
  </r>
  <r>
    <n v="72793"/>
    <s v="Kitchen"/>
    <s v="Kitchen Cabinet"/>
    <x v="1"/>
    <x v="4"/>
    <x v="0"/>
    <x v="1"/>
    <x v="4"/>
    <n v="4505"/>
    <n v="357.07"/>
    <n v="91.01"/>
    <n v="0"/>
    <n v="448.08"/>
    <n v="12"/>
    <n v="4.8"/>
  </r>
  <r>
    <n v="36485"/>
    <s v="Dining Room"/>
    <s v="Buffet"/>
    <x v="5"/>
    <x v="5"/>
    <x v="0"/>
    <x v="0"/>
    <x v="3"/>
    <n v="9824"/>
    <n v="1454.85"/>
    <n v="65.44"/>
    <n v="80.37"/>
    <n v="1600.66"/>
    <n v="14"/>
    <n v="3.5"/>
  </r>
  <r>
    <n v="45537"/>
    <s v="Dining Room"/>
    <s v="Dining Chair"/>
    <x v="8"/>
    <x v="1"/>
    <x v="0"/>
    <x v="1"/>
    <x v="5"/>
    <n v="5450"/>
    <n v="1210.05"/>
    <n v="0"/>
    <n v="0"/>
    <n v="1210.05"/>
    <n v="8"/>
    <n v="1.7"/>
  </r>
  <r>
    <n v="27992"/>
    <s v="Kitchen"/>
    <s v="Kitchen Cabinet"/>
    <x v="2"/>
    <x v="2"/>
    <x v="1"/>
    <x v="0"/>
    <x v="5"/>
    <n v="2789"/>
    <n v="1451.34"/>
    <n v="142.61000000000001"/>
    <n v="176.31"/>
    <n v="1770.26"/>
    <n v="7"/>
    <m/>
  </r>
  <r>
    <n v="90698"/>
    <s v="Dining Room"/>
    <s v="Dining Chair"/>
    <x v="5"/>
    <x v="1"/>
    <x v="0"/>
    <x v="0"/>
    <x v="2"/>
    <n v="4920"/>
    <n v="526.19000000000005"/>
    <n v="0"/>
    <n v="67.83"/>
    <n v="594.02"/>
    <n v="8"/>
    <n v="3.6"/>
  </r>
  <r>
    <n v="41779"/>
    <s v="Kitchen"/>
    <s v="Bar Cart"/>
    <x v="9"/>
    <x v="4"/>
    <x v="0"/>
    <x v="0"/>
    <x v="2"/>
    <n v="1831"/>
    <n v="1931.03"/>
    <n v="53.28"/>
    <n v="150.74"/>
    <n v="2135.0500000000002"/>
    <n v="5"/>
    <n v="3.1"/>
  </r>
  <r>
    <n v="97796"/>
    <s v="Living Room"/>
    <s v="Sofa"/>
    <x v="0"/>
    <x v="2"/>
    <x v="1"/>
    <x v="0"/>
    <x v="3"/>
    <n v="9700"/>
    <n v="1227.26"/>
    <m/>
    <n v="61.42"/>
    <n v="1363.15"/>
    <n v="12"/>
    <n v="1.2"/>
  </r>
  <r>
    <n v="39579"/>
    <s v="Dining Room"/>
    <s v="Dining Table"/>
    <x v="10"/>
    <x v="0"/>
    <x v="0"/>
    <x v="0"/>
    <x v="0"/>
    <n v="4814"/>
    <n v="1511.91"/>
    <n v="141.75"/>
    <n v="106.09"/>
    <n v="1759.75"/>
    <n v="4"/>
    <n v="4"/>
  </r>
  <r>
    <n v="16880"/>
    <s v="Kitchen"/>
    <s v="Kitchen Island"/>
    <x v="0"/>
    <x v="5"/>
    <x v="0"/>
    <x v="0"/>
    <x v="3"/>
    <n v="2641"/>
    <n v="1001.49"/>
    <n v="69.64"/>
    <n v="162.51"/>
    <n v="1233.6400000000001"/>
    <n v="4"/>
    <m/>
  </r>
  <r>
    <n v="64172"/>
    <s v="Office"/>
    <s v="Bookshelf"/>
    <x v="10"/>
    <x v="3"/>
    <x v="0"/>
    <x v="0"/>
    <x v="6"/>
    <n v="6411"/>
    <n v="888.45"/>
    <n v="136.11000000000001"/>
    <n v="266.61"/>
    <n v="1291.17"/>
    <n v="4"/>
    <n v="3.5"/>
  </r>
  <r>
    <n v="71918"/>
    <s v="Office"/>
    <s v="Computer Table"/>
    <x v="6"/>
    <x v="2"/>
    <x v="1"/>
    <x v="1"/>
    <x v="6"/>
    <n v="2647"/>
    <n v="464.46"/>
    <n v="72.33"/>
    <n v="0"/>
    <n v="536.79"/>
    <n v="9"/>
    <n v="2.1"/>
  </r>
  <r>
    <n v="99285"/>
    <s v="Kitchen"/>
    <s v="Bar Cart"/>
    <x v="10"/>
    <x v="3"/>
    <x v="0"/>
    <x v="1"/>
    <x v="6"/>
    <n v="3252"/>
    <n v="1050.51"/>
    <n v="100.31"/>
    <n v="0"/>
    <n v="1150.82"/>
    <n v="2"/>
    <n v="4.8"/>
  </r>
  <r>
    <n v="10679"/>
    <s v="Kitchen"/>
    <s v="Pantry Cabinet"/>
    <x v="10"/>
    <x v="2"/>
    <x v="1"/>
    <x v="1"/>
    <x v="4"/>
    <n v="3587"/>
    <n v="1390.73"/>
    <n v="0"/>
    <n v="0"/>
    <n v="1390.73"/>
    <n v="11"/>
    <n v="4.7"/>
  </r>
  <r>
    <n v="63334"/>
    <s v="Outdoor"/>
    <s v="Umbrella"/>
    <x v="10"/>
    <x v="3"/>
    <x v="0"/>
    <x v="0"/>
    <x v="4"/>
    <n v="8793"/>
    <n v="1507.22"/>
    <n v="0"/>
    <n v="60.66"/>
    <n v="1567.88"/>
    <n v="9"/>
    <n v="4.0999999999999996"/>
  </r>
  <r>
    <n v="72580"/>
    <s v="Dining Room"/>
    <s v="China Cabinet"/>
    <x v="1"/>
    <x v="5"/>
    <x v="0"/>
    <x v="1"/>
    <x v="3"/>
    <n v="4267"/>
    <n v="499.55"/>
    <n v="75.39"/>
    <n v="0"/>
    <n v="574.94000000000005"/>
    <n v="3"/>
    <n v="2.6"/>
  </r>
  <r>
    <n v="47649"/>
    <s v="Outdoor"/>
    <s v="Garden Chair"/>
    <x v="11"/>
    <x v="0"/>
    <x v="0"/>
    <x v="1"/>
    <x v="2"/>
    <n v="6262"/>
    <n v="687.37"/>
    <n v="97.38"/>
    <n v="0"/>
    <n v="784.75"/>
    <n v="13"/>
    <n v="1.9"/>
  </r>
  <r>
    <n v="47409"/>
    <s v="Dining Room"/>
    <s v="Bar Stool"/>
    <x v="3"/>
    <x v="4"/>
    <x v="0"/>
    <x v="1"/>
    <x v="1"/>
    <n v="1969"/>
    <n v="375.47"/>
    <n v="50.03"/>
    <n v="0"/>
    <n v="425.5"/>
    <n v="14"/>
    <n v="2.8"/>
  </r>
  <r>
    <n v="21725"/>
    <s v="Office"/>
    <s v="Office Chair"/>
    <x v="11"/>
    <x v="3"/>
    <x v="0"/>
    <x v="1"/>
    <x v="2"/>
    <n v="4804"/>
    <n v="1162.3599999999999"/>
    <n v="146.87"/>
    <n v="0"/>
    <n v="1309.23"/>
    <n v="11"/>
    <n v="4.9000000000000004"/>
  </r>
  <r>
    <n v="80143"/>
    <s v="Outdoor"/>
    <s v="Garden Chair"/>
    <x v="3"/>
    <x v="2"/>
    <x v="1"/>
    <x v="1"/>
    <x v="3"/>
    <n v="1611"/>
    <n v="494.2"/>
    <n v="78.75"/>
    <n v="0"/>
    <n v="572.95000000000005"/>
    <n v="14"/>
    <n v="2.2999999999999998"/>
  </r>
  <r>
    <n v="32946"/>
    <s v="Kitchen"/>
    <s v="Bar Cart"/>
    <x v="1"/>
    <x v="2"/>
    <x v="1"/>
    <x v="1"/>
    <x v="4"/>
    <n v="7846"/>
    <n v="2054.44"/>
    <n v="94.01"/>
    <n v="0"/>
    <n v="2148.4499999999998"/>
    <n v="2"/>
    <m/>
  </r>
  <r>
    <n v="33040"/>
    <s v="Office"/>
    <s v="Computer Table"/>
    <x v="4"/>
    <x v="2"/>
    <x v="1"/>
    <x v="1"/>
    <x v="3"/>
    <n v="1595"/>
    <n v="747.22"/>
    <n v="54.6"/>
    <n v="0"/>
    <n v="801.82"/>
    <n v="12"/>
    <n v="3.8"/>
  </r>
  <r>
    <n v="62034"/>
    <s v="Kitchen"/>
    <s v="Pantry Cabinet"/>
    <x v="11"/>
    <x v="3"/>
    <x v="0"/>
    <x v="1"/>
    <x v="1"/>
    <n v="9116"/>
    <n v="430.5"/>
    <n v="29.21"/>
    <n v="0"/>
    <n v="459.71"/>
    <n v="5"/>
    <n v="2.8"/>
  </r>
  <r>
    <n v="34420"/>
    <s v="Bedroom"/>
    <s v="Chest of Drawers"/>
    <x v="11"/>
    <x v="4"/>
    <x v="0"/>
    <x v="1"/>
    <x v="5"/>
    <n v="5742"/>
    <n v="360.87"/>
    <n v="98.29"/>
    <n v="0"/>
    <n v="459.16"/>
    <n v="14"/>
    <n v="1.6"/>
  </r>
  <r>
    <n v="14910"/>
    <s v="Kitchen"/>
    <s v="Kitchen Island"/>
    <x v="5"/>
    <x v="5"/>
    <x v="0"/>
    <x v="1"/>
    <x v="2"/>
    <n v="1151"/>
    <n v="1264.17"/>
    <n v="104.66"/>
    <n v="0"/>
    <n v="1368.83"/>
    <n v="9"/>
    <n v="2.2000000000000002"/>
  </r>
  <r>
    <n v="49110"/>
    <s v="Living Room"/>
    <s v="Side Table"/>
    <x v="10"/>
    <x v="5"/>
    <x v="0"/>
    <x v="1"/>
    <x v="1"/>
    <n v="2758"/>
    <n v="1836.23"/>
    <n v="135.34"/>
    <n v="0"/>
    <n v="1971.57"/>
    <n v="12"/>
    <n v="1.7"/>
  </r>
  <r>
    <n v="53914"/>
    <s v="Dining Room"/>
    <s v="Bar Stool"/>
    <x v="1"/>
    <x v="3"/>
    <x v="0"/>
    <x v="1"/>
    <x v="4"/>
    <n v="5662"/>
    <n v="478.07"/>
    <n v="97.86"/>
    <n v="0"/>
    <n v="575.92999999999995"/>
    <n v="5"/>
    <n v="4.7"/>
  </r>
  <r>
    <n v="69552"/>
    <s v="Office"/>
    <s v="Filing Cabinet"/>
    <x v="8"/>
    <x v="4"/>
    <x v="0"/>
    <x v="0"/>
    <x v="1"/>
    <n v="9901"/>
    <n v="642.76"/>
    <m/>
    <n v="101.62"/>
    <n v="799.18"/>
    <n v="7"/>
    <n v="4.8"/>
  </r>
  <r>
    <n v="78723"/>
    <s v="Dining Room"/>
    <s v="China Cabinet"/>
    <x v="1"/>
    <x v="4"/>
    <x v="0"/>
    <x v="0"/>
    <x v="2"/>
    <n v="9092"/>
    <n v="734.13"/>
    <n v="0"/>
    <n v="49.36"/>
    <n v="783.49"/>
    <n v="13"/>
    <m/>
  </r>
  <r>
    <n v="27589"/>
    <s v="Living Room"/>
    <s v="Ottoman"/>
    <x v="9"/>
    <x v="5"/>
    <x v="0"/>
    <x v="0"/>
    <x v="4"/>
    <n v="9261"/>
    <n v="2321.7399999999998"/>
    <n v="149.29"/>
    <m/>
    <n v="2743.69"/>
    <n v="8"/>
    <n v="4.5"/>
  </r>
  <r>
    <n v="71344"/>
    <s v="Dining Room"/>
    <s v="Dining Table"/>
    <x v="3"/>
    <x v="3"/>
    <x v="0"/>
    <x v="1"/>
    <x v="1"/>
    <n v="5470"/>
    <n v="445.18"/>
    <n v="68.14"/>
    <n v="0"/>
    <n v="513.32000000000005"/>
    <n v="9"/>
    <n v="4"/>
  </r>
  <r>
    <n v="35272"/>
    <s v="Kitchen"/>
    <s v="Kitchen Cabinet"/>
    <x v="0"/>
    <x v="1"/>
    <x v="0"/>
    <x v="0"/>
    <x v="2"/>
    <n v="2845"/>
    <n v="313.98"/>
    <n v="87.12"/>
    <n v="30.63"/>
    <n v="431.73"/>
    <n v="7"/>
    <n v="4.4000000000000004"/>
  </r>
  <r>
    <n v="53343"/>
    <s v="Dining Room"/>
    <s v="China Cabinet"/>
    <x v="1"/>
    <x v="5"/>
    <x v="0"/>
    <x v="1"/>
    <x v="6"/>
    <n v="3662"/>
    <n v="969.73"/>
    <n v="126.99"/>
    <n v="0"/>
    <n v="1096.72"/>
    <n v="12"/>
    <n v="1.6"/>
  </r>
  <r>
    <n v="70150"/>
    <s v="Bedroom"/>
    <s v="Bed Frame"/>
    <x v="4"/>
    <x v="1"/>
    <x v="0"/>
    <x v="0"/>
    <x v="5"/>
    <n v="5215"/>
    <n v="224.74"/>
    <n v="70.14"/>
    <n v="77"/>
    <n v="371.88"/>
    <n v="2"/>
    <n v="2.2999999999999998"/>
  </r>
  <r>
    <n v="34405"/>
    <s v="Bedroom"/>
    <s v="Dresser"/>
    <x v="12"/>
    <x v="3"/>
    <x v="0"/>
    <x v="0"/>
    <x v="1"/>
    <n v="1230"/>
    <n v="615.37"/>
    <n v="73.3"/>
    <n v="102.73"/>
    <n v="791.4"/>
    <n v="8"/>
    <m/>
  </r>
  <r>
    <n v="54185"/>
    <s v="Outdoor"/>
    <s v="Garden Chair"/>
    <x v="1"/>
    <x v="4"/>
    <x v="0"/>
    <x v="0"/>
    <x v="3"/>
    <n v="5833"/>
    <n v="777.69"/>
    <n v="89.92"/>
    <n v="238.53"/>
    <n v="1106.1400000000001"/>
    <n v="2"/>
    <m/>
  </r>
  <r>
    <n v="84420"/>
    <s v="Outdoor"/>
    <s v="Umbrella"/>
    <x v="4"/>
    <x v="5"/>
    <x v="0"/>
    <x v="0"/>
    <x v="0"/>
    <n v="4164"/>
    <n v="350.81"/>
    <n v="81.75"/>
    <n v="261.10000000000002"/>
    <n v="693.66"/>
    <n v="6"/>
    <n v="2.2999999999999998"/>
  </r>
  <r>
    <n v="33002"/>
    <s v="Kitchen"/>
    <s v="Kitchen Cabinet"/>
    <x v="8"/>
    <x v="2"/>
    <x v="1"/>
    <x v="0"/>
    <x v="6"/>
    <n v="7643"/>
    <n v="1351.55"/>
    <n v="144.49"/>
    <n v="34.5"/>
    <n v="1530.54"/>
    <n v="7"/>
    <n v="4.4000000000000004"/>
  </r>
  <r>
    <n v="66059"/>
    <s v="Living Room"/>
    <s v="Armchair"/>
    <x v="6"/>
    <x v="2"/>
    <x v="1"/>
    <x v="0"/>
    <x v="0"/>
    <n v="9442"/>
    <n v="2375.66"/>
    <m/>
    <n v="281.39"/>
    <n v="2729.99"/>
    <n v="1"/>
    <n v="2.1"/>
  </r>
  <r>
    <n v="52982"/>
    <s v="Bedroom"/>
    <s v="Mattress"/>
    <x v="0"/>
    <x v="5"/>
    <x v="0"/>
    <x v="0"/>
    <x v="2"/>
    <n v="2421"/>
    <n v="655.47"/>
    <n v="0"/>
    <n v="84.75"/>
    <n v="740.22"/>
    <n v="13"/>
    <m/>
  </r>
  <r>
    <n v="62538"/>
    <s v="Outdoor"/>
    <s v="Outdoor Table"/>
    <x v="1"/>
    <x v="2"/>
    <x v="1"/>
    <x v="0"/>
    <x v="0"/>
    <n v="2562"/>
    <n v="763.31"/>
    <n v="65.75"/>
    <n v="96.81"/>
    <n v="925.87"/>
    <n v="3"/>
    <n v="4.2"/>
  </r>
  <r>
    <n v="34219"/>
    <s v="Bedroom"/>
    <s v="Bed Frame"/>
    <x v="8"/>
    <x v="3"/>
    <x v="0"/>
    <x v="1"/>
    <x v="1"/>
    <n v="3303"/>
    <n v="1568.03"/>
    <n v="112.53"/>
    <n v="0"/>
    <n v="1680.56"/>
    <n v="10"/>
    <n v="4.0999999999999996"/>
  </r>
  <r>
    <n v="72580"/>
    <s v="Living Room"/>
    <s v="Side Table"/>
    <x v="1"/>
    <x v="3"/>
    <x v="0"/>
    <x v="1"/>
    <x v="0"/>
    <n v="6301"/>
    <n v="2205.66"/>
    <n v="54.65"/>
    <n v="0"/>
    <n v="2260.31"/>
    <n v="13"/>
    <n v="3.1"/>
  </r>
  <r>
    <n v="42512"/>
    <s v="Dining Room"/>
    <s v="Dining Chair"/>
    <x v="1"/>
    <x v="4"/>
    <x v="0"/>
    <x v="0"/>
    <x v="2"/>
    <n v="1111"/>
    <n v="275.04000000000002"/>
    <n v="99.11"/>
    <n v="219.66"/>
    <n v="593.80999999999995"/>
    <n v="7"/>
    <n v="3.1"/>
  </r>
  <r>
    <n v="44181"/>
    <s v="Outdoor"/>
    <s v="Patio Set"/>
    <x v="2"/>
    <x v="0"/>
    <x v="0"/>
    <x v="0"/>
    <x v="1"/>
    <n v="7284"/>
    <n v="663.86"/>
    <n v="140.29"/>
    <n v="165.64"/>
    <n v="969.79"/>
    <n v="6"/>
    <n v="3.7"/>
  </r>
  <r>
    <n v="40870"/>
    <s v="Outdoor"/>
    <s v="Umbrella"/>
    <x v="11"/>
    <x v="4"/>
    <x v="0"/>
    <x v="0"/>
    <x v="0"/>
    <n v="8319"/>
    <n v="473.87"/>
    <n v="41.45"/>
    <n v="61.28"/>
    <n v="576.6"/>
    <n v="2"/>
    <n v="3.9"/>
  </r>
  <r>
    <n v="44995"/>
    <s v="Bedroom"/>
    <s v="Mattress"/>
    <x v="11"/>
    <x v="5"/>
    <x v="0"/>
    <x v="1"/>
    <x v="6"/>
    <n v="6400"/>
    <n v="864.41"/>
    <n v="80.11"/>
    <n v="0"/>
    <n v="944.52"/>
    <n v="11"/>
    <n v="3.1"/>
  </r>
  <r>
    <n v="49576"/>
    <s v="Office"/>
    <s v="Bookshelf"/>
    <x v="1"/>
    <x v="1"/>
    <x v="0"/>
    <x v="0"/>
    <x v="0"/>
    <n v="1187"/>
    <n v="1018.91"/>
    <n v="143.46"/>
    <n v="244.78"/>
    <n v="1407.15"/>
    <n v="13"/>
    <n v="1.7"/>
  </r>
  <r>
    <n v="44282"/>
    <s v="Bedroom"/>
    <s v="Mattress"/>
    <x v="0"/>
    <x v="0"/>
    <x v="0"/>
    <x v="1"/>
    <x v="1"/>
    <n v="6890"/>
    <n v="1280.78"/>
    <n v="0"/>
    <n v="0"/>
    <n v="1280.78"/>
    <n v="8"/>
    <n v="1.8"/>
  </r>
  <r>
    <n v="40972"/>
    <s v="Bedroom"/>
    <s v="Nightstand"/>
    <x v="8"/>
    <x v="5"/>
    <x v="0"/>
    <x v="1"/>
    <x v="6"/>
    <n v="2017"/>
    <n v="1920.74"/>
    <n v="61.78"/>
    <n v="0"/>
    <n v="1982.52"/>
    <n v="11"/>
    <n v="4.7"/>
  </r>
  <r>
    <n v="97528"/>
    <s v="Dining Room"/>
    <s v="Buffet"/>
    <x v="8"/>
    <x v="0"/>
    <x v="0"/>
    <x v="1"/>
    <x v="4"/>
    <n v="2936"/>
    <n v="1566.81"/>
    <n v="59.65"/>
    <n v="0"/>
    <n v="1626.46"/>
    <n v="13"/>
    <n v="1.3"/>
  </r>
  <r>
    <n v="71000"/>
    <s v="Living Room"/>
    <s v="Ottoman"/>
    <x v="7"/>
    <x v="1"/>
    <x v="0"/>
    <x v="1"/>
    <x v="6"/>
    <n v="6026"/>
    <n v="490.32"/>
    <n v="42.03"/>
    <n v="0"/>
    <n v="532.35"/>
    <n v="14"/>
    <m/>
  </r>
  <r>
    <n v="30934"/>
    <s v="Bedroom"/>
    <s v="Dresser"/>
    <x v="4"/>
    <x v="3"/>
    <x v="0"/>
    <x v="0"/>
    <x v="5"/>
    <n v="7642"/>
    <n v="1025.04"/>
    <n v="148.43"/>
    <n v="69.88"/>
    <n v="1243.3499999999999"/>
    <n v="9"/>
    <n v="4.4000000000000004"/>
  </r>
  <r>
    <n v="99925"/>
    <s v="Outdoor"/>
    <s v="Outdoor Table"/>
    <x v="8"/>
    <x v="5"/>
    <x v="0"/>
    <x v="0"/>
    <x v="0"/>
    <n v="9233"/>
    <n v="1017.2"/>
    <n v="106.29"/>
    <n v="153.94999999999999"/>
    <n v="1277.44"/>
    <n v="12"/>
    <n v="3.1"/>
  </r>
  <r>
    <n v="50760"/>
    <s v="Outdoor"/>
    <s v="Garden Chair"/>
    <x v="3"/>
    <x v="2"/>
    <x v="1"/>
    <x v="0"/>
    <x v="1"/>
    <n v="2923"/>
    <n v="1197.5999999999999"/>
    <n v="72.63"/>
    <n v="278.74"/>
    <n v="1548.97"/>
    <n v="5"/>
    <m/>
  </r>
  <r>
    <n v="93717"/>
    <s v="Kitchen"/>
    <s v="Pantry Cabinet"/>
    <x v="9"/>
    <x v="4"/>
    <x v="0"/>
    <x v="1"/>
    <x v="4"/>
    <n v="5833"/>
    <n v="2266.2399999999998"/>
    <n v="63.61"/>
    <n v="0"/>
    <n v="2329.85"/>
    <n v="1"/>
    <m/>
  </r>
  <r>
    <n v="58174"/>
    <s v="Dining Room"/>
    <s v="Dining Chair"/>
    <x v="4"/>
    <x v="0"/>
    <x v="0"/>
    <x v="0"/>
    <x v="2"/>
    <n v="4618"/>
    <n v="1853.8"/>
    <n v="145.93"/>
    <n v="171.05"/>
    <n v="2170.7800000000002"/>
    <n v="8"/>
    <n v="4.0999999999999996"/>
  </r>
  <r>
    <n v="38721"/>
    <s v="Bedroom"/>
    <s v="Chest of Drawers"/>
    <x v="1"/>
    <x v="0"/>
    <x v="0"/>
    <x v="1"/>
    <x v="0"/>
    <n v="3188"/>
    <n v="1344.18"/>
    <n v="74.86"/>
    <n v="0"/>
    <n v="1419.04"/>
    <n v="2"/>
    <n v="4.8"/>
  </r>
  <r>
    <n v="72676"/>
    <s v="Outdoor"/>
    <s v="Umbrella"/>
    <x v="5"/>
    <x v="1"/>
    <x v="0"/>
    <x v="1"/>
    <x v="0"/>
    <n v="3509"/>
    <n v="1708.16"/>
    <n v="0"/>
    <n v="0"/>
    <n v="1708.16"/>
    <n v="3"/>
    <n v="4"/>
  </r>
  <r>
    <n v="69634"/>
    <s v="Kitchen"/>
    <s v="Kitchen Cabinet"/>
    <x v="1"/>
    <x v="3"/>
    <x v="0"/>
    <x v="0"/>
    <x v="2"/>
    <n v="7121"/>
    <n v="1453.33"/>
    <n v="109.84"/>
    <n v="194.82"/>
    <n v="1757.99"/>
    <n v="2"/>
    <n v="3.4"/>
  </r>
  <r>
    <n v="64505"/>
    <s v="Outdoor"/>
    <s v="Outdoor Table"/>
    <x v="1"/>
    <x v="1"/>
    <x v="0"/>
    <x v="1"/>
    <x v="4"/>
    <n v="9998"/>
    <n v="1594.14"/>
    <n v="54.1"/>
    <n v="0"/>
    <n v="1648.24"/>
    <n v="2"/>
    <n v="2.7"/>
  </r>
  <r>
    <n v="71712"/>
    <s v="Office"/>
    <s v="Bookshelf"/>
    <x v="9"/>
    <x v="0"/>
    <x v="0"/>
    <x v="1"/>
    <x v="1"/>
    <n v="9806"/>
    <n v="398.98"/>
    <n v="32.729999999999997"/>
    <n v="0"/>
    <n v="431.71"/>
    <n v="4"/>
    <n v="3.7"/>
  </r>
  <r>
    <n v="97044"/>
    <s v="Living Room"/>
    <s v="Side Table"/>
    <x v="6"/>
    <x v="2"/>
    <x v="1"/>
    <x v="1"/>
    <x v="6"/>
    <n v="4578"/>
    <n v="441.94"/>
    <n v="82.75"/>
    <n v="0"/>
    <n v="524.69000000000005"/>
    <n v="5"/>
    <n v="2.2999999999999998"/>
  </r>
  <r>
    <n v="42435"/>
    <s v="Living Room"/>
    <s v="Sofa"/>
    <x v="9"/>
    <x v="0"/>
    <x v="0"/>
    <x v="0"/>
    <x v="3"/>
    <n v="2341"/>
    <n v="432.6"/>
    <n v="85.45"/>
    <n v="183.21"/>
    <n v="701.26"/>
    <n v="7"/>
    <n v="1.4"/>
  </r>
  <r>
    <n v="78879"/>
    <s v="Kitchen"/>
    <s v="Pantry Cabinet"/>
    <x v="2"/>
    <x v="3"/>
    <x v="0"/>
    <x v="0"/>
    <x v="2"/>
    <n v="8319"/>
    <n v="1634.58"/>
    <n v="116.76"/>
    <n v="39.76"/>
    <n v="1791.1"/>
    <n v="13"/>
    <n v="1.4"/>
  </r>
  <r>
    <n v="79228"/>
    <s v="Bedroom"/>
    <s v="Dresser"/>
    <x v="10"/>
    <x v="0"/>
    <x v="0"/>
    <x v="1"/>
    <x v="3"/>
    <n v="6927"/>
    <n v="1803.35"/>
    <n v="110.38"/>
    <n v="0"/>
    <n v="1913.73"/>
    <n v="12"/>
    <n v="2.4"/>
  </r>
  <r>
    <n v="20237"/>
    <s v="Kitchen"/>
    <s v="Kitchen Island"/>
    <x v="1"/>
    <x v="3"/>
    <x v="0"/>
    <x v="1"/>
    <x v="4"/>
    <n v="2838"/>
    <n v="2368.4299999999998"/>
    <n v="112.81"/>
    <n v="0"/>
    <n v="2481.2399999999998"/>
    <n v="11"/>
    <n v="1.9"/>
  </r>
  <r>
    <n v="18094"/>
    <s v="Dining Room"/>
    <s v="Dining Table"/>
    <x v="6"/>
    <x v="2"/>
    <x v="1"/>
    <x v="1"/>
    <x v="6"/>
    <n v="9972"/>
    <n v="655.33000000000004"/>
    <n v="52.84"/>
    <n v="0"/>
    <n v="708.17"/>
    <n v="14"/>
    <n v="2.4"/>
  </r>
  <r>
    <n v="76255"/>
    <s v="Bedroom"/>
    <s v="Dresser"/>
    <x v="1"/>
    <x v="5"/>
    <x v="0"/>
    <x v="1"/>
    <x v="3"/>
    <n v="4312"/>
    <n v="1421.12"/>
    <n v="0"/>
    <n v="0"/>
    <n v="1421.12"/>
    <n v="12"/>
    <n v="2.1"/>
  </r>
  <r>
    <n v="85065"/>
    <s v="Kitchen"/>
    <s v="Kitchen Cabinet"/>
    <x v="4"/>
    <x v="2"/>
    <x v="1"/>
    <x v="0"/>
    <x v="2"/>
    <n v="9792"/>
    <n v="1929.55"/>
    <n v="128.1"/>
    <n v="278.5"/>
    <n v="2336.15"/>
    <n v="6"/>
    <n v="3.2"/>
  </r>
  <r>
    <n v="29641"/>
    <s v="Dining Room"/>
    <s v="Dining Table"/>
    <x v="3"/>
    <x v="5"/>
    <x v="0"/>
    <x v="1"/>
    <x v="6"/>
    <n v="3695"/>
    <n v="1836.93"/>
    <n v="0"/>
    <n v="0"/>
    <n v="1836.93"/>
    <n v="6"/>
    <n v="3.6"/>
  </r>
  <r>
    <n v="53007"/>
    <s v="Outdoor"/>
    <s v="Lounge Chair"/>
    <x v="7"/>
    <x v="1"/>
    <x v="0"/>
    <x v="0"/>
    <x v="4"/>
    <n v="9525"/>
    <n v="728.48"/>
    <n v="139.58000000000001"/>
    <n v="66.14"/>
    <n v="934.2"/>
    <n v="2"/>
    <n v="2.2000000000000002"/>
  </r>
  <r>
    <n v="67912"/>
    <s v="Kitchen"/>
    <s v="Kitchen Cabinet"/>
    <x v="3"/>
    <x v="2"/>
    <x v="1"/>
    <x v="0"/>
    <x v="5"/>
    <n v="2904"/>
    <n v="1964.9"/>
    <n v="89.8"/>
    <n v="54.67"/>
    <n v="2109.37"/>
    <n v="12"/>
    <n v="4.5"/>
  </r>
  <r>
    <n v="99167"/>
    <s v="Outdoor"/>
    <s v="Outdoor Table"/>
    <x v="5"/>
    <x v="5"/>
    <x v="0"/>
    <x v="0"/>
    <x v="3"/>
    <n v="4365"/>
    <n v="1029.17"/>
    <n v="142.13"/>
    <n v="161.34"/>
    <n v="1332.64"/>
    <n v="2"/>
    <n v="1.9"/>
  </r>
  <r>
    <n v="86434"/>
    <s v="Bedroom"/>
    <s v="Chest of Drawers"/>
    <x v="1"/>
    <x v="3"/>
    <x v="0"/>
    <x v="0"/>
    <x v="6"/>
    <n v="9008"/>
    <n v="2979.13"/>
    <n v="0"/>
    <n v="62.27"/>
    <n v="3041.4"/>
    <n v="4"/>
    <n v="4.2"/>
  </r>
  <r>
    <n v="21919"/>
    <s v="Bedroom"/>
    <s v="Bed Frame"/>
    <x v="3"/>
    <x v="1"/>
    <x v="0"/>
    <x v="0"/>
    <x v="6"/>
    <n v="9361"/>
    <n v="2593.96"/>
    <n v="93.89"/>
    <n v="177.91"/>
    <n v="2865.76"/>
    <n v="9"/>
    <n v="3.5"/>
  </r>
  <r>
    <n v="68390"/>
    <s v="Outdoor"/>
    <s v="Outdoor Table"/>
    <x v="8"/>
    <x v="4"/>
    <x v="0"/>
    <x v="1"/>
    <x v="6"/>
    <n v="1911"/>
    <n v="1475.65"/>
    <n v="0"/>
    <n v="0"/>
    <n v="1475.65"/>
    <n v="6"/>
    <n v="4.7"/>
  </r>
  <r>
    <n v="69432"/>
    <s v="Living Room"/>
    <s v="Side Table"/>
    <x v="7"/>
    <x v="2"/>
    <x v="1"/>
    <x v="0"/>
    <x v="0"/>
    <n v="3161"/>
    <n v="509.33"/>
    <n v="148.63"/>
    <n v="54.83"/>
    <n v="712.79"/>
    <n v="13"/>
    <n v="3.8"/>
  </r>
  <r>
    <n v="77272"/>
    <s v="Kitchen"/>
    <s v="Bar Cart"/>
    <x v="0"/>
    <x v="0"/>
    <x v="0"/>
    <x v="0"/>
    <x v="1"/>
    <n v="7806"/>
    <n v="1884.23"/>
    <n v="114.5"/>
    <n v="190.37"/>
    <n v="2189.1"/>
    <n v="14"/>
    <m/>
  </r>
  <r>
    <n v="69873"/>
    <s v="Kitchen"/>
    <s v="Pantry Cabinet"/>
    <x v="9"/>
    <x v="5"/>
    <x v="0"/>
    <x v="0"/>
    <x v="0"/>
    <n v="1945"/>
    <n v="442.25"/>
    <n v="99.68"/>
    <n v="233.85"/>
    <n v="775.78"/>
    <n v="1"/>
    <n v="2.9"/>
  </r>
  <r>
    <n v="83242"/>
    <s v="Outdoor"/>
    <s v="Outdoor Table"/>
    <x v="0"/>
    <x v="0"/>
    <x v="0"/>
    <x v="1"/>
    <x v="1"/>
    <n v="8575"/>
    <n v="257.93"/>
    <n v="78.92"/>
    <n v="0"/>
    <n v="336.85"/>
    <n v="12"/>
    <m/>
  </r>
  <r>
    <n v="98181"/>
    <s v="Outdoor"/>
    <s v="Garden Chair"/>
    <x v="8"/>
    <x v="5"/>
    <x v="0"/>
    <x v="1"/>
    <x v="3"/>
    <n v="6049"/>
    <n v="1777.24"/>
    <n v="0"/>
    <n v="0"/>
    <n v="1777.24"/>
    <n v="5"/>
    <n v="3.7"/>
  </r>
  <r>
    <n v="12853"/>
    <s v="Kitchen"/>
    <s v="Pantry Cabinet"/>
    <x v="0"/>
    <x v="3"/>
    <x v="0"/>
    <x v="1"/>
    <x v="4"/>
    <n v="7487"/>
    <n v="617.30999999999995"/>
    <n v="118.13"/>
    <n v="0"/>
    <n v="735.44"/>
    <n v="14"/>
    <m/>
  </r>
  <r>
    <n v="43352"/>
    <s v="Dining Room"/>
    <s v="China Cabinet"/>
    <x v="1"/>
    <x v="5"/>
    <x v="0"/>
    <x v="0"/>
    <x v="0"/>
    <n v="1049"/>
    <n v="327.39999999999998"/>
    <n v="98.3"/>
    <n v="259.56"/>
    <n v="685.26"/>
    <n v="12"/>
    <n v="4.9000000000000004"/>
  </r>
  <r>
    <n v="38560"/>
    <s v="Outdoor"/>
    <s v="Lounge Chair"/>
    <x v="3"/>
    <x v="0"/>
    <x v="0"/>
    <x v="1"/>
    <x v="4"/>
    <n v="2196"/>
    <n v="1352.3"/>
    <n v="59.42"/>
    <n v="0"/>
    <n v="1411.72"/>
    <n v="10"/>
    <n v="3.7"/>
  </r>
  <r>
    <n v="15936"/>
    <s v="Office"/>
    <s v="Desk"/>
    <x v="11"/>
    <x v="0"/>
    <x v="0"/>
    <x v="1"/>
    <x v="0"/>
    <n v="7941"/>
    <n v="1283.1199999999999"/>
    <n v="0"/>
    <n v="0"/>
    <n v="1283.1199999999999"/>
    <n v="6"/>
    <n v="2.7"/>
  </r>
  <r>
    <n v="55158"/>
    <s v="Bedroom"/>
    <s v="Dresser"/>
    <x v="12"/>
    <x v="3"/>
    <x v="0"/>
    <x v="0"/>
    <x v="3"/>
    <n v="2044"/>
    <n v="1294.07"/>
    <n v="0"/>
    <n v="145.16999999999999"/>
    <n v="1439.24"/>
    <n v="2"/>
    <n v="1.1000000000000001"/>
  </r>
  <r>
    <n v="80931"/>
    <s v="Living Room"/>
    <s v="Side Table"/>
    <x v="0"/>
    <x v="4"/>
    <x v="0"/>
    <x v="0"/>
    <x v="6"/>
    <n v="1987"/>
    <n v="1058.24"/>
    <n v="0"/>
    <n v="33.17"/>
    <n v="1091.4100000000001"/>
    <n v="5"/>
    <m/>
  </r>
  <r>
    <n v="19046"/>
    <s v="Living Room"/>
    <s v="Coffee Table"/>
    <x v="0"/>
    <x v="5"/>
    <x v="0"/>
    <x v="0"/>
    <x v="1"/>
    <n v="8734"/>
    <n v="633.51"/>
    <n v="68.180000000000007"/>
    <n v="109.7"/>
    <n v="811.39"/>
    <n v="11"/>
    <n v="3.4"/>
  </r>
  <r>
    <n v="14159"/>
    <s v="Outdoor"/>
    <s v="Garden Chair"/>
    <x v="6"/>
    <x v="5"/>
    <x v="0"/>
    <x v="0"/>
    <x v="3"/>
    <n v="5703"/>
    <n v="987.09"/>
    <n v="94.51"/>
    <n v="45.18"/>
    <n v="1126.78"/>
    <n v="5"/>
    <n v="1.4"/>
  </r>
  <r>
    <n v="63591"/>
    <s v="Kitchen"/>
    <s v="Bar Cart"/>
    <x v="3"/>
    <x v="0"/>
    <x v="0"/>
    <x v="1"/>
    <x v="0"/>
    <n v="3948"/>
    <n v="2280.5100000000002"/>
    <n v="110.35"/>
    <n v="0"/>
    <n v="2390.86"/>
    <n v="8"/>
    <n v="3.2"/>
  </r>
  <r>
    <n v="27750"/>
    <s v="Outdoor"/>
    <s v="Umbrella"/>
    <x v="8"/>
    <x v="3"/>
    <x v="0"/>
    <x v="0"/>
    <x v="1"/>
    <n v="7887"/>
    <n v="258.01"/>
    <n v="43.47"/>
    <n v="98.02"/>
    <n v="399.5"/>
    <n v="8"/>
    <n v="2.6"/>
  </r>
  <r>
    <n v="59081"/>
    <s v="Outdoor"/>
    <s v="Umbrella"/>
    <x v="7"/>
    <x v="0"/>
    <x v="0"/>
    <x v="1"/>
    <x v="2"/>
    <n v="7266"/>
    <n v="312.99"/>
    <n v="63.99"/>
    <n v="0"/>
    <n v="376.98"/>
    <n v="9"/>
    <n v="3.8"/>
  </r>
  <r>
    <n v="68790"/>
    <s v="Kitchen"/>
    <s v="Bar Cart"/>
    <x v="10"/>
    <x v="3"/>
    <x v="0"/>
    <x v="0"/>
    <x v="1"/>
    <n v="7184"/>
    <n v="921.64"/>
    <n v="0"/>
    <n v="194.42"/>
    <n v="1116.06"/>
    <n v="7"/>
    <n v="2.5"/>
  </r>
  <r>
    <n v="59236"/>
    <s v="Living Room"/>
    <s v="TV Stand"/>
    <x v="12"/>
    <x v="5"/>
    <x v="0"/>
    <x v="1"/>
    <x v="0"/>
    <n v="2314"/>
    <n v="1490.88"/>
    <n v="80.59"/>
    <n v="0"/>
    <n v="1571.47"/>
    <n v="13"/>
    <n v="1.2"/>
  </r>
  <r>
    <n v="99486"/>
    <s v="Dining Room"/>
    <s v="China Cabinet"/>
    <x v="5"/>
    <x v="3"/>
    <x v="0"/>
    <x v="1"/>
    <x v="6"/>
    <n v="9835"/>
    <n v="1520.92"/>
    <n v="67.34"/>
    <n v="0"/>
    <n v="1588.26"/>
    <n v="12"/>
    <m/>
  </r>
  <r>
    <n v="27431"/>
    <s v="Office"/>
    <s v="Desk"/>
    <x v="7"/>
    <x v="2"/>
    <x v="1"/>
    <x v="1"/>
    <x v="4"/>
    <n v="6697"/>
    <n v="579.51"/>
    <n v="132.37"/>
    <n v="0"/>
    <n v="711.88"/>
    <n v="12"/>
    <n v="4.4000000000000004"/>
  </r>
  <r>
    <n v="25549"/>
    <s v="Outdoor"/>
    <s v="Patio Set"/>
    <x v="0"/>
    <x v="1"/>
    <x v="0"/>
    <x v="0"/>
    <x v="3"/>
    <n v="3924"/>
    <n v="1652.59"/>
    <n v="0"/>
    <n v="85.62"/>
    <n v="1738.21"/>
    <n v="2"/>
    <n v="3"/>
  </r>
  <r>
    <n v="80419"/>
    <s v="Living Room"/>
    <s v="Sofa"/>
    <x v="8"/>
    <x v="5"/>
    <x v="0"/>
    <x v="0"/>
    <x v="1"/>
    <n v="7439"/>
    <n v="2320.8000000000002"/>
    <n v="0"/>
    <n v="100.47"/>
    <n v="2421.27"/>
    <n v="4"/>
    <n v="4.7"/>
  </r>
  <r>
    <n v="79316"/>
    <s v="Bedroom"/>
    <s v="Dresser"/>
    <x v="6"/>
    <x v="2"/>
    <x v="1"/>
    <x v="0"/>
    <x v="5"/>
    <n v="3086"/>
    <n v="2765.11"/>
    <n v="65.59"/>
    <m/>
    <n v="3018.89"/>
    <n v="7"/>
    <n v="3.8"/>
  </r>
  <r>
    <n v="39188"/>
    <s v="Outdoor"/>
    <s v="Outdoor Table"/>
    <x v="10"/>
    <x v="2"/>
    <x v="1"/>
    <x v="1"/>
    <x v="3"/>
    <n v="1056"/>
    <n v="825.19"/>
    <n v="0"/>
    <n v="0"/>
    <n v="825.19"/>
    <n v="7"/>
    <n v="4.5999999999999996"/>
  </r>
  <r>
    <n v="12979"/>
    <s v="Living Room"/>
    <s v="Side Table"/>
    <x v="6"/>
    <x v="3"/>
    <x v="0"/>
    <x v="1"/>
    <x v="0"/>
    <n v="5888"/>
    <n v="1792.8"/>
    <m/>
    <n v="0"/>
    <n v="1792.8"/>
    <n v="3"/>
    <n v="1.9"/>
  </r>
  <r>
    <n v="70686"/>
    <s v="Bedroom"/>
    <s v="Nightstand"/>
    <x v="7"/>
    <x v="2"/>
    <x v="1"/>
    <x v="0"/>
    <x v="6"/>
    <n v="9920"/>
    <n v="339.53"/>
    <n v="65.27"/>
    <n v="195.53"/>
    <n v="600.33000000000004"/>
    <n v="12"/>
    <n v="2.6"/>
  </r>
  <r>
    <n v="65591"/>
    <s v="Kitchen"/>
    <s v="Kitchen Cabinet"/>
    <x v="12"/>
    <x v="0"/>
    <x v="0"/>
    <x v="0"/>
    <x v="1"/>
    <n v="9715"/>
    <n v="538.67999999999995"/>
    <n v="0"/>
    <n v="38.869999999999997"/>
    <n v="577.54999999999995"/>
    <n v="8"/>
    <n v="3.1"/>
  </r>
  <r>
    <n v="59712"/>
    <s v="Living Room"/>
    <s v="Sofa"/>
    <x v="0"/>
    <x v="3"/>
    <x v="0"/>
    <x v="0"/>
    <x v="4"/>
    <n v="4762"/>
    <n v="725.88"/>
    <n v="68.45"/>
    <n v="71.8"/>
    <n v="866.13"/>
    <n v="6"/>
    <n v="1.6"/>
  </r>
  <r>
    <n v="42441"/>
    <s v="Kitchen"/>
    <s v="Bar Cart"/>
    <x v="4"/>
    <x v="1"/>
    <x v="0"/>
    <x v="0"/>
    <x v="0"/>
    <n v="8546"/>
    <n v="1990.81"/>
    <n v="54.38"/>
    <n v="67.069999999999993"/>
    <n v="2112.2600000000002"/>
    <n v="5"/>
    <n v="2.4"/>
  </r>
  <r>
    <n v="55371"/>
    <s v="Office"/>
    <s v="Filing Cabinet"/>
    <x v="5"/>
    <x v="0"/>
    <x v="0"/>
    <x v="0"/>
    <x v="0"/>
    <n v="3541"/>
    <n v="297.39999999999998"/>
    <n v="46.89"/>
    <n v="59.2"/>
    <n v="403.49"/>
    <n v="4"/>
    <n v="3.9"/>
  </r>
  <r>
    <n v="46129"/>
    <s v="Bedroom"/>
    <s v="Wardrobe"/>
    <x v="2"/>
    <x v="0"/>
    <x v="0"/>
    <x v="1"/>
    <x v="3"/>
    <n v="4088"/>
    <n v="1656.39"/>
    <n v="64.34"/>
    <n v="0"/>
    <n v="1720.73"/>
    <n v="1"/>
    <m/>
  </r>
  <r>
    <n v="24790"/>
    <s v="Kitchen"/>
    <s v="Kitchen Island"/>
    <x v="2"/>
    <x v="1"/>
    <x v="0"/>
    <x v="1"/>
    <x v="5"/>
    <n v="1527"/>
    <n v="1660.89"/>
    <n v="0"/>
    <n v="0"/>
    <n v="1660.89"/>
    <n v="6"/>
    <m/>
  </r>
  <r>
    <n v="96533"/>
    <s v="Living Room"/>
    <s v="Armchair"/>
    <x v="6"/>
    <x v="3"/>
    <x v="0"/>
    <x v="1"/>
    <x v="3"/>
    <n v="7868"/>
    <n v="207.87"/>
    <n v="29.38"/>
    <n v="0"/>
    <n v="237.25"/>
    <n v="13"/>
    <n v="4.4000000000000004"/>
  </r>
  <r>
    <n v="90599"/>
    <s v="Kitchen"/>
    <s v="Kitchen Island"/>
    <x v="0"/>
    <x v="0"/>
    <x v="0"/>
    <x v="1"/>
    <x v="1"/>
    <n v="1256"/>
    <n v="343.55"/>
    <n v="86.8"/>
    <n v="0"/>
    <n v="430.35"/>
    <n v="10"/>
    <n v="2.1"/>
  </r>
  <r>
    <n v="41544"/>
    <s v="Outdoor"/>
    <s v="Garden Chair"/>
    <x v="7"/>
    <x v="2"/>
    <x v="1"/>
    <x v="1"/>
    <x v="5"/>
    <n v="4376"/>
    <n v="1276.75"/>
    <n v="84.51"/>
    <n v="0"/>
    <n v="1361.26"/>
    <n v="8"/>
    <n v="1.6"/>
  </r>
  <r>
    <n v="18819"/>
    <s v="Bedroom"/>
    <s v="Dresser"/>
    <x v="5"/>
    <x v="0"/>
    <x v="0"/>
    <x v="1"/>
    <x v="2"/>
    <n v="2653"/>
    <n v="1965.72"/>
    <n v="0"/>
    <n v="0"/>
    <n v="1965.72"/>
    <n v="5"/>
    <n v="2.5"/>
  </r>
  <r>
    <n v="87849"/>
    <s v="Dining Room"/>
    <s v="Dining Chair"/>
    <x v="3"/>
    <x v="0"/>
    <x v="0"/>
    <x v="0"/>
    <x v="1"/>
    <n v="1550"/>
    <n v="180.85"/>
    <n v="55.78"/>
    <n v="168.75"/>
    <n v="405.38"/>
    <n v="11"/>
    <n v="4.8"/>
  </r>
  <r>
    <n v="68515"/>
    <s v="Outdoor"/>
    <s v="Lounge Chair"/>
    <x v="4"/>
    <x v="5"/>
    <x v="0"/>
    <x v="1"/>
    <x v="5"/>
    <n v="1797"/>
    <n v="882.42"/>
    <n v="86.36"/>
    <n v="0"/>
    <n v="968.78"/>
    <n v="11"/>
    <n v="3.9"/>
  </r>
  <r>
    <n v="42077"/>
    <s v="Outdoor"/>
    <s v="Garden Chair"/>
    <x v="3"/>
    <x v="2"/>
    <x v="1"/>
    <x v="1"/>
    <x v="4"/>
    <n v="1724"/>
    <n v="1087.8399999999999"/>
    <n v="122.93"/>
    <n v="0"/>
    <n v="1210.77"/>
    <n v="8"/>
    <n v="4.0999999999999996"/>
  </r>
  <r>
    <n v="62725"/>
    <s v="Dining Room"/>
    <s v="Dining Chair"/>
    <x v="0"/>
    <x v="0"/>
    <x v="0"/>
    <x v="1"/>
    <x v="0"/>
    <n v="8191"/>
    <n v="846.38"/>
    <n v="104.28"/>
    <n v="0"/>
    <n v="950.66"/>
    <n v="5"/>
    <n v="4.8"/>
  </r>
  <r>
    <n v="40715"/>
    <s v="Bedroom"/>
    <s v="Mattress"/>
    <x v="4"/>
    <x v="0"/>
    <x v="0"/>
    <x v="1"/>
    <x v="3"/>
    <n v="9843"/>
    <n v="1112.4000000000001"/>
    <n v="115.97"/>
    <n v="0"/>
    <n v="1228.3699999999999"/>
    <n v="3"/>
    <n v="1.1000000000000001"/>
  </r>
  <r>
    <n v="38477"/>
    <s v="Outdoor"/>
    <s v="Garden Chair"/>
    <x v="10"/>
    <x v="5"/>
    <x v="0"/>
    <x v="0"/>
    <x v="2"/>
    <n v="1924"/>
    <n v="600.98"/>
    <n v="106.34"/>
    <n v="236.26"/>
    <n v="943.58"/>
    <n v="13"/>
    <n v="2.6"/>
  </r>
  <r>
    <n v="28367"/>
    <s v="Outdoor"/>
    <s v="Garden Chair"/>
    <x v="5"/>
    <x v="2"/>
    <x v="1"/>
    <x v="0"/>
    <x v="2"/>
    <n v="9255"/>
    <n v="1408.32"/>
    <n v="111.04"/>
    <n v="44.67"/>
    <n v="1564.03"/>
    <n v="2"/>
    <m/>
  </r>
  <r>
    <n v="47914"/>
    <s v="Living Room"/>
    <s v="TV Stand"/>
    <x v="10"/>
    <x v="0"/>
    <x v="0"/>
    <x v="0"/>
    <x v="6"/>
    <n v="4836"/>
    <n v="2342.59"/>
    <n v="124.36"/>
    <n v="184.07"/>
    <n v="2651.02"/>
    <n v="6"/>
    <n v="2.2999999999999998"/>
  </r>
  <r>
    <n v="85511"/>
    <s v="Outdoor"/>
    <s v="Garden Chair"/>
    <x v="1"/>
    <x v="4"/>
    <x v="0"/>
    <x v="0"/>
    <x v="3"/>
    <n v="6224"/>
    <n v="628.07000000000005"/>
    <n v="0"/>
    <n v="58.16"/>
    <n v="686.23"/>
    <n v="2"/>
    <n v="3.5"/>
  </r>
  <r>
    <n v="85690"/>
    <s v="Outdoor"/>
    <s v="Lounge Chair"/>
    <x v="5"/>
    <x v="5"/>
    <x v="0"/>
    <x v="0"/>
    <x v="1"/>
    <n v="6253"/>
    <n v="1304.77"/>
    <n v="0"/>
    <n v="41.6"/>
    <n v="1346.37"/>
    <n v="3"/>
    <n v="1.4"/>
  </r>
  <r>
    <n v="41051"/>
    <s v="Office"/>
    <s v="Filing Cabinet"/>
    <x v="5"/>
    <x v="0"/>
    <x v="0"/>
    <x v="1"/>
    <x v="4"/>
    <n v="5944"/>
    <n v="757.17"/>
    <n v="108.62"/>
    <n v="0"/>
    <n v="865.79"/>
    <n v="8"/>
    <n v="1.7"/>
  </r>
  <r>
    <n v="28777"/>
    <s v="Kitchen"/>
    <s v="Kitchen Cabinet"/>
    <x v="2"/>
    <x v="1"/>
    <x v="0"/>
    <x v="0"/>
    <x v="5"/>
    <n v="9540"/>
    <n v="2248.33"/>
    <n v="138.65"/>
    <n v="56.75"/>
    <n v="2443.73"/>
    <n v="5"/>
    <n v="4.7"/>
  </r>
  <r>
    <n v="38972"/>
    <s v="Outdoor"/>
    <s v="Outdoor Table"/>
    <x v="0"/>
    <x v="4"/>
    <x v="0"/>
    <x v="1"/>
    <x v="1"/>
    <n v="7775"/>
    <n v="632.38"/>
    <n v="128.66"/>
    <n v="0"/>
    <n v="761.04"/>
    <n v="10"/>
    <n v="3"/>
  </r>
  <r>
    <n v="49387"/>
    <s v="Bedroom"/>
    <s v="Dresser"/>
    <x v="8"/>
    <x v="5"/>
    <x v="0"/>
    <x v="1"/>
    <x v="0"/>
    <n v="5508"/>
    <n v="2576.0700000000002"/>
    <n v="0"/>
    <n v="0"/>
    <n v="2576.0700000000002"/>
    <n v="9"/>
    <n v="1.1000000000000001"/>
  </r>
  <r>
    <n v="17989"/>
    <s v="Outdoor"/>
    <s v="Garden Chair"/>
    <x v="9"/>
    <x v="1"/>
    <x v="0"/>
    <x v="1"/>
    <x v="1"/>
    <n v="3869"/>
    <n v="1305.8499999999999"/>
    <n v="0"/>
    <n v="0"/>
    <n v="1305.8499999999999"/>
    <n v="6"/>
    <m/>
  </r>
  <r>
    <n v="92050"/>
    <s v="Outdoor"/>
    <s v="Patio Set"/>
    <x v="5"/>
    <x v="1"/>
    <x v="0"/>
    <x v="0"/>
    <x v="4"/>
    <n v="7999"/>
    <n v="699.32"/>
    <n v="0"/>
    <n v="32.57"/>
    <n v="731.89"/>
    <n v="4"/>
    <n v="2.5"/>
  </r>
  <r>
    <n v="82856"/>
    <s v="Dining Room"/>
    <s v="Buffet"/>
    <x v="12"/>
    <x v="1"/>
    <x v="0"/>
    <x v="1"/>
    <x v="6"/>
    <n v="9120"/>
    <n v="737.71"/>
    <n v="135.36000000000001"/>
    <n v="0"/>
    <n v="873.07"/>
    <n v="7"/>
    <n v="1.5"/>
  </r>
  <r>
    <n v="16145"/>
    <s v="Kitchen"/>
    <s v="Bar Cart"/>
    <x v="12"/>
    <x v="2"/>
    <x v="1"/>
    <x v="1"/>
    <x v="2"/>
    <n v="6642"/>
    <n v="1375.43"/>
    <n v="0"/>
    <n v="0"/>
    <n v="1375.43"/>
    <n v="11"/>
    <m/>
  </r>
  <r>
    <n v="94320"/>
    <s v="Kitchen"/>
    <s v="Kitchen Island"/>
    <x v="0"/>
    <x v="5"/>
    <x v="0"/>
    <x v="0"/>
    <x v="2"/>
    <n v="7244"/>
    <n v="350.62"/>
    <n v="34.64"/>
    <n v="53.72"/>
    <n v="438.98"/>
    <n v="6"/>
    <m/>
  </r>
  <r>
    <n v="78742"/>
    <s v="Living Room"/>
    <s v="Sofa"/>
    <x v="12"/>
    <x v="1"/>
    <x v="0"/>
    <x v="1"/>
    <x v="2"/>
    <n v="6222"/>
    <n v="222.18"/>
    <n v="26.01"/>
    <n v="0"/>
    <n v="248.19"/>
    <n v="14"/>
    <n v="1.3"/>
  </r>
  <r>
    <n v="64568"/>
    <s v="Office"/>
    <s v="Bookshelf"/>
    <x v="1"/>
    <x v="3"/>
    <x v="0"/>
    <x v="0"/>
    <x v="4"/>
    <n v="7688"/>
    <n v="1196.31"/>
    <n v="0"/>
    <n v="42.6"/>
    <n v="1238.9100000000001"/>
    <n v="4"/>
    <n v="4.7"/>
  </r>
  <r>
    <n v="29558"/>
    <s v="Living Room"/>
    <s v="Sofa"/>
    <x v="9"/>
    <x v="0"/>
    <x v="0"/>
    <x v="0"/>
    <x v="3"/>
    <n v="5913"/>
    <n v="1195.83"/>
    <n v="71.02"/>
    <n v="198.06"/>
    <n v="1464.91"/>
    <n v="9"/>
    <n v="4.3"/>
  </r>
  <r>
    <n v="59343"/>
    <s v="Outdoor"/>
    <s v="Garden Chair"/>
    <x v="4"/>
    <x v="2"/>
    <x v="1"/>
    <x v="0"/>
    <x v="5"/>
    <n v="4012"/>
    <n v="924.2"/>
    <n v="109.18"/>
    <n v="177.74"/>
    <n v="1211.1199999999999"/>
    <n v="1"/>
    <m/>
  </r>
  <r>
    <n v="80507"/>
    <s v="Kitchen"/>
    <s v="Bar Cart"/>
    <x v="12"/>
    <x v="2"/>
    <x v="1"/>
    <x v="0"/>
    <x v="3"/>
    <n v="8758"/>
    <n v="1839.93"/>
    <n v="57.58"/>
    <n v="175.63"/>
    <n v="2073.14"/>
    <n v="4"/>
    <n v="3.5"/>
  </r>
  <r>
    <n v="41584"/>
    <s v="Office"/>
    <s v="Computer Table"/>
    <x v="5"/>
    <x v="1"/>
    <x v="0"/>
    <x v="1"/>
    <x v="4"/>
    <n v="4692"/>
    <n v="989.64"/>
    <n v="0"/>
    <n v="0"/>
    <n v="989.64"/>
    <n v="14"/>
    <n v="2"/>
  </r>
  <r>
    <n v="49418"/>
    <s v="Dining Room"/>
    <s v="Bar Stool"/>
    <x v="12"/>
    <x v="3"/>
    <x v="0"/>
    <x v="0"/>
    <x v="4"/>
    <n v="3365"/>
    <n v="1533.16"/>
    <n v="0"/>
    <n v="201.63"/>
    <n v="1734.79"/>
    <n v="12"/>
    <m/>
  </r>
  <r>
    <n v="70689"/>
    <s v="Outdoor"/>
    <s v="Lounge Chair"/>
    <x v="2"/>
    <x v="4"/>
    <x v="0"/>
    <x v="0"/>
    <x v="6"/>
    <n v="1944"/>
    <n v="169.8"/>
    <n v="80.819999999999993"/>
    <n v="158.81"/>
    <n v="409.43"/>
    <n v="6"/>
    <n v="3.4"/>
  </r>
  <r>
    <n v="83713"/>
    <s v="Outdoor"/>
    <s v="Outdoor Table"/>
    <x v="9"/>
    <x v="5"/>
    <x v="0"/>
    <x v="1"/>
    <x v="5"/>
    <n v="7761"/>
    <n v="893.8"/>
    <n v="98.04"/>
    <n v="0"/>
    <n v="991.84"/>
    <n v="5"/>
    <n v="2.2999999999999998"/>
  </r>
  <r>
    <n v="64592"/>
    <s v="Kitchen"/>
    <s v="Bar Cart"/>
    <x v="3"/>
    <x v="0"/>
    <x v="0"/>
    <x v="1"/>
    <x v="2"/>
    <n v="9683"/>
    <n v="393.94"/>
    <n v="51.47"/>
    <n v="0"/>
    <n v="445.41"/>
    <n v="8"/>
    <n v="4.2"/>
  </r>
  <r>
    <n v="27575"/>
    <s v="Office"/>
    <s v="Filing Cabinet"/>
    <x v="8"/>
    <x v="0"/>
    <x v="0"/>
    <x v="1"/>
    <x v="2"/>
    <n v="7363"/>
    <n v="296.81"/>
    <n v="80.34"/>
    <n v="0"/>
    <n v="377.15"/>
    <n v="7"/>
    <n v="4.5"/>
  </r>
  <r>
    <n v="41831"/>
    <s v="Outdoor"/>
    <s v="Garden Chair"/>
    <x v="10"/>
    <x v="5"/>
    <x v="0"/>
    <x v="0"/>
    <x v="6"/>
    <n v="5177"/>
    <n v="809.04"/>
    <n v="0"/>
    <n v="79.650000000000006"/>
    <n v="888.69"/>
    <n v="3"/>
    <n v="1.1000000000000001"/>
  </r>
  <r>
    <n v="36651"/>
    <s v="Dining Room"/>
    <s v="Dining Chair"/>
    <x v="4"/>
    <x v="5"/>
    <x v="0"/>
    <x v="1"/>
    <x v="1"/>
    <n v="6411"/>
    <n v="141.19"/>
    <n v="54.42"/>
    <n v="0"/>
    <n v="195.61"/>
    <n v="14"/>
    <n v="3.2"/>
  </r>
  <r>
    <n v="94765"/>
    <s v="Kitchen"/>
    <s v="Pantry Cabinet"/>
    <x v="12"/>
    <x v="2"/>
    <x v="1"/>
    <x v="0"/>
    <x v="5"/>
    <n v="2295"/>
    <n v="1252.28"/>
    <n v="65.98"/>
    <n v="196.14"/>
    <n v="1514.4"/>
    <n v="2"/>
    <n v="3.8"/>
  </r>
  <r>
    <n v="68954"/>
    <s v="Bedroom"/>
    <s v="Wardrobe"/>
    <x v="12"/>
    <x v="4"/>
    <x v="0"/>
    <x v="0"/>
    <x v="0"/>
    <n v="7079"/>
    <n v="2838.51"/>
    <n v="91.63"/>
    <n v="163.15"/>
    <n v="3093.29"/>
    <n v="6"/>
    <n v="3.7"/>
  </r>
  <r>
    <n v="22119"/>
    <s v="Kitchen"/>
    <s v="Bar Cart"/>
    <x v="10"/>
    <x v="2"/>
    <x v="1"/>
    <x v="0"/>
    <x v="1"/>
    <n v="9775"/>
    <n v="1465.2"/>
    <n v="87.34"/>
    <n v="156.53"/>
    <n v="1709.07"/>
    <n v="8"/>
    <m/>
  </r>
  <r>
    <n v="34966"/>
    <s v="Bedroom"/>
    <s v="Mattress"/>
    <x v="11"/>
    <x v="4"/>
    <x v="0"/>
    <x v="1"/>
    <x v="6"/>
    <n v="1844"/>
    <n v="2842.04"/>
    <n v="141.01"/>
    <n v="0"/>
    <n v="2983.05"/>
    <n v="11"/>
    <n v="4.9000000000000004"/>
  </r>
  <r>
    <n v="45187"/>
    <s v="Kitchen"/>
    <s v="Kitchen Cabinet"/>
    <x v="5"/>
    <x v="2"/>
    <x v="1"/>
    <x v="0"/>
    <x v="3"/>
    <n v="7179"/>
    <n v="1836.33"/>
    <n v="146.55000000000001"/>
    <n v="90.67"/>
    <n v="2073.5500000000002"/>
    <n v="4"/>
    <n v="2.9"/>
  </r>
  <r>
    <n v="98299"/>
    <s v="Living Room"/>
    <s v="Armchair"/>
    <x v="9"/>
    <x v="2"/>
    <x v="1"/>
    <x v="1"/>
    <x v="0"/>
    <n v="1647"/>
    <n v="1925.44"/>
    <n v="58.13"/>
    <n v="0"/>
    <n v="1983.57"/>
    <n v="8"/>
    <n v="4.5999999999999996"/>
  </r>
  <r>
    <n v="19539"/>
    <s v="Office"/>
    <s v="Filing Cabinet"/>
    <x v="5"/>
    <x v="2"/>
    <x v="1"/>
    <x v="0"/>
    <x v="6"/>
    <n v="4082"/>
    <n v="1183.96"/>
    <n v="77.62"/>
    <n v="184.78"/>
    <n v="1446.36"/>
    <n v="1"/>
    <n v="1.9"/>
  </r>
  <r>
    <n v="87015"/>
    <s v="Kitchen"/>
    <s v="Pantry Cabinet"/>
    <x v="6"/>
    <x v="5"/>
    <x v="0"/>
    <x v="1"/>
    <x v="3"/>
    <n v="4555"/>
    <n v="1536.13"/>
    <n v="145.66999999999999"/>
    <n v="0"/>
    <n v="1681.8"/>
    <n v="6"/>
    <n v="3.1"/>
  </r>
  <r>
    <n v="72835"/>
    <s v="Kitchen"/>
    <s v="Kitchen Island"/>
    <x v="5"/>
    <x v="2"/>
    <x v="1"/>
    <x v="0"/>
    <x v="6"/>
    <n v="4422"/>
    <n v="950.36"/>
    <n v="0"/>
    <n v="124.82"/>
    <n v="1075.18"/>
    <n v="7"/>
    <n v="4.3"/>
  </r>
  <r>
    <n v="53642"/>
    <s v="Bedroom"/>
    <s v="Mattress"/>
    <x v="1"/>
    <x v="0"/>
    <x v="0"/>
    <x v="1"/>
    <x v="4"/>
    <n v="5967"/>
    <n v="993.89"/>
    <n v="0"/>
    <n v="0"/>
    <n v="993.89"/>
    <n v="2"/>
    <n v="4.0999999999999996"/>
  </r>
  <r>
    <n v="12009"/>
    <s v="Office"/>
    <s v="Computer Table"/>
    <x v="4"/>
    <x v="1"/>
    <x v="0"/>
    <x v="1"/>
    <x v="3"/>
    <n v="4470"/>
    <n v="302.91000000000003"/>
    <n v="58.31"/>
    <n v="0"/>
    <n v="361.22"/>
    <n v="2"/>
    <n v="2.8"/>
  </r>
  <r>
    <n v="34906"/>
    <s v="Office"/>
    <s v="Bookshelf"/>
    <x v="8"/>
    <x v="1"/>
    <x v="0"/>
    <x v="0"/>
    <x v="1"/>
    <n v="2922"/>
    <n v="311.32"/>
    <n v="34.64"/>
    <n v="26.31"/>
    <n v="372.27"/>
    <n v="6"/>
    <n v="2.5"/>
  </r>
  <r>
    <n v="72773"/>
    <s v="Kitchen"/>
    <s v="Kitchen Island"/>
    <x v="11"/>
    <x v="2"/>
    <x v="1"/>
    <x v="1"/>
    <x v="3"/>
    <n v="4974"/>
    <n v="1683.56"/>
    <n v="89.55"/>
    <n v="0"/>
    <n v="1773.11"/>
    <n v="10"/>
    <n v="1.1000000000000001"/>
  </r>
  <r>
    <n v="89220"/>
    <s v="Kitchen"/>
    <s v="Kitchen Island"/>
    <x v="2"/>
    <x v="4"/>
    <x v="0"/>
    <x v="0"/>
    <x v="5"/>
    <n v="4350"/>
    <n v="2243.17"/>
    <n v="0"/>
    <n v="159.58000000000001"/>
    <n v="2402.75"/>
    <n v="2"/>
    <m/>
  </r>
  <r>
    <n v="61987"/>
    <s v="Outdoor"/>
    <s v="Garden Chair"/>
    <x v="8"/>
    <x v="3"/>
    <x v="0"/>
    <x v="1"/>
    <x v="1"/>
    <n v="4921"/>
    <n v="301.57"/>
    <n v="52.02"/>
    <n v="0"/>
    <n v="353.59"/>
    <n v="6"/>
    <m/>
  </r>
  <r>
    <n v="82362"/>
    <s v="Office"/>
    <s v="Computer Table"/>
    <x v="4"/>
    <x v="0"/>
    <x v="0"/>
    <x v="1"/>
    <x v="5"/>
    <n v="6269"/>
    <n v="168.25"/>
    <n v="56.23"/>
    <n v="0"/>
    <n v="224.48"/>
    <n v="12"/>
    <n v="4.3"/>
  </r>
  <r>
    <n v="47101"/>
    <s v="Living Room"/>
    <s v="TV Stand"/>
    <x v="4"/>
    <x v="5"/>
    <x v="0"/>
    <x v="0"/>
    <x v="5"/>
    <n v="7236"/>
    <n v="723.01"/>
    <n v="0"/>
    <n v="41.07"/>
    <n v="764.08"/>
    <n v="12"/>
    <n v="1.2"/>
  </r>
  <r>
    <n v="71112"/>
    <s v="Bedroom"/>
    <s v="Wardrobe"/>
    <x v="5"/>
    <x v="1"/>
    <x v="0"/>
    <x v="1"/>
    <x v="4"/>
    <n v="9743"/>
    <n v="1060.46"/>
    <n v="113.43"/>
    <n v="0"/>
    <n v="1173.8900000000001"/>
    <n v="1"/>
    <n v="2.2000000000000002"/>
  </r>
  <r>
    <n v="95029"/>
    <s v="Outdoor"/>
    <s v="Lounge Chair"/>
    <x v="12"/>
    <x v="3"/>
    <x v="0"/>
    <x v="0"/>
    <x v="3"/>
    <n v="6886"/>
    <n v="1057.55"/>
    <n v="0"/>
    <n v="61.48"/>
    <n v="1119.03"/>
    <n v="8"/>
    <m/>
  </r>
  <r>
    <n v="50425"/>
    <s v="Dining Room"/>
    <s v="China Cabinet"/>
    <x v="7"/>
    <x v="2"/>
    <x v="1"/>
    <x v="0"/>
    <x v="3"/>
    <n v="5285"/>
    <n v="1807.3"/>
    <m/>
    <n v="76.81"/>
    <n v="1884.11"/>
    <n v="11"/>
    <n v="2.1"/>
  </r>
  <r>
    <n v="57139"/>
    <s v="Office"/>
    <s v="Desk"/>
    <x v="11"/>
    <x v="0"/>
    <x v="0"/>
    <x v="0"/>
    <x v="0"/>
    <n v="9401"/>
    <n v="1265.45"/>
    <n v="75.63"/>
    <n v="189.79"/>
    <n v="1530.87"/>
    <n v="7"/>
    <m/>
  </r>
  <r>
    <n v="75179"/>
    <s v="Office"/>
    <s v="Computer Table"/>
    <x v="4"/>
    <x v="5"/>
    <x v="0"/>
    <x v="0"/>
    <x v="2"/>
    <n v="8635"/>
    <n v="1454.18"/>
    <n v="127"/>
    <n v="55.63"/>
    <n v="1636.81"/>
    <n v="7"/>
    <n v="4"/>
  </r>
  <r>
    <n v="22924"/>
    <s v="Kitchen"/>
    <s v="Kitchen Cabinet"/>
    <x v="4"/>
    <x v="4"/>
    <x v="0"/>
    <x v="1"/>
    <x v="2"/>
    <n v="8692"/>
    <n v="2132.4499999999998"/>
    <n v="138.66999999999999"/>
    <n v="0"/>
    <n v="2271.12"/>
    <n v="6"/>
    <n v="3.6"/>
  </r>
  <r>
    <n v="51973"/>
    <s v="Dining Room"/>
    <s v="Dining Chair"/>
    <x v="3"/>
    <x v="4"/>
    <x v="0"/>
    <x v="0"/>
    <x v="2"/>
    <n v="4328"/>
    <n v="1071.0899999999999"/>
    <n v="71.64"/>
    <n v="120.64"/>
    <n v="1263.3699999999999"/>
    <n v="12"/>
    <n v="2.2999999999999998"/>
  </r>
  <r>
    <n v="58589"/>
    <s v="Bedroom"/>
    <s v="Nightstand"/>
    <x v="5"/>
    <x v="2"/>
    <x v="1"/>
    <x v="0"/>
    <x v="0"/>
    <n v="6126"/>
    <n v="1518.5"/>
    <n v="129.5"/>
    <n v="40.409999999999997"/>
    <n v="1688.41"/>
    <n v="1"/>
    <n v="3.5"/>
  </r>
  <r>
    <n v="64254"/>
    <s v="Dining Room"/>
    <s v="Buffet"/>
    <x v="12"/>
    <x v="3"/>
    <x v="0"/>
    <x v="0"/>
    <x v="6"/>
    <n v="1749"/>
    <n v="824.7"/>
    <n v="65.95"/>
    <n v="121.53"/>
    <n v="1012.18"/>
    <n v="4"/>
    <n v="4"/>
  </r>
  <r>
    <n v="83731"/>
    <s v="Office"/>
    <s v="Office Chair"/>
    <x v="4"/>
    <x v="3"/>
    <x v="0"/>
    <x v="0"/>
    <x v="4"/>
    <n v="4625"/>
    <n v="502.41"/>
    <n v="0"/>
    <n v="114.18"/>
    <n v="616.59"/>
    <n v="8"/>
    <n v="4.5"/>
  </r>
  <r>
    <n v="29126"/>
    <s v="Outdoor"/>
    <s v="Patio Set"/>
    <x v="7"/>
    <x v="2"/>
    <x v="1"/>
    <x v="0"/>
    <x v="6"/>
    <n v="1265"/>
    <n v="1602.48"/>
    <n v="67.459999999999994"/>
    <n v="43.12"/>
    <n v="1713.06"/>
    <n v="8"/>
    <n v="3.3"/>
  </r>
  <r>
    <n v="44180"/>
    <s v="Living Room"/>
    <s v="Side Table"/>
    <x v="3"/>
    <x v="0"/>
    <x v="0"/>
    <x v="0"/>
    <x v="1"/>
    <n v="7841"/>
    <n v="1495.43"/>
    <n v="0"/>
    <n v="53.26"/>
    <n v="1548.69"/>
    <n v="11"/>
    <n v="1.1000000000000001"/>
  </r>
  <r>
    <n v="48691"/>
    <s v="Bedroom"/>
    <s v="Bed Frame"/>
    <x v="5"/>
    <x v="1"/>
    <x v="0"/>
    <x v="0"/>
    <x v="6"/>
    <n v="3497"/>
    <n v="1793.77"/>
    <n v="0"/>
    <m/>
    <n v="1964.76"/>
    <n v="12"/>
    <n v="4.2"/>
  </r>
  <r>
    <n v="35715"/>
    <s v="Bedroom"/>
    <s v="Mattress"/>
    <x v="9"/>
    <x v="3"/>
    <x v="0"/>
    <x v="0"/>
    <x v="6"/>
    <n v="6404"/>
    <n v="2115.5700000000002"/>
    <n v="149.58000000000001"/>
    <n v="233.84"/>
    <n v="2498.9899999999998"/>
    <n v="12"/>
    <n v="1.9"/>
  </r>
  <r>
    <n v="40149"/>
    <s v="Dining Room"/>
    <s v="Dining Table"/>
    <x v="8"/>
    <x v="1"/>
    <x v="0"/>
    <x v="0"/>
    <x v="4"/>
    <n v="7223"/>
    <n v="1236.29"/>
    <n v="97.25"/>
    <n v="165.86"/>
    <n v="1499.4"/>
    <n v="6"/>
    <n v="3.2"/>
  </r>
  <r>
    <n v="84683"/>
    <s v="Dining Room"/>
    <s v="Buffet"/>
    <x v="6"/>
    <x v="0"/>
    <x v="0"/>
    <x v="1"/>
    <x v="4"/>
    <n v="5026"/>
    <n v="430.53"/>
    <n v="55.13"/>
    <m/>
    <n v="485.66"/>
    <n v="6"/>
    <n v="1.6"/>
  </r>
  <r>
    <n v="75444"/>
    <s v="Kitchen"/>
    <s v="Pantry Cabinet"/>
    <x v="6"/>
    <x v="5"/>
    <x v="0"/>
    <x v="0"/>
    <x v="0"/>
    <n v="6530"/>
    <n v="1092.72"/>
    <n v="110.22"/>
    <n v="192.47"/>
    <n v="1395.41"/>
    <n v="11"/>
    <n v="4"/>
  </r>
  <r>
    <n v="43728"/>
    <s v="Dining Room"/>
    <s v="China Cabinet"/>
    <x v="0"/>
    <x v="5"/>
    <x v="0"/>
    <x v="1"/>
    <x v="2"/>
    <n v="9005"/>
    <n v="1844.77"/>
    <n v="64.510000000000005"/>
    <n v="0"/>
    <n v="1909.28"/>
    <n v="9"/>
    <n v="4"/>
  </r>
  <r>
    <n v="94108"/>
    <s v="Bedroom"/>
    <s v="Chest of Drawers"/>
    <x v="1"/>
    <x v="1"/>
    <x v="0"/>
    <x v="0"/>
    <x v="5"/>
    <n v="9037"/>
    <n v="1279.5999999999999"/>
    <n v="138.07"/>
    <n v="39.39"/>
    <n v="1457.06"/>
    <n v="5"/>
    <n v="3.7"/>
  </r>
  <r>
    <n v="70401"/>
    <s v="Outdoor"/>
    <s v="Outdoor Table"/>
    <x v="12"/>
    <x v="5"/>
    <x v="0"/>
    <x v="1"/>
    <x v="3"/>
    <n v="3756"/>
    <n v="957.15"/>
    <n v="133.65"/>
    <n v="0"/>
    <n v="1090.8"/>
    <n v="9"/>
    <n v="3.1"/>
  </r>
  <r>
    <n v="56160"/>
    <s v="Dining Room"/>
    <s v="Buffet"/>
    <x v="4"/>
    <x v="1"/>
    <x v="0"/>
    <x v="1"/>
    <x v="0"/>
    <n v="3773"/>
    <n v="1406.82"/>
    <n v="72.58"/>
    <m/>
    <n v="1479.4"/>
    <n v="3"/>
    <n v="4.5999999999999996"/>
  </r>
  <r>
    <n v="28344"/>
    <s v="Kitchen"/>
    <s v="Kitchen Island"/>
    <x v="4"/>
    <x v="4"/>
    <x v="0"/>
    <x v="1"/>
    <x v="4"/>
    <n v="9954"/>
    <n v="1389.45"/>
    <n v="119.49"/>
    <n v="0"/>
    <n v="1508.94"/>
    <n v="4"/>
    <n v="2.2000000000000002"/>
  </r>
  <r>
    <n v="74004"/>
    <s v="Living Room"/>
    <s v="Coffee Table"/>
    <x v="10"/>
    <x v="3"/>
    <x v="0"/>
    <x v="0"/>
    <x v="1"/>
    <n v="4015"/>
    <n v="254.06"/>
    <n v="27.33"/>
    <n v="59.29"/>
    <n v="340.68"/>
    <n v="13"/>
    <n v="1.3"/>
  </r>
  <r>
    <n v="81058"/>
    <s v="Dining Room"/>
    <s v="Buffet"/>
    <x v="0"/>
    <x v="4"/>
    <x v="0"/>
    <x v="1"/>
    <x v="1"/>
    <n v="1962"/>
    <n v="120.08"/>
    <n v="69.819999999999993"/>
    <n v="0"/>
    <n v="189.9"/>
    <n v="7"/>
    <n v="2.2000000000000002"/>
  </r>
  <r>
    <n v="78674"/>
    <s v="Outdoor"/>
    <s v="Umbrella"/>
    <x v="10"/>
    <x v="0"/>
    <x v="0"/>
    <x v="1"/>
    <x v="2"/>
    <n v="1554"/>
    <n v="1129"/>
    <n v="147.69999999999999"/>
    <n v="0"/>
    <n v="1276.7"/>
    <n v="6"/>
    <n v="2"/>
  </r>
  <r>
    <n v="19742"/>
    <s v="Kitchen"/>
    <s v="Kitchen Island"/>
    <x v="2"/>
    <x v="0"/>
    <x v="0"/>
    <x v="1"/>
    <x v="6"/>
    <n v="1794"/>
    <n v="1229.94"/>
    <n v="138.06"/>
    <n v="0"/>
    <n v="1368"/>
    <n v="1"/>
    <n v="4.9000000000000004"/>
  </r>
  <r>
    <n v="10836"/>
    <s v="Kitchen"/>
    <s v="Kitchen Island"/>
    <x v="5"/>
    <x v="2"/>
    <x v="1"/>
    <x v="0"/>
    <x v="6"/>
    <n v="7756"/>
    <n v="482.52"/>
    <n v="79.319999999999993"/>
    <n v="206.98"/>
    <n v="768.82"/>
    <n v="6"/>
    <n v="4.9000000000000004"/>
  </r>
  <r>
    <n v="28021"/>
    <s v="Kitchen"/>
    <s v="Pantry Cabinet"/>
    <x v="1"/>
    <x v="0"/>
    <x v="0"/>
    <x v="0"/>
    <x v="6"/>
    <n v="4791"/>
    <n v="776.42"/>
    <n v="51.03"/>
    <n v="48.39"/>
    <n v="875.84"/>
    <n v="8"/>
    <m/>
  </r>
  <r>
    <n v="18908"/>
    <s v="Outdoor"/>
    <s v="Umbrella"/>
    <x v="10"/>
    <x v="2"/>
    <x v="1"/>
    <x v="0"/>
    <x v="2"/>
    <n v="3474"/>
    <n v="790.49"/>
    <n v="115.37"/>
    <n v="158.57"/>
    <n v="1064.43"/>
    <n v="12"/>
    <n v="1.7"/>
  </r>
  <r>
    <n v="11198"/>
    <s v="Bedroom"/>
    <s v="Bed Frame"/>
    <x v="9"/>
    <x v="1"/>
    <x v="0"/>
    <x v="0"/>
    <x v="5"/>
    <n v="4583"/>
    <n v="977.32"/>
    <n v="60.97"/>
    <n v="29.98"/>
    <n v="1068.27"/>
    <n v="8"/>
    <n v="2.5"/>
  </r>
  <r>
    <n v="76287"/>
    <s v="Office"/>
    <s v="Office Chair"/>
    <x v="2"/>
    <x v="3"/>
    <x v="0"/>
    <x v="1"/>
    <x v="5"/>
    <n v="8471"/>
    <n v="509.23"/>
    <n v="0"/>
    <n v="0"/>
    <n v="509.23"/>
    <n v="4"/>
    <n v="4.2"/>
  </r>
  <r>
    <n v="58916"/>
    <s v="Bedroom"/>
    <s v="Mattress"/>
    <x v="5"/>
    <x v="1"/>
    <x v="0"/>
    <x v="1"/>
    <x v="3"/>
    <n v="1990"/>
    <n v="2260.02"/>
    <n v="106.28"/>
    <n v="0"/>
    <n v="2366.3000000000002"/>
    <n v="8"/>
    <n v="3.8"/>
  </r>
  <r>
    <n v="90980"/>
    <s v="Outdoor"/>
    <s v="Outdoor Table"/>
    <x v="3"/>
    <x v="3"/>
    <x v="0"/>
    <x v="1"/>
    <x v="0"/>
    <n v="8916"/>
    <n v="1197.47"/>
    <n v="0"/>
    <n v="0"/>
    <n v="1197.47"/>
    <n v="1"/>
    <n v="3.2"/>
  </r>
  <r>
    <n v="96413"/>
    <s v="Living Room"/>
    <s v="TV Stand"/>
    <x v="1"/>
    <x v="1"/>
    <x v="0"/>
    <x v="0"/>
    <x v="5"/>
    <n v="8993"/>
    <n v="2218.9"/>
    <n v="97.46"/>
    <n v="56.05"/>
    <n v="2372.41"/>
    <n v="3"/>
    <m/>
  </r>
  <r>
    <n v="12061"/>
    <s v="Office"/>
    <s v="Computer Table"/>
    <x v="1"/>
    <x v="2"/>
    <x v="1"/>
    <x v="0"/>
    <x v="5"/>
    <n v="1108"/>
    <n v="610.11"/>
    <n v="0"/>
    <n v="79.11"/>
    <n v="689.22"/>
    <n v="2"/>
    <n v="1.9"/>
  </r>
  <r>
    <n v="79758"/>
    <s v="Outdoor"/>
    <s v="Lounge Chair"/>
    <x v="1"/>
    <x v="2"/>
    <x v="1"/>
    <x v="0"/>
    <x v="5"/>
    <n v="7739"/>
    <n v="168.47"/>
    <n v="29.5"/>
    <n v="38.11"/>
    <n v="236.08"/>
    <n v="5"/>
    <n v="1"/>
  </r>
  <r>
    <n v="11553"/>
    <s v="Office"/>
    <s v="Desk"/>
    <x v="3"/>
    <x v="4"/>
    <x v="0"/>
    <x v="1"/>
    <x v="4"/>
    <n v="1274"/>
    <n v="347.91"/>
    <n v="60.61"/>
    <n v="0"/>
    <n v="408.52"/>
    <n v="4"/>
    <m/>
  </r>
  <r>
    <n v="79391"/>
    <s v="Outdoor"/>
    <s v="Umbrella"/>
    <x v="2"/>
    <x v="4"/>
    <x v="0"/>
    <x v="0"/>
    <x v="5"/>
    <n v="5501"/>
    <n v="1566.84"/>
    <n v="0"/>
    <n v="93.06"/>
    <n v="1659.9"/>
    <n v="2"/>
    <n v="5"/>
  </r>
  <r>
    <n v="80220"/>
    <s v="Bedroom"/>
    <s v="Chest of Drawers"/>
    <x v="3"/>
    <x v="3"/>
    <x v="0"/>
    <x v="0"/>
    <x v="5"/>
    <n v="5697"/>
    <n v="2297.23"/>
    <n v="86.17"/>
    <n v="140.63999999999999"/>
    <n v="2524.04"/>
    <n v="13"/>
    <n v="4.5"/>
  </r>
  <r>
    <n v="12246"/>
    <s v="Outdoor"/>
    <s v="Outdoor Table"/>
    <x v="6"/>
    <x v="5"/>
    <x v="0"/>
    <x v="0"/>
    <x v="5"/>
    <n v="9228"/>
    <n v="794.78"/>
    <n v="136.69"/>
    <n v="242.23"/>
    <n v="1173.7"/>
    <n v="13"/>
    <n v="2.6"/>
  </r>
  <r>
    <n v="98346"/>
    <s v="Kitchen"/>
    <s v="Kitchen Cabinet"/>
    <x v="12"/>
    <x v="3"/>
    <x v="0"/>
    <x v="0"/>
    <x v="6"/>
    <n v="8054"/>
    <n v="1393.69"/>
    <n v="0"/>
    <n v="159.94999999999999"/>
    <n v="1553.64"/>
    <n v="2"/>
    <n v="4.0999999999999996"/>
  </r>
  <r>
    <n v="33496"/>
    <s v="Dining Room"/>
    <s v="Buffet"/>
    <x v="11"/>
    <x v="0"/>
    <x v="0"/>
    <x v="1"/>
    <x v="3"/>
    <n v="2753"/>
    <n v="633.58000000000004"/>
    <n v="148.66999999999999"/>
    <n v="0"/>
    <n v="782.25"/>
    <n v="5"/>
    <n v="3.4"/>
  </r>
  <r>
    <n v="22624"/>
    <s v="Office"/>
    <s v="Filing Cabinet"/>
    <x v="7"/>
    <x v="4"/>
    <x v="0"/>
    <x v="0"/>
    <x v="4"/>
    <n v="9591"/>
    <n v="1155.53"/>
    <n v="108.96"/>
    <n v="200.56"/>
    <n v="1465.05"/>
    <n v="12"/>
    <n v="2.4"/>
  </r>
  <r>
    <n v="29516"/>
    <s v="Living Room"/>
    <s v="TV Stand"/>
    <x v="8"/>
    <x v="2"/>
    <x v="1"/>
    <x v="0"/>
    <x v="5"/>
    <n v="4948"/>
    <n v="1646.98"/>
    <n v="137.47999999999999"/>
    <n v="192.68"/>
    <n v="1977.14"/>
    <n v="6"/>
    <n v="3.3"/>
  </r>
  <r>
    <n v="35156"/>
    <s v="Dining Room"/>
    <s v="China Cabinet"/>
    <x v="1"/>
    <x v="1"/>
    <x v="0"/>
    <x v="1"/>
    <x v="6"/>
    <n v="9625"/>
    <n v="1384.59"/>
    <n v="0"/>
    <n v="0"/>
    <n v="1384.59"/>
    <n v="11"/>
    <n v="4.0999999999999996"/>
  </r>
  <r>
    <n v="43084"/>
    <s v="Bedroom"/>
    <s v="Chest of Drawers"/>
    <x v="9"/>
    <x v="2"/>
    <x v="1"/>
    <x v="0"/>
    <x v="4"/>
    <n v="6807"/>
    <n v="2105.04"/>
    <n v="105.29"/>
    <n v="237.26"/>
    <n v="2447.59"/>
    <n v="3"/>
    <m/>
  </r>
  <r>
    <n v="45038"/>
    <s v="Bedroom"/>
    <s v="Mattress"/>
    <x v="11"/>
    <x v="4"/>
    <x v="0"/>
    <x v="1"/>
    <x v="1"/>
    <n v="7502"/>
    <n v="1854.67"/>
    <n v="83.74"/>
    <n v="0"/>
    <n v="1938.41"/>
    <n v="6"/>
    <n v="2.9"/>
  </r>
  <r>
    <n v="20357"/>
    <s v="Kitchen"/>
    <s v="Kitchen Cabinet"/>
    <x v="2"/>
    <x v="5"/>
    <x v="0"/>
    <x v="1"/>
    <x v="2"/>
    <n v="7112"/>
    <n v="621.95000000000005"/>
    <n v="75.25"/>
    <n v="0"/>
    <n v="697.2"/>
    <n v="14"/>
    <n v="2.6"/>
  </r>
  <r>
    <n v="63218"/>
    <s v="Dining Room"/>
    <s v="Buffet"/>
    <x v="5"/>
    <x v="0"/>
    <x v="0"/>
    <x v="1"/>
    <x v="4"/>
    <n v="8520"/>
    <n v="964.05"/>
    <n v="108.36"/>
    <n v="0"/>
    <n v="1072.4100000000001"/>
    <n v="9"/>
    <n v="1.8"/>
  </r>
  <r>
    <n v="84055"/>
    <s v="Office"/>
    <s v="Computer Table"/>
    <x v="2"/>
    <x v="2"/>
    <x v="1"/>
    <x v="1"/>
    <x v="2"/>
    <n v="4984"/>
    <n v="233.47"/>
    <n v="57.79"/>
    <n v="0"/>
    <n v="291.26"/>
    <n v="2"/>
    <m/>
  </r>
  <r>
    <n v="39603"/>
    <s v="Living Room"/>
    <s v="Sofa"/>
    <x v="6"/>
    <x v="0"/>
    <x v="0"/>
    <x v="1"/>
    <x v="5"/>
    <n v="5914"/>
    <n v="2148.5"/>
    <n v="0"/>
    <n v="0"/>
    <n v="2148.5"/>
    <n v="3"/>
    <n v="4.7"/>
  </r>
  <r>
    <n v="99658"/>
    <s v="Living Room"/>
    <s v="Side Table"/>
    <x v="4"/>
    <x v="5"/>
    <x v="0"/>
    <x v="1"/>
    <x v="5"/>
    <n v="2320"/>
    <n v="1503.1"/>
    <n v="0"/>
    <n v="0"/>
    <n v="1503.1"/>
    <n v="10"/>
    <n v="2.1"/>
  </r>
  <r>
    <n v="95686"/>
    <s v="Kitchen"/>
    <s v="Kitchen Cabinet"/>
    <x v="4"/>
    <x v="4"/>
    <x v="0"/>
    <x v="0"/>
    <x v="3"/>
    <n v="1519"/>
    <n v="2341.27"/>
    <n v="73.64"/>
    <n v="176.24"/>
    <n v="2591.15"/>
    <n v="3"/>
    <n v="4.3"/>
  </r>
  <r>
    <n v="22255"/>
    <s v="Living Room"/>
    <s v="Coffee Table"/>
    <x v="3"/>
    <x v="5"/>
    <x v="0"/>
    <x v="1"/>
    <x v="5"/>
    <n v="7640"/>
    <n v="409.71"/>
    <n v="80.53"/>
    <n v="0"/>
    <n v="490.24"/>
    <n v="13"/>
    <n v="1.4"/>
  </r>
  <r>
    <n v="59710"/>
    <s v="Office"/>
    <s v="Computer Table"/>
    <x v="0"/>
    <x v="0"/>
    <x v="0"/>
    <x v="0"/>
    <x v="1"/>
    <n v="7179"/>
    <n v="315.20999999999998"/>
    <n v="38.020000000000003"/>
    <n v="110.74"/>
    <n v="463.97"/>
    <n v="4"/>
    <n v="2.7"/>
  </r>
  <r>
    <n v="82443"/>
    <s v="Bedroom"/>
    <s v="Mattress"/>
    <x v="0"/>
    <x v="0"/>
    <x v="0"/>
    <x v="1"/>
    <x v="0"/>
    <n v="8798"/>
    <n v="436.04"/>
    <n v="31.15"/>
    <n v="0"/>
    <n v="467.19"/>
    <n v="8"/>
    <n v="4.5999999999999996"/>
  </r>
  <r>
    <n v="17355"/>
    <s v="Kitchen"/>
    <s v="Kitchen Cabinet"/>
    <x v="7"/>
    <x v="4"/>
    <x v="0"/>
    <x v="1"/>
    <x v="1"/>
    <n v="1154"/>
    <n v="751.28"/>
    <n v="93.67"/>
    <n v="0"/>
    <n v="844.95"/>
    <n v="6"/>
    <m/>
  </r>
  <r>
    <n v="32463"/>
    <s v="Office"/>
    <s v="Computer Table"/>
    <x v="3"/>
    <x v="2"/>
    <x v="1"/>
    <x v="0"/>
    <x v="5"/>
    <n v="2354"/>
    <n v="371.77"/>
    <n v="35.840000000000003"/>
    <n v="175.26"/>
    <n v="582.87"/>
    <n v="7"/>
    <n v="2.2999999999999998"/>
  </r>
  <r>
    <n v="75517"/>
    <s v="Outdoor"/>
    <s v="Outdoor Table"/>
    <x v="3"/>
    <x v="4"/>
    <x v="0"/>
    <x v="0"/>
    <x v="6"/>
    <n v="8109"/>
    <n v="1632.45"/>
    <n v="137.77000000000001"/>
    <n v="82.27"/>
    <n v="1852.49"/>
    <n v="2"/>
    <n v="4.2"/>
  </r>
  <r>
    <n v="94529"/>
    <s v="Dining Room"/>
    <s v="Buffet"/>
    <x v="11"/>
    <x v="2"/>
    <x v="1"/>
    <x v="1"/>
    <x v="5"/>
    <n v="6427"/>
    <n v="138.94"/>
    <n v="57.72"/>
    <n v="0"/>
    <n v="196.66"/>
    <n v="7"/>
    <m/>
  </r>
  <r>
    <n v="84167"/>
    <s v="Dining Room"/>
    <s v="Bar Stool"/>
    <x v="4"/>
    <x v="3"/>
    <x v="0"/>
    <x v="0"/>
    <x v="1"/>
    <n v="2562"/>
    <n v="1832.04"/>
    <n v="0"/>
    <n v="60.96"/>
    <n v="1893"/>
    <n v="10"/>
    <n v="3.4"/>
  </r>
  <r>
    <n v="79226"/>
    <s v="Dining Room"/>
    <s v="Dining Table"/>
    <x v="2"/>
    <x v="4"/>
    <x v="0"/>
    <x v="0"/>
    <x v="6"/>
    <n v="1697"/>
    <n v="1545.35"/>
    <n v="0"/>
    <n v="40.39"/>
    <n v="1585.74"/>
    <n v="9"/>
    <m/>
  </r>
  <r>
    <n v="40115"/>
    <s v="Office"/>
    <s v="Desk"/>
    <x v="11"/>
    <x v="5"/>
    <x v="0"/>
    <x v="1"/>
    <x v="3"/>
    <n v="4463"/>
    <n v="496.28"/>
    <n v="89.39"/>
    <n v="0"/>
    <n v="585.66999999999996"/>
    <n v="14"/>
    <n v="1.9"/>
  </r>
  <r>
    <n v="84289"/>
    <s v="Living Room"/>
    <s v="Coffee Table"/>
    <x v="4"/>
    <x v="4"/>
    <x v="0"/>
    <x v="0"/>
    <x v="4"/>
    <n v="8790"/>
    <n v="2205.16"/>
    <n v="107.26"/>
    <n v="154.79"/>
    <n v="2467.21"/>
    <n v="7"/>
    <n v="1.9"/>
  </r>
  <r>
    <n v="45532"/>
    <s v="Living Room"/>
    <s v="Sofa"/>
    <x v="1"/>
    <x v="4"/>
    <x v="0"/>
    <x v="0"/>
    <x v="5"/>
    <n v="1762"/>
    <n v="1977.52"/>
    <n v="0"/>
    <n v="44.48"/>
    <n v="2022"/>
    <n v="9"/>
    <n v="3.9"/>
  </r>
  <r>
    <n v="19744"/>
    <s v="Bedroom"/>
    <s v="Bed Frame"/>
    <x v="5"/>
    <x v="0"/>
    <x v="0"/>
    <x v="1"/>
    <x v="5"/>
    <n v="5593"/>
    <n v="1077.6099999999999"/>
    <n v="0"/>
    <n v="0"/>
    <n v="1077.6099999999999"/>
    <n v="9"/>
    <n v="3"/>
  </r>
  <r>
    <n v="81176"/>
    <s v="Bedroom"/>
    <s v="Bed Frame"/>
    <x v="10"/>
    <x v="5"/>
    <x v="0"/>
    <x v="1"/>
    <x v="4"/>
    <n v="1539"/>
    <n v="1486.84"/>
    <n v="74.19"/>
    <n v="0"/>
    <n v="1561.03"/>
    <n v="10"/>
    <n v="2.8"/>
  </r>
  <r>
    <n v="33508"/>
    <s v="Living Room"/>
    <s v="Side Table"/>
    <x v="6"/>
    <x v="0"/>
    <x v="0"/>
    <x v="0"/>
    <x v="3"/>
    <n v="6152"/>
    <n v="770.89"/>
    <n v="125.45"/>
    <n v="170.39"/>
    <n v="1066.73"/>
    <n v="5"/>
    <n v="4.2"/>
  </r>
  <r>
    <n v="12052"/>
    <s v="Kitchen"/>
    <s v="Pantry Cabinet"/>
    <x v="9"/>
    <x v="0"/>
    <x v="0"/>
    <x v="1"/>
    <x v="2"/>
    <n v="4394"/>
    <n v="2255.34"/>
    <n v="114.74"/>
    <n v="0"/>
    <n v="2370.08"/>
    <n v="13"/>
    <n v="3.9"/>
  </r>
  <r>
    <n v="86943"/>
    <s v="Dining Room"/>
    <s v="China Cabinet"/>
    <x v="0"/>
    <x v="2"/>
    <x v="1"/>
    <x v="1"/>
    <x v="2"/>
    <n v="3362"/>
    <n v="1880.05"/>
    <n v="0"/>
    <n v="0"/>
    <n v="1880.05"/>
    <n v="3"/>
    <n v="1.8"/>
  </r>
  <r>
    <n v="62205"/>
    <s v="Dining Room"/>
    <s v="Dining Table"/>
    <x v="5"/>
    <x v="5"/>
    <x v="0"/>
    <x v="1"/>
    <x v="1"/>
    <n v="2260"/>
    <n v="1248.3499999999999"/>
    <n v="87.59"/>
    <n v="0"/>
    <n v="1335.94"/>
    <n v="1"/>
    <n v="1.8"/>
  </r>
  <r>
    <n v="49226"/>
    <s v="Outdoor"/>
    <s v="Garden Chair"/>
    <x v="4"/>
    <x v="0"/>
    <x v="0"/>
    <x v="0"/>
    <x v="6"/>
    <n v="3661"/>
    <n v="892.4"/>
    <n v="125.88"/>
    <n v="139.63999999999999"/>
    <n v="1157.92"/>
    <n v="3"/>
    <m/>
  </r>
  <r>
    <n v="83919"/>
    <s v="Office"/>
    <s v="Filing Cabinet"/>
    <x v="1"/>
    <x v="1"/>
    <x v="0"/>
    <x v="1"/>
    <x v="0"/>
    <n v="4939"/>
    <n v="742.22"/>
    <n v="138.24"/>
    <n v="0"/>
    <n v="880.46"/>
    <n v="3"/>
    <n v="1.2"/>
  </r>
  <r>
    <n v="84277"/>
    <s v="Dining Room"/>
    <s v="Bar Stool"/>
    <x v="11"/>
    <x v="2"/>
    <x v="1"/>
    <x v="1"/>
    <x v="2"/>
    <n v="7375"/>
    <n v="200.93"/>
    <n v="59.88"/>
    <n v="0"/>
    <n v="260.81"/>
    <n v="11"/>
    <n v="1.3"/>
  </r>
  <r>
    <n v="98740"/>
    <s v="Kitchen"/>
    <s v="Pantry Cabinet"/>
    <x v="7"/>
    <x v="5"/>
    <x v="0"/>
    <x v="1"/>
    <x v="0"/>
    <n v="9856"/>
    <n v="389.15"/>
    <n v="98.6"/>
    <n v="0"/>
    <n v="487.75"/>
    <n v="2"/>
    <n v="1.8"/>
  </r>
  <r>
    <n v="53480"/>
    <s v="Living Room"/>
    <s v="Coffee Table"/>
    <x v="12"/>
    <x v="4"/>
    <x v="0"/>
    <x v="0"/>
    <x v="6"/>
    <n v="7288"/>
    <n v="1911.98"/>
    <n v="55.99"/>
    <n v="102.41"/>
    <n v="2070.38"/>
    <n v="7"/>
    <n v="3.5"/>
  </r>
  <r>
    <n v="28343"/>
    <s v="Dining Room"/>
    <s v="Bar Stool"/>
    <x v="7"/>
    <x v="1"/>
    <x v="0"/>
    <x v="0"/>
    <x v="4"/>
    <n v="2284"/>
    <n v="196.74"/>
    <n v="63.77"/>
    <m/>
    <n v="524.28"/>
    <n v="7"/>
    <n v="1.1000000000000001"/>
  </r>
  <r>
    <n v="75639"/>
    <s v="Kitchen"/>
    <s v="Kitchen Island"/>
    <x v="9"/>
    <x v="1"/>
    <x v="0"/>
    <x v="1"/>
    <x v="6"/>
    <n v="6666"/>
    <n v="2497.02"/>
    <n v="0"/>
    <n v="0"/>
    <n v="2497.02"/>
    <n v="6"/>
    <n v="2.8"/>
  </r>
  <r>
    <n v="17038"/>
    <s v="Bedroom"/>
    <s v="Mattress"/>
    <x v="11"/>
    <x v="3"/>
    <x v="0"/>
    <x v="1"/>
    <x v="5"/>
    <n v="2600"/>
    <n v="2322.0100000000002"/>
    <n v="0"/>
    <n v="0"/>
    <n v="2322.0100000000002"/>
    <n v="5"/>
    <n v="1.2"/>
  </r>
  <r>
    <n v="67290"/>
    <s v="Bedroom"/>
    <s v="Nightstand"/>
    <x v="2"/>
    <x v="5"/>
    <x v="0"/>
    <x v="0"/>
    <x v="2"/>
    <n v="4803"/>
    <n v="1772.49"/>
    <n v="132.59"/>
    <n v="232.06"/>
    <n v="2137.14"/>
    <n v="5"/>
    <n v="1.8"/>
  </r>
  <r>
    <n v="19963"/>
    <s v="Living Room"/>
    <s v="TV Stand"/>
    <x v="0"/>
    <x v="1"/>
    <x v="0"/>
    <x v="0"/>
    <x v="6"/>
    <n v="6580"/>
    <n v="1872.65"/>
    <n v="71.91"/>
    <n v="167.14"/>
    <n v="2111.6999999999998"/>
    <n v="11"/>
    <n v="4.5999999999999996"/>
  </r>
  <r>
    <n v="89320"/>
    <s v="Office"/>
    <s v="Bookshelf"/>
    <x v="6"/>
    <x v="1"/>
    <x v="0"/>
    <x v="1"/>
    <x v="2"/>
    <n v="7499"/>
    <n v="899.4"/>
    <n v="140.13"/>
    <n v="0"/>
    <n v="1039.53"/>
    <n v="11"/>
    <n v="3.1"/>
  </r>
  <r>
    <n v="52778"/>
    <s v="Outdoor"/>
    <s v="Umbrella"/>
    <x v="7"/>
    <x v="2"/>
    <x v="1"/>
    <x v="0"/>
    <x v="1"/>
    <n v="1485"/>
    <n v="1008.08"/>
    <n v="0"/>
    <n v="90.75"/>
    <n v="1098.83"/>
    <n v="7"/>
    <n v="2.2999999999999998"/>
  </r>
  <r>
    <n v="93115"/>
    <s v="Outdoor"/>
    <s v="Lounge Chair"/>
    <x v="4"/>
    <x v="5"/>
    <x v="0"/>
    <x v="1"/>
    <x v="1"/>
    <n v="5478"/>
    <n v="234.62"/>
    <n v="69.38"/>
    <n v="0"/>
    <n v="304"/>
    <n v="2"/>
    <n v="3.2"/>
  </r>
  <r>
    <n v="69054"/>
    <s v="Bedroom"/>
    <s v="Bed Frame"/>
    <x v="4"/>
    <x v="5"/>
    <x v="0"/>
    <x v="1"/>
    <x v="3"/>
    <n v="9038"/>
    <n v="2137.54"/>
    <n v="91.26"/>
    <n v="0"/>
    <n v="2228.8000000000002"/>
    <n v="7"/>
    <n v="2.2000000000000002"/>
  </r>
  <r>
    <n v="39902"/>
    <s v="Office"/>
    <s v="Office Chair"/>
    <x v="5"/>
    <x v="2"/>
    <x v="1"/>
    <x v="1"/>
    <x v="6"/>
    <n v="6829"/>
    <n v="1180.45"/>
    <n v="55.69"/>
    <n v="0"/>
    <n v="1236.1400000000001"/>
    <n v="14"/>
    <n v="2.7"/>
  </r>
  <r>
    <n v="82487"/>
    <s v="Living Room"/>
    <s v="TV Stand"/>
    <x v="4"/>
    <x v="2"/>
    <x v="1"/>
    <x v="1"/>
    <x v="5"/>
    <n v="7150"/>
    <n v="742.07"/>
    <n v="99.19"/>
    <n v="0"/>
    <n v="841.26"/>
    <n v="10"/>
    <n v="2.7"/>
  </r>
  <r>
    <n v="66603"/>
    <s v="Kitchen"/>
    <s v="Bar Cart"/>
    <x v="3"/>
    <x v="0"/>
    <x v="0"/>
    <x v="0"/>
    <x v="0"/>
    <n v="4043"/>
    <n v="1039.44"/>
    <n v="109.34"/>
    <n v="27.05"/>
    <n v="1175.83"/>
    <n v="13"/>
    <n v="1.6"/>
  </r>
  <r>
    <n v="99088"/>
    <s v="Outdoor"/>
    <s v="Garden Chair"/>
    <x v="9"/>
    <x v="2"/>
    <x v="1"/>
    <x v="0"/>
    <x v="4"/>
    <n v="7227"/>
    <n v="1786.53"/>
    <n v="0"/>
    <n v="28.34"/>
    <n v="1814.87"/>
    <n v="14"/>
    <n v="3.7"/>
  </r>
  <r>
    <n v="21232"/>
    <s v="Kitchen"/>
    <s v="Kitchen Island"/>
    <x v="0"/>
    <x v="3"/>
    <x v="0"/>
    <x v="1"/>
    <x v="0"/>
    <n v="5839"/>
    <n v="388.95"/>
    <m/>
    <n v="0"/>
    <n v="480.92"/>
    <n v="2"/>
    <m/>
  </r>
  <r>
    <n v="42302"/>
    <s v="Kitchen"/>
    <s v="Kitchen Island"/>
    <x v="0"/>
    <x v="2"/>
    <x v="1"/>
    <x v="0"/>
    <x v="3"/>
    <n v="2204"/>
    <n v="2107.15"/>
    <n v="0"/>
    <n v="273.63"/>
    <n v="2380.7800000000002"/>
    <n v="8"/>
    <m/>
  </r>
  <r>
    <n v="20752"/>
    <s v="Kitchen"/>
    <s v="Kitchen Island"/>
    <x v="7"/>
    <x v="3"/>
    <x v="0"/>
    <x v="0"/>
    <x v="1"/>
    <n v="5390"/>
    <n v="2129.96"/>
    <n v="0"/>
    <n v="240.93"/>
    <n v="2370.89"/>
    <n v="5"/>
    <n v="4.0999999999999996"/>
  </r>
  <r>
    <n v="30214"/>
    <s v="Kitchen"/>
    <s v="Bar Cart"/>
    <x v="10"/>
    <x v="2"/>
    <x v="1"/>
    <x v="1"/>
    <x v="3"/>
    <n v="7225"/>
    <n v="1815.87"/>
    <n v="0"/>
    <n v="0"/>
    <n v="1815.87"/>
    <n v="11"/>
    <n v="2.9"/>
  </r>
  <r>
    <n v="93086"/>
    <s v="Dining Room"/>
    <s v="Bar Stool"/>
    <x v="1"/>
    <x v="3"/>
    <x v="0"/>
    <x v="0"/>
    <x v="0"/>
    <n v="3527"/>
    <n v="1341.63"/>
    <n v="91.8"/>
    <n v="166.63"/>
    <n v="1600.06"/>
    <n v="4"/>
    <n v="1.6"/>
  </r>
  <r>
    <n v="61068"/>
    <s v="Living Room"/>
    <s v="Ottoman"/>
    <x v="2"/>
    <x v="2"/>
    <x v="1"/>
    <x v="1"/>
    <x v="2"/>
    <n v="6188"/>
    <n v="2212.83"/>
    <m/>
    <n v="0"/>
    <n v="2212.83"/>
    <n v="3"/>
    <m/>
  </r>
  <r>
    <n v="57277"/>
    <s v="Dining Room"/>
    <s v="Bar Stool"/>
    <x v="8"/>
    <x v="5"/>
    <x v="0"/>
    <x v="0"/>
    <x v="1"/>
    <n v="2745"/>
    <n v="1200.6099999999999"/>
    <n v="93.53"/>
    <n v="193.74"/>
    <n v="1487.88"/>
    <n v="4"/>
    <n v="3.6"/>
  </r>
  <r>
    <n v="21995"/>
    <s v="Bedroom"/>
    <s v="Dresser"/>
    <x v="6"/>
    <x v="0"/>
    <x v="0"/>
    <x v="1"/>
    <x v="2"/>
    <n v="1085"/>
    <n v="338.26"/>
    <n v="27.35"/>
    <n v="0"/>
    <n v="365.61"/>
    <n v="7"/>
    <n v="3"/>
  </r>
  <r>
    <n v="50405"/>
    <s v="Outdoor"/>
    <s v="Outdoor Table"/>
    <x v="0"/>
    <x v="1"/>
    <x v="0"/>
    <x v="1"/>
    <x v="5"/>
    <n v="8286"/>
    <n v="891.86"/>
    <n v="124.53"/>
    <n v="0"/>
    <n v="1016.39"/>
    <n v="11"/>
    <n v="4.7"/>
  </r>
  <r>
    <n v="57175"/>
    <s v="Living Room"/>
    <s v="Coffee Table"/>
    <x v="1"/>
    <x v="5"/>
    <x v="0"/>
    <x v="1"/>
    <x v="3"/>
    <n v="5419"/>
    <n v="2394.87"/>
    <n v="98.69"/>
    <n v="0"/>
    <n v="2493.56"/>
    <n v="3"/>
    <m/>
  </r>
  <r>
    <n v="23399"/>
    <s v="Kitchen"/>
    <s v="Pantry Cabinet"/>
    <x v="9"/>
    <x v="2"/>
    <x v="1"/>
    <x v="1"/>
    <x v="2"/>
    <n v="3170"/>
    <n v="2405.54"/>
    <n v="122.08"/>
    <n v="0"/>
    <n v="2527.62"/>
    <n v="1"/>
    <n v="3.5"/>
  </r>
  <r>
    <n v="21442"/>
    <s v="Kitchen"/>
    <s v="Kitchen Cabinet"/>
    <x v="7"/>
    <x v="2"/>
    <x v="1"/>
    <x v="0"/>
    <x v="3"/>
    <n v="4070"/>
    <n v="1041.8"/>
    <n v="0"/>
    <n v="57.39"/>
    <n v="1099.19"/>
    <n v="11"/>
    <n v="3.9"/>
  </r>
  <r>
    <n v="66489"/>
    <s v="Office"/>
    <s v="Computer Table"/>
    <x v="10"/>
    <x v="1"/>
    <x v="0"/>
    <x v="1"/>
    <x v="3"/>
    <n v="8353"/>
    <n v="1490.96"/>
    <n v="111.22"/>
    <n v="0"/>
    <n v="1602.18"/>
    <n v="13"/>
    <n v="4.2"/>
  </r>
  <r>
    <n v="83005"/>
    <s v="Kitchen"/>
    <s v="Kitchen Cabinet"/>
    <x v="2"/>
    <x v="0"/>
    <x v="0"/>
    <x v="1"/>
    <x v="2"/>
    <n v="9395"/>
    <n v="1485.34"/>
    <n v="54.45"/>
    <n v="0"/>
    <n v="1539.79"/>
    <n v="1"/>
    <n v="3.5"/>
  </r>
  <r>
    <n v="63483"/>
    <s v="Office"/>
    <s v="Filing Cabinet"/>
    <x v="11"/>
    <x v="1"/>
    <x v="0"/>
    <x v="1"/>
    <x v="2"/>
    <n v="2692"/>
    <n v="1378.03"/>
    <n v="73.09"/>
    <n v="0"/>
    <n v="1451.12"/>
    <n v="14"/>
    <n v="2.8"/>
  </r>
  <r>
    <n v="13442"/>
    <s v="Living Room"/>
    <s v="Coffee Table"/>
    <x v="3"/>
    <x v="3"/>
    <x v="0"/>
    <x v="0"/>
    <x v="0"/>
    <n v="2468"/>
    <n v="1737.39"/>
    <m/>
    <n v="52.03"/>
    <n v="1878.9"/>
    <n v="14"/>
    <n v="2.6"/>
  </r>
  <r>
    <n v="56388"/>
    <s v="Dining Room"/>
    <s v="China Cabinet"/>
    <x v="0"/>
    <x v="5"/>
    <x v="0"/>
    <x v="1"/>
    <x v="3"/>
    <n v="2524"/>
    <n v="1647.41"/>
    <n v="91.68"/>
    <n v="0"/>
    <n v="1739.09"/>
    <n v="13"/>
    <n v="1.2"/>
  </r>
  <r>
    <n v="88240"/>
    <s v="Outdoor"/>
    <s v="Umbrella"/>
    <x v="5"/>
    <x v="1"/>
    <x v="0"/>
    <x v="0"/>
    <x v="1"/>
    <n v="6315"/>
    <n v="624.47"/>
    <n v="0"/>
    <n v="234.11"/>
    <n v="858.58"/>
    <n v="6"/>
    <n v="3.6"/>
  </r>
  <r>
    <n v="60493"/>
    <s v="Living Room"/>
    <s v="TV Stand"/>
    <x v="3"/>
    <x v="5"/>
    <x v="0"/>
    <x v="0"/>
    <x v="4"/>
    <n v="1202"/>
    <n v="1687.74"/>
    <n v="52.07"/>
    <n v="116.9"/>
    <n v="1856.71"/>
    <n v="5"/>
    <n v="2.7"/>
  </r>
  <r>
    <n v="48253"/>
    <s v="Bedroom"/>
    <s v="Dresser"/>
    <x v="2"/>
    <x v="5"/>
    <x v="0"/>
    <x v="1"/>
    <x v="2"/>
    <n v="7779"/>
    <n v="428.17"/>
    <n v="94.88"/>
    <n v="0"/>
    <n v="523.04999999999995"/>
    <n v="9"/>
    <n v="3.6"/>
  </r>
  <r>
    <n v="60829"/>
    <s v="Living Room"/>
    <s v="Sofa"/>
    <x v="10"/>
    <x v="2"/>
    <x v="1"/>
    <x v="1"/>
    <x v="0"/>
    <n v="2387"/>
    <n v="2393.25"/>
    <n v="0"/>
    <m/>
    <n v="2393.25"/>
    <n v="3"/>
    <m/>
  </r>
  <r>
    <n v="83339"/>
    <s v="Kitchen"/>
    <s v="Pantry Cabinet"/>
    <x v="7"/>
    <x v="2"/>
    <x v="1"/>
    <x v="0"/>
    <x v="4"/>
    <n v="4977"/>
    <n v="1423.72"/>
    <n v="111.44"/>
    <n v="178.9"/>
    <n v="1714.06"/>
    <n v="6"/>
    <n v="4.2"/>
  </r>
  <r>
    <n v="84967"/>
    <s v="Living Room"/>
    <s v="Ottoman"/>
    <x v="4"/>
    <x v="0"/>
    <x v="0"/>
    <x v="0"/>
    <x v="2"/>
    <n v="9537"/>
    <n v="2050.06"/>
    <n v="58.64"/>
    <n v="57.29"/>
    <n v="2165.9899999999998"/>
    <n v="3"/>
    <n v="3.8"/>
  </r>
  <r>
    <n v="32227"/>
    <s v="Outdoor"/>
    <s v="Outdoor Table"/>
    <x v="3"/>
    <x v="5"/>
    <x v="0"/>
    <x v="1"/>
    <x v="5"/>
    <n v="7237"/>
    <n v="199.15"/>
    <n v="89.01"/>
    <n v="0"/>
    <n v="288.16000000000003"/>
    <n v="2"/>
    <n v="4.0999999999999996"/>
  </r>
  <r>
    <n v="32216"/>
    <s v="Bedroom"/>
    <s v="Wardrobe"/>
    <x v="3"/>
    <x v="2"/>
    <x v="1"/>
    <x v="0"/>
    <x v="4"/>
    <n v="3274"/>
    <n v="1966.84"/>
    <n v="124.77"/>
    <n v="91.73"/>
    <n v="2183.34"/>
    <n v="13"/>
    <n v="4.0999999999999996"/>
  </r>
  <r>
    <n v="45247"/>
    <s v="Dining Room"/>
    <s v="Dining Chair"/>
    <x v="6"/>
    <x v="2"/>
    <x v="1"/>
    <x v="0"/>
    <x v="1"/>
    <n v="5933"/>
    <n v="1809.94"/>
    <n v="0"/>
    <n v="39.270000000000003"/>
    <n v="1849.21"/>
    <n v="1"/>
    <n v="4.7"/>
  </r>
  <r>
    <n v="45180"/>
    <s v="Outdoor"/>
    <s v="Patio Set"/>
    <x v="9"/>
    <x v="2"/>
    <x v="1"/>
    <x v="0"/>
    <x v="0"/>
    <n v="9079"/>
    <n v="1749.81"/>
    <n v="58.52"/>
    <n v="39.82"/>
    <n v="1848.15"/>
    <n v="8"/>
    <n v="5"/>
  </r>
  <r>
    <n v="29127"/>
    <s v="Kitchen"/>
    <s v="Kitchen Island"/>
    <x v="2"/>
    <x v="3"/>
    <x v="0"/>
    <x v="1"/>
    <x v="6"/>
    <n v="2036"/>
    <n v="2029.52"/>
    <n v="74.599999999999994"/>
    <n v="0"/>
    <n v="2104.12"/>
    <n v="5"/>
    <m/>
  </r>
  <r>
    <n v="31916"/>
    <s v="Outdoor"/>
    <s v="Garden Chair"/>
    <x v="7"/>
    <x v="2"/>
    <x v="1"/>
    <x v="1"/>
    <x v="0"/>
    <n v="8121"/>
    <n v="1298.25"/>
    <n v="149.93"/>
    <n v="0"/>
    <n v="1448.18"/>
    <n v="6"/>
    <n v="4.9000000000000004"/>
  </r>
  <r>
    <n v="46170"/>
    <s v="Office"/>
    <s v="Bookshelf"/>
    <x v="1"/>
    <x v="4"/>
    <x v="0"/>
    <x v="1"/>
    <x v="3"/>
    <n v="7899"/>
    <n v="1128.8499999999999"/>
    <n v="52.61"/>
    <n v="0"/>
    <n v="1181.46"/>
    <n v="6"/>
    <n v="1.4"/>
  </r>
  <r>
    <n v="49289"/>
    <s v="Kitchen"/>
    <s v="Kitchen Island"/>
    <x v="1"/>
    <x v="4"/>
    <x v="0"/>
    <x v="1"/>
    <x v="5"/>
    <n v="8933"/>
    <n v="1097.57"/>
    <n v="0"/>
    <n v="0"/>
    <n v="1097.57"/>
    <n v="13"/>
    <n v="4.5999999999999996"/>
  </r>
  <r>
    <n v="20082"/>
    <s v="Kitchen"/>
    <s v="Kitchen Island"/>
    <x v="5"/>
    <x v="2"/>
    <x v="1"/>
    <x v="0"/>
    <x v="1"/>
    <n v="6916"/>
    <n v="809.34"/>
    <n v="0"/>
    <n v="190.63"/>
    <n v="999.97"/>
    <n v="11"/>
    <n v="4.5999999999999996"/>
  </r>
  <r>
    <n v="42990"/>
    <s v="Living Room"/>
    <s v="Side Table"/>
    <x v="8"/>
    <x v="0"/>
    <x v="0"/>
    <x v="0"/>
    <x v="3"/>
    <n v="5040"/>
    <n v="966.51"/>
    <n v="63.69"/>
    <n v="27.67"/>
    <n v="1057.8699999999999"/>
    <n v="8"/>
    <m/>
  </r>
  <r>
    <n v="91924"/>
    <s v="Living Room"/>
    <s v="TV Stand"/>
    <x v="2"/>
    <x v="1"/>
    <x v="0"/>
    <x v="0"/>
    <x v="2"/>
    <n v="9123"/>
    <n v="565.26"/>
    <n v="139.5"/>
    <n v="33.35"/>
    <n v="738.11"/>
    <n v="3"/>
    <n v="3.3"/>
  </r>
  <r>
    <n v="87831"/>
    <s v="Living Room"/>
    <s v="Armchair"/>
    <x v="9"/>
    <x v="5"/>
    <x v="0"/>
    <x v="0"/>
    <x v="1"/>
    <n v="4203"/>
    <n v="702.36"/>
    <n v="66.94"/>
    <n v="150.79"/>
    <n v="920.09"/>
    <n v="9"/>
    <n v="3.3"/>
  </r>
  <r>
    <n v="70012"/>
    <s v="Kitchen"/>
    <s v="Bar Cart"/>
    <x v="1"/>
    <x v="0"/>
    <x v="0"/>
    <x v="1"/>
    <x v="3"/>
    <n v="2752"/>
    <n v="430.62"/>
    <n v="40.83"/>
    <n v="0"/>
    <n v="471.45"/>
    <n v="4"/>
    <n v="2.2000000000000002"/>
  </r>
  <r>
    <n v="27758"/>
    <s v="Office"/>
    <s v="Computer Table"/>
    <x v="3"/>
    <x v="4"/>
    <x v="0"/>
    <x v="0"/>
    <x v="5"/>
    <n v="5991"/>
    <n v="488.48"/>
    <n v="43.68"/>
    <n v="188.25"/>
    <n v="720.41"/>
    <n v="10"/>
    <n v="4.9000000000000004"/>
  </r>
  <r>
    <n v="10887"/>
    <s v="Outdoor"/>
    <s v="Outdoor Table"/>
    <x v="12"/>
    <x v="1"/>
    <x v="0"/>
    <x v="0"/>
    <x v="0"/>
    <n v="7483"/>
    <n v="1290.6400000000001"/>
    <n v="131.44"/>
    <n v="56.62"/>
    <n v="1478.7"/>
    <n v="1"/>
    <n v="2"/>
  </r>
  <r>
    <n v="53544"/>
    <s v="Outdoor"/>
    <s v="Lounge Chair"/>
    <x v="9"/>
    <x v="3"/>
    <x v="0"/>
    <x v="0"/>
    <x v="1"/>
    <n v="7224"/>
    <n v="369.39"/>
    <n v="41.36"/>
    <n v="41.3"/>
    <n v="452.05"/>
    <n v="12"/>
    <m/>
  </r>
  <r>
    <n v="53193"/>
    <s v="Living Room"/>
    <s v="TV Stand"/>
    <x v="11"/>
    <x v="0"/>
    <x v="0"/>
    <x v="0"/>
    <x v="4"/>
    <n v="8212"/>
    <n v="674.57"/>
    <n v="0"/>
    <n v="132.51"/>
    <n v="807.08"/>
    <n v="7"/>
    <n v="3.1"/>
  </r>
  <r>
    <n v="53874"/>
    <s v="Bedroom"/>
    <s v="Chest of Drawers"/>
    <x v="3"/>
    <x v="0"/>
    <x v="0"/>
    <x v="0"/>
    <x v="5"/>
    <n v="8055"/>
    <n v="565.86"/>
    <n v="68.8"/>
    <n v="223.34"/>
    <n v="858"/>
    <n v="5"/>
    <n v="2"/>
  </r>
  <r>
    <n v="95332"/>
    <s v="Living Room"/>
    <s v="Sofa"/>
    <x v="10"/>
    <x v="4"/>
    <x v="0"/>
    <x v="0"/>
    <x v="0"/>
    <n v="3230"/>
    <n v="1921.15"/>
    <n v="70.38"/>
    <n v="114.07"/>
    <n v="2105.6"/>
    <n v="5"/>
    <n v="4.0999999999999996"/>
  </r>
  <r>
    <n v="49378"/>
    <s v="Kitchen"/>
    <s v="Pantry Cabinet"/>
    <x v="1"/>
    <x v="0"/>
    <x v="0"/>
    <x v="1"/>
    <x v="5"/>
    <n v="6253"/>
    <n v="1065.25"/>
    <n v="94.93"/>
    <n v="0"/>
    <n v="1160.18"/>
    <n v="14"/>
    <n v="2.6"/>
  </r>
  <r>
    <n v="89064"/>
    <s v="Office"/>
    <s v="Desk"/>
    <x v="7"/>
    <x v="1"/>
    <x v="0"/>
    <x v="1"/>
    <x v="5"/>
    <n v="4290"/>
    <n v="104.35"/>
    <n v="42.58"/>
    <n v="0"/>
    <n v="146.93"/>
    <n v="7"/>
    <n v="4.8"/>
  </r>
  <r>
    <n v="72784"/>
    <s v="Living Room"/>
    <s v="TV Stand"/>
    <x v="9"/>
    <x v="0"/>
    <x v="0"/>
    <x v="1"/>
    <x v="0"/>
    <n v="6147"/>
    <n v="1858.86"/>
    <n v="118.99"/>
    <n v="0"/>
    <n v="1977.85"/>
    <n v="14"/>
    <n v="4.2"/>
  </r>
  <r>
    <n v="33283"/>
    <s v="Living Room"/>
    <s v="Ottoman"/>
    <x v="6"/>
    <x v="4"/>
    <x v="0"/>
    <x v="1"/>
    <x v="2"/>
    <n v="7524"/>
    <n v="2401.4499999999998"/>
    <n v="0"/>
    <n v="0"/>
    <n v="2401.4499999999998"/>
    <n v="5"/>
    <n v="4"/>
  </r>
  <r>
    <n v="51830"/>
    <s v="Kitchen"/>
    <s v="Bar Cart"/>
    <x v="5"/>
    <x v="0"/>
    <x v="0"/>
    <x v="0"/>
    <x v="5"/>
    <n v="5775"/>
    <n v="1680.54"/>
    <n v="50.34"/>
    <n v="176.85"/>
    <n v="1907.73"/>
    <n v="13"/>
    <n v="3.3"/>
  </r>
  <r>
    <n v="92955"/>
    <s v="Bedroom"/>
    <s v="Bed Frame"/>
    <x v="0"/>
    <x v="4"/>
    <x v="0"/>
    <x v="1"/>
    <x v="3"/>
    <n v="9044"/>
    <n v="2237.96"/>
    <n v="92.48"/>
    <n v="0"/>
    <n v="2330.44"/>
    <n v="10"/>
    <n v="2.6"/>
  </r>
  <r>
    <n v="85481"/>
    <s v="Dining Room"/>
    <s v="Dining Table"/>
    <x v="4"/>
    <x v="4"/>
    <x v="0"/>
    <x v="1"/>
    <x v="6"/>
    <n v="4971"/>
    <n v="821.85"/>
    <n v="139.03"/>
    <n v="0"/>
    <n v="960.88"/>
    <n v="1"/>
    <n v="2.4"/>
  </r>
  <r>
    <n v="52714"/>
    <s v="Office"/>
    <s v="Desk"/>
    <x v="10"/>
    <x v="0"/>
    <x v="0"/>
    <x v="0"/>
    <x v="3"/>
    <n v="7161"/>
    <n v="691.77"/>
    <n v="118.97"/>
    <n v="61.57"/>
    <n v="872.31"/>
    <n v="14"/>
    <m/>
  </r>
  <r>
    <n v="46739"/>
    <s v="Outdoor"/>
    <s v="Patio Set"/>
    <x v="9"/>
    <x v="5"/>
    <x v="0"/>
    <x v="1"/>
    <x v="5"/>
    <n v="7437"/>
    <n v="319.32"/>
    <n v="99.23"/>
    <n v="0"/>
    <n v="418.55"/>
    <n v="12"/>
    <m/>
  </r>
  <r>
    <n v="57843"/>
    <s v="Dining Room"/>
    <s v="Dining Table"/>
    <x v="10"/>
    <x v="5"/>
    <x v="0"/>
    <x v="1"/>
    <x v="0"/>
    <n v="2865"/>
    <n v="169.57"/>
    <m/>
    <n v="0"/>
    <n v="195.45"/>
    <n v="2"/>
    <n v="3.6"/>
  </r>
  <r>
    <n v="83905"/>
    <s v="Dining Room"/>
    <s v="Dining Chair"/>
    <x v="4"/>
    <x v="3"/>
    <x v="0"/>
    <x v="1"/>
    <x v="1"/>
    <n v="4273"/>
    <n v="1262.3699999999999"/>
    <n v="0"/>
    <n v="0"/>
    <n v="1262.3699999999999"/>
    <n v="13"/>
    <n v="4"/>
  </r>
  <r>
    <n v="87624"/>
    <s v="Outdoor"/>
    <s v="Outdoor Table"/>
    <x v="2"/>
    <x v="3"/>
    <x v="0"/>
    <x v="0"/>
    <x v="3"/>
    <n v="9939"/>
    <n v="1042.77"/>
    <n v="119.59"/>
    <n v="272.56"/>
    <n v="1434.92"/>
    <n v="4"/>
    <n v="4.5"/>
  </r>
  <r>
    <n v="33583"/>
    <s v="Kitchen"/>
    <s v="Bar Cart"/>
    <x v="10"/>
    <x v="4"/>
    <x v="0"/>
    <x v="1"/>
    <x v="4"/>
    <n v="1440"/>
    <n v="2334.58"/>
    <n v="0"/>
    <n v="0"/>
    <n v="2334.58"/>
    <n v="12"/>
    <n v="2.4"/>
  </r>
  <r>
    <n v="70505"/>
    <s v="Bedroom"/>
    <s v="Bed Frame"/>
    <x v="9"/>
    <x v="3"/>
    <x v="0"/>
    <x v="1"/>
    <x v="4"/>
    <n v="4434"/>
    <n v="2255.87"/>
    <n v="107.17"/>
    <n v="0"/>
    <n v="2363.04"/>
    <n v="4"/>
    <n v="1.6"/>
  </r>
  <r>
    <n v="67469"/>
    <s v="Bedroom"/>
    <s v="Mattress"/>
    <x v="10"/>
    <x v="5"/>
    <x v="0"/>
    <x v="1"/>
    <x v="3"/>
    <n v="5773"/>
    <n v="2507.7399999999998"/>
    <n v="0"/>
    <n v="0"/>
    <n v="2507.7399999999998"/>
    <n v="8"/>
    <m/>
  </r>
  <r>
    <n v="19064"/>
    <s v="Bedroom"/>
    <s v="Bed Frame"/>
    <x v="1"/>
    <x v="1"/>
    <x v="0"/>
    <x v="0"/>
    <x v="0"/>
    <n v="7703"/>
    <n v="485.95"/>
    <n v="93.42"/>
    <n v="162.71"/>
    <n v="742.08"/>
    <n v="13"/>
    <n v="3.7"/>
  </r>
  <r>
    <n v="98208"/>
    <s v="Bedroom"/>
    <s v="Nightstand"/>
    <x v="1"/>
    <x v="5"/>
    <x v="0"/>
    <x v="0"/>
    <x v="0"/>
    <n v="9180"/>
    <n v="1227.55"/>
    <n v="0"/>
    <n v="84.22"/>
    <n v="1311.77"/>
    <n v="7"/>
    <m/>
  </r>
  <r>
    <n v="28242"/>
    <s v="Bedroom"/>
    <s v="Nightstand"/>
    <x v="0"/>
    <x v="4"/>
    <x v="0"/>
    <x v="0"/>
    <x v="6"/>
    <n v="5961"/>
    <n v="459.05"/>
    <n v="42.19"/>
    <n v="171.37"/>
    <n v="672.61"/>
    <n v="12"/>
    <n v="3.7"/>
  </r>
  <r>
    <n v="41722"/>
    <s v="Office"/>
    <s v="Desk"/>
    <x v="8"/>
    <x v="2"/>
    <x v="1"/>
    <x v="0"/>
    <x v="3"/>
    <n v="5139"/>
    <n v="1256.8599999999999"/>
    <m/>
    <n v="213.73"/>
    <n v="1586.64"/>
    <n v="10"/>
    <n v="2.8"/>
  </r>
  <r>
    <n v="96332"/>
    <s v="Bedroom"/>
    <s v="Chest of Drawers"/>
    <x v="2"/>
    <x v="4"/>
    <x v="0"/>
    <x v="1"/>
    <x v="0"/>
    <n v="3525"/>
    <n v="2425.16"/>
    <n v="69.63"/>
    <n v="0"/>
    <n v="2494.79"/>
    <n v="7"/>
    <n v="2.9"/>
  </r>
  <r>
    <n v="65460"/>
    <s v="Outdoor"/>
    <s v="Garden Chair"/>
    <x v="1"/>
    <x v="3"/>
    <x v="0"/>
    <x v="0"/>
    <x v="3"/>
    <n v="7176"/>
    <n v="1636.37"/>
    <n v="0"/>
    <n v="209.19"/>
    <n v="1845.56"/>
    <n v="11"/>
    <n v="4"/>
  </r>
  <r>
    <n v="19694"/>
    <s v="Bedroom"/>
    <s v="Wardrobe"/>
    <x v="7"/>
    <x v="4"/>
    <x v="0"/>
    <x v="0"/>
    <x v="0"/>
    <n v="8357"/>
    <n v="2646.03"/>
    <n v="74.05"/>
    <n v="31.04"/>
    <n v="2751.12"/>
    <n v="9"/>
    <m/>
  </r>
  <r>
    <n v="88372"/>
    <s v="Dining Room"/>
    <s v="Bar Stool"/>
    <x v="4"/>
    <x v="1"/>
    <x v="0"/>
    <x v="0"/>
    <x v="4"/>
    <n v="8851"/>
    <n v="730.94"/>
    <n v="0"/>
    <n v="35.69"/>
    <n v="766.63"/>
    <n v="14"/>
    <n v="1.6"/>
  </r>
  <r>
    <n v="86315"/>
    <s v="Living Room"/>
    <s v="Ottoman"/>
    <x v="5"/>
    <x v="3"/>
    <x v="0"/>
    <x v="0"/>
    <x v="2"/>
    <n v="7566"/>
    <n v="539.99"/>
    <n v="92.21"/>
    <n v="146.09"/>
    <n v="778.29"/>
    <n v="11"/>
    <n v="4.4000000000000004"/>
  </r>
  <r>
    <n v="80040"/>
    <s v="Living Room"/>
    <s v="Sofa"/>
    <x v="2"/>
    <x v="3"/>
    <x v="0"/>
    <x v="0"/>
    <x v="4"/>
    <n v="9300"/>
    <n v="1983.2"/>
    <n v="136.29"/>
    <n v="33.06"/>
    <n v="2152.5500000000002"/>
    <n v="13"/>
    <n v="3.5"/>
  </r>
  <r>
    <n v="64827"/>
    <s v="Bedroom"/>
    <s v="Nightstand"/>
    <x v="12"/>
    <x v="3"/>
    <x v="0"/>
    <x v="1"/>
    <x v="4"/>
    <n v="9907"/>
    <n v="2866.3"/>
    <n v="0"/>
    <n v="0"/>
    <n v="2866.3"/>
    <n v="1"/>
    <n v="4"/>
  </r>
  <r>
    <n v="14818"/>
    <s v="Bedroom"/>
    <s v="Dresser"/>
    <x v="7"/>
    <x v="5"/>
    <x v="0"/>
    <x v="1"/>
    <x v="3"/>
    <n v="6890"/>
    <n v="1041.6099999999999"/>
    <n v="129.47"/>
    <n v="0"/>
    <n v="1171.08"/>
    <n v="13"/>
    <n v="1.6"/>
  </r>
  <r>
    <n v="80373"/>
    <s v="Outdoor"/>
    <s v="Umbrella"/>
    <x v="5"/>
    <x v="2"/>
    <x v="1"/>
    <x v="0"/>
    <x v="1"/>
    <n v="2392"/>
    <n v="1041.02"/>
    <n v="0"/>
    <n v="58.79"/>
    <n v="1099.81"/>
    <n v="13"/>
    <n v="3.5"/>
  </r>
  <r>
    <n v="24335"/>
    <s v="Office"/>
    <s v="Office Chair"/>
    <x v="2"/>
    <x v="2"/>
    <x v="1"/>
    <x v="0"/>
    <x v="4"/>
    <n v="5067"/>
    <n v="800.14"/>
    <n v="54.41"/>
    <n v="41.55"/>
    <n v="896.1"/>
    <n v="4"/>
    <n v="3.5"/>
  </r>
  <r>
    <n v="96193"/>
    <s v="Kitchen"/>
    <s v="Kitchen Cabinet"/>
    <x v="8"/>
    <x v="1"/>
    <x v="0"/>
    <x v="0"/>
    <x v="0"/>
    <n v="6816"/>
    <n v="1466.08"/>
    <n v="106.3"/>
    <n v="172.39"/>
    <n v="1744.77"/>
    <n v="5"/>
    <n v="5"/>
  </r>
  <r>
    <n v="31802"/>
    <s v="Dining Room"/>
    <s v="Bar Stool"/>
    <x v="0"/>
    <x v="4"/>
    <x v="0"/>
    <x v="0"/>
    <x v="3"/>
    <n v="1725"/>
    <n v="1661"/>
    <m/>
    <n v="40.630000000000003"/>
    <n v="1789.16"/>
    <n v="1"/>
    <n v="2"/>
  </r>
  <r>
    <n v="83822"/>
    <s v="Office"/>
    <s v="Computer Table"/>
    <x v="3"/>
    <x v="2"/>
    <x v="1"/>
    <x v="0"/>
    <x v="2"/>
    <n v="7547"/>
    <n v="584.21"/>
    <n v="127.24"/>
    <n v="53.23"/>
    <n v="764.68"/>
    <n v="5"/>
    <n v="4.7"/>
  </r>
  <r>
    <n v="53463"/>
    <s v="Kitchen"/>
    <s v="Kitchen Island"/>
    <x v="6"/>
    <x v="5"/>
    <x v="0"/>
    <x v="1"/>
    <x v="3"/>
    <n v="8052"/>
    <n v="2258.4499999999998"/>
    <n v="123.85"/>
    <n v="0"/>
    <n v="2382.3000000000002"/>
    <n v="11"/>
    <n v="4.8"/>
  </r>
  <r>
    <n v="23886"/>
    <s v="Office"/>
    <s v="Filing Cabinet"/>
    <x v="11"/>
    <x v="5"/>
    <x v="0"/>
    <x v="0"/>
    <x v="5"/>
    <n v="1172"/>
    <n v="1330.24"/>
    <n v="0"/>
    <n v="257.73"/>
    <n v="1587.97"/>
    <n v="4"/>
    <n v="1.3"/>
  </r>
  <r>
    <n v="22924"/>
    <s v="Outdoor"/>
    <s v="Patio Set"/>
    <x v="6"/>
    <x v="1"/>
    <x v="0"/>
    <x v="1"/>
    <x v="4"/>
    <n v="5239"/>
    <n v="383.48"/>
    <n v="55.01"/>
    <n v="0"/>
    <n v="438.49"/>
    <n v="12"/>
    <n v="3.3"/>
  </r>
  <r>
    <n v="39098"/>
    <s v="Dining Room"/>
    <s v="Buffet"/>
    <x v="9"/>
    <x v="4"/>
    <x v="0"/>
    <x v="1"/>
    <x v="1"/>
    <n v="9366"/>
    <n v="665.41"/>
    <n v="0"/>
    <n v="0"/>
    <n v="665.41"/>
    <n v="13"/>
    <n v="2.5"/>
  </r>
  <r>
    <n v="77999"/>
    <s v="Bedroom"/>
    <s v="Bed Frame"/>
    <x v="8"/>
    <x v="2"/>
    <x v="1"/>
    <x v="0"/>
    <x v="2"/>
    <n v="4621"/>
    <n v="1032.32"/>
    <n v="58.22"/>
    <n v="193.74"/>
    <n v="1284.28"/>
    <n v="11"/>
    <n v="2.4"/>
  </r>
  <r>
    <n v="68429"/>
    <s v="Living Room"/>
    <s v="Coffee Table"/>
    <x v="4"/>
    <x v="1"/>
    <x v="0"/>
    <x v="1"/>
    <x v="0"/>
    <n v="7129"/>
    <n v="1127.54"/>
    <n v="0"/>
    <n v="0"/>
    <n v="1127.54"/>
    <n v="6"/>
    <n v="1.7"/>
  </r>
  <r>
    <n v="61266"/>
    <s v="Outdoor"/>
    <s v="Patio Set"/>
    <x v="7"/>
    <x v="3"/>
    <x v="0"/>
    <x v="1"/>
    <x v="2"/>
    <n v="8586"/>
    <n v="925.22"/>
    <n v="129.21"/>
    <n v="0"/>
    <n v="1054.43"/>
    <n v="9"/>
    <n v="4.3"/>
  </r>
  <r>
    <n v="99070"/>
    <s v="Bedroom"/>
    <s v="Chest of Drawers"/>
    <x v="5"/>
    <x v="1"/>
    <x v="0"/>
    <x v="0"/>
    <x v="4"/>
    <n v="9199"/>
    <n v="460.55"/>
    <n v="43.11"/>
    <n v="133.16"/>
    <n v="636.82000000000005"/>
    <n v="3"/>
    <n v="4.3"/>
  </r>
  <r>
    <n v="29758"/>
    <s v="Dining Room"/>
    <s v="Dining Table"/>
    <x v="8"/>
    <x v="5"/>
    <x v="0"/>
    <x v="1"/>
    <x v="2"/>
    <n v="6651"/>
    <n v="650.41999999999996"/>
    <n v="149.31"/>
    <n v="0"/>
    <n v="799.73"/>
    <n v="4"/>
    <n v="1.9"/>
  </r>
  <r>
    <n v="13219"/>
    <s v="Kitchen"/>
    <s v="Kitchen Cabinet"/>
    <x v="0"/>
    <x v="0"/>
    <x v="0"/>
    <x v="0"/>
    <x v="3"/>
    <n v="8909"/>
    <n v="1591.67"/>
    <n v="62.22"/>
    <n v="90.3"/>
    <n v="1744.19"/>
    <n v="2"/>
    <m/>
  </r>
  <r>
    <n v="23703"/>
    <s v="Office"/>
    <s v="Office Chair"/>
    <x v="4"/>
    <x v="3"/>
    <x v="0"/>
    <x v="0"/>
    <x v="1"/>
    <n v="5840"/>
    <n v="853.02"/>
    <n v="69.86"/>
    <n v="74.63"/>
    <n v="997.51"/>
    <n v="3"/>
    <n v="2.2999999999999998"/>
  </r>
  <r>
    <n v="64522"/>
    <s v="Living Room"/>
    <s v="Side Table"/>
    <x v="2"/>
    <x v="0"/>
    <x v="0"/>
    <x v="1"/>
    <x v="3"/>
    <n v="2406"/>
    <n v="376.73"/>
    <n v="31.29"/>
    <n v="0"/>
    <n v="408.02"/>
    <n v="13"/>
    <n v="5"/>
  </r>
  <r>
    <n v="25213"/>
    <s v="Office"/>
    <s v="Computer Table"/>
    <x v="2"/>
    <x v="2"/>
    <x v="1"/>
    <x v="0"/>
    <x v="2"/>
    <n v="3321"/>
    <n v="1102.81"/>
    <n v="50.84"/>
    <n v="91.02"/>
    <n v="1244.67"/>
    <n v="13"/>
    <m/>
  </r>
  <r>
    <n v="55656"/>
    <s v="Office"/>
    <s v="Office Chair"/>
    <x v="11"/>
    <x v="1"/>
    <x v="0"/>
    <x v="0"/>
    <x v="6"/>
    <n v="6110"/>
    <n v="860.63"/>
    <n v="102.39"/>
    <n v="84.42"/>
    <n v="1047.44"/>
    <n v="6"/>
    <n v="3.8"/>
  </r>
  <r>
    <n v="54966"/>
    <s v="Kitchen"/>
    <s v="Kitchen Island"/>
    <x v="2"/>
    <x v="2"/>
    <x v="1"/>
    <x v="0"/>
    <x v="3"/>
    <n v="8460"/>
    <n v="2412.81"/>
    <n v="141.66999999999999"/>
    <n v="205.19"/>
    <n v="2759.67"/>
    <n v="13"/>
    <n v="4.5"/>
  </r>
  <r>
    <n v="37114"/>
    <s v="Living Room"/>
    <s v="Sofa"/>
    <x v="5"/>
    <x v="4"/>
    <x v="0"/>
    <x v="0"/>
    <x v="5"/>
    <n v="9537"/>
    <n v="2202.94"/>
    <m/>
    <n v="122.58"/>
    <n v="2433.02"/>
    <n v="7"/>
    <n v="2.4"/>
  </r>
  <r>
    <n v="73298"/>
    <s v="Office"/>
    <s v="Desk"/>
    <x v="2"/>
    <x v="3"/>
    <x v="0"/>
    <x v="0"/>
    <x v="6"/>
    <n v="6706"/>
    <n v="322.25"/>
    <n v="79.22"/>
    <n v="53.68"/>
    <n v="455.15"/>
    <n v="8"/>
    <n v="2.4"/>
  </r>
  <r>
    <n v="72411"/>
    <s v="Living Room"/>
    <s v="Side Table"/>
    <x v="8"/>
    <x v="1"/>
    <x v="0"/>
    <x v="1"/>
    <x v="0"/>
    <n v="2599"/>
    <n v="1915.84"/>
    <n v="63.01"/>
    <n v="0"/>
    <n v="1978.85"/>
    <n v="12"/>
    <m/>
  </r>
  <r>
    <n v="67431"/>
    <s v="Dining Room"/>
    <s v="Dining Chair"/>
    <x v="5"/>
    <x v="5"/>
    <x v="0"/>
    <x v="0"/>
    <x v="2"/>
    <n v="8412"/>
    <n v="1035.51"/>
    <n v="93.54"/>
    <n v="27.91"/>
    <n v="1156.96"/>
    <n v="3"/>
    <n v="4.4000000000000004"/>
  </r>
  <r>
    <n v="51800"/>
    <s v="Living Room"/>
    <s v="Ottoman"/>
    <x v="9"/>
    <x v="5"/>
    <x v="0"/>
    <x v="0"/>
    <x v="0"/>
    <n v="2100"/>
    <n v="2235.36"/>
    <n v="89.78"/>
    <n v="34.659999999999997"/>
    <n v="2359.8000000000002"/>
    <n v="11"/>
    <n v="2.2999999999999998"/>
  </r>
  <r>
    <n v="49356"/>
    <s v="Bedroom"/>
    <s v="Mattress"/>
    <x v="2"/>
    <x v="0"/>
    <x v="0"/>
    <x v="1"/>
    <x v="4"/>
    <n v="1732"/>
    <n v="873.98"/>
    <n v="55.21"/>
    <n v="0"/>
    <n v="929.19"/>
    <n v="9"/>
    <n v="2.7"/>
  </r>
  <r>
    <n v="25084"/>
    <s v="Office"/>
    <s v="Filing Cabinet"/>
    <x v="11"/>
    <x v="4"/>
    <x v="0"/>
    <x v="0"/>
    <x v="0"/>
    <n v="1370"/>
    <n v="1163.53"/>
    <n v="64.260000000000005"/>
    <n v="129.04"/>
    <n v="1356.83"/>
    <n v="1"/>
    <m/>
  </r>
  <r>
    <n v="54967"/>
    <s v="Kitchen"/>
    <s v="Pantry Cabinet"/>
    <x v="2"/>
    <x v="3"/>
    <x v="0"/>
    <x v="0"/>
    <x v="0"/>
    <n v="2791"/>
    <n v="2016.54"/>
    <n v="73.739999999999995"/>
    <n v="156.91999999999999"/>
    <n v="2247.1999999999998"/>
    <n v="4"/>
    <n v="3.5"/>
  </r>
  <r>
    <n v="98754"/>
    <s v="Outdoor"/>
    <s v="Outdoor Table"/>
    <x v="11"/>
    <x v="4"/>
    <x v="0"/>
    <x v="0"/>
    <x v="5"/>
    <n v="3692"/>
    <n v="895.03"/>
    <n v="110.57"/>
    <n v="199.32"/>
    <n v="1204.92"/>
    <n v="10"/>
    <n v="4.2"/>
  </r>
  <r>
    <n v="41970"/>
    <s v="Living Room"/>
    <s v="Side Table"/>
    <x v="3"/>
    <x v="4"/>
    <x v="0"/>
    <x v="0"/>
    <x v="3"/>
    <n v="9454"/>
    <n v="2489.34"/>
    <n v="108.29"/>
    <n v="263.43"/>
    <n v="2861.06"/>
    <n v="12"/>
    <n v="4.8"/>
  </r>
  <r>
    <n v="32865"/>
    <s v="Office"/>
    <s v="Bookshelf"/>
    <x v="7"/>
    <x v="2"/>
    <x v="1"/>
    <x v="1"/>
    <x v="3"/>
    <n v="3623"/>
    <n v="1259"/>
    <n v="125.95"/>
    <n v="0"/>
    <n v="1384.95"/>
    <n v="2"/>
    <n v="2.2000000000000002"/>
  </r>
  <r>
    <n v="53383"/>
    <s v="Office"/>
    <s v="Computer Table"/>
    <x v="4"/>
    <x v="5"/>
    <x v="0"/>
    <x v="0"/>
    <x v="5"/>
    <n v="7985"/>
    <n v="432.45"/>
    <n v="49.78"/>
    <n v="102.13"/>
    <n v="584.36"/>
    <n v="9"/>
    <n v="3.3"/>
  </r>
  <r>
    <n v="70562"/>
    <s v="Living Room"/>
    <s v="Coffee Table"/>
    <x v="0"/>
    <x v="1"/>
    <x v="0"/>
    <x v="0"/>
    <x v="0"/>
    <n v="4798"/>
    <n v="2130.13"/>
    <n v="72.3"/>
    <n v="210.63"/>
    <n v="2413.06"/>
    <n v="9"/>
    <n v="1.2"/>
  </r>
  <r>
    <n v="63090"/>
    <s v="Kitchen"/>
    <s v="Pantry Cabinet"/>
    <x v="4"/>
    <x v="2"/>
    <x v="1"/>
    <x v="1"/>
    <x v="3"/>
    <n v="4022"/>
    <n v="641"/>
    <m/>
    <n v="0"/>
    <n v="736.72"/>
    <n v="1"/>
    <n v="1.7"/>
  </r>
  <r>
    <n v="34430"/>
    <s v="Outdoor"/>
    <s v="Garden Chair"/>
    <x v="1"/>
    <x v="1"/>
    <x v="0"/>
    <x v="1"/>
    <x v="3"/>
    <n v="8080"/>
    <n v="1007.99"/>
    <n v="0"/>
    <n v="0"/>
    <n v="1007.99"/>
    <n v="11"/>
    <n v="4.8"/>
  </r>
  <r>
    <n v="61849"/>
    <s v="Living Room"/>
    <s v="TV Stand"/>
    <x v="7"/>
    <x v="5"/>
    <x v="0"/>
    <x v="0"/>
    <x v="1"/>
    <n v="1478"/>
    <n v="2104.4299999999998"/>
    <n v="146"/>
    <n v="95.11"/>
    <n v="2345.54"/>
    <n v="10"/>
    <n v="2.4"/>
  </r>
  <r>
    <n v="90492"/>
    <s v="Kitchen"/>
    <s v="Kitchen Cabinet"/>
    <x v="3"/>
    <x v="2"/>
    <x v="1"/>
    <x v="1"/>
    <x v="1"/>
    <n v="4232"/>
    <n v="1497.9"/>
    <n v="0"/>
    <n v="0"/>
    <n v="1497.9"/>
    <n v="2"/>
    <n v="2.5"/>
  </r>
  <r>
    <n v="68926"/>
    <s v="Outdoor"/>
    <s v="Patio Set"/>
    <x v="6"/>
    <x v="5"/>
    <x v="0"/>
    <x v="1"/>
    <x v="2"/>
    <n v="8037"/>
    <n v="1673.71"/>
    <n v="0"/>
    <n v="0"/>
    <n v="1673.71"/>
    <n v="13"/>
    <n v="3.7"/>
  </r>
  <r>
    <n v="60965"/>
    <s v="Bedroom"/>
    <s v="Wardrobe"/>
    <x v="12"/>
    <x v="4"/>
    <x v="0"/>
    <x v="0"/>
    <x v="2"/>
    <n v="1072"/>
    <n v="1044.03"/>
    <n v="142.38"/>
    <n v="184.33"/>
    <n v="1370.74"/>
    <n v="13"/>
    <n v="3.2"/>
  </r>
  <r>
    <n v="38153"/>
    <s v="Dining Room"/>
    <s v="China Cabinet"/>
    <x v="7"/>
    <x v="0"/>
    <x v="0"/>
    <x v="0"/>
    <x v="3"/>
    <n v="4371"/>
    <n v="616.61"/>
    <n v="135.46"/>
    <n v="262.85000000000002"/>
    <n v="1014.92"/>
    <n v="1"/>
    <m/>
  </r>
  <r>
    <n v="46483"/>
    <s v="Office"/>
    <s v="Filing Cabinet"/>
    <x v="4"/>
    <x v="4"/>
    <x v="0"/>
    <x v="1"/>
    <x v="6"/>
    <n v="2025"/>
    <n v="168.9"/>
    <n v="29.14"/>
    <n v="0"/>
    <n v="198.04"/>
    <n v="9"/>
    <n v="1.3"/>
  </r>
  <r>
    <n v="85674"/>
    <s v="Living Room"/>
    <s v="Sofa"/>
    <x v="9"/>
    <x v="2"/>
    <x v="1"/>
    <x v="1"/>
    <x v="0"/>
    <n v="2667"/>
    <n v="2374.29"/>
    <n v="55.6"/>
    <n v="0"/>
    <n v="2429.89"/>
    <n v="2"/>
    <n v="3.4"/>
  </r>
  <r>
    <n v="80371"/>
    <s v="Office"/>
    <s v="Filing Cabinet"/>
    <x v="9"/>
    <x v="2"/>
    <x v="1"/>
    <x v="1"/>
    <x v="5"/>
    <n v="4063"/>
    <n v="1178.5899999999999"/>
    <n v="102.18"/>
    <n v="0"/>
    <n v="1280.77"/>
    <n v="11"/>
    <n v="1.6"/>
  </r>
  <r>
    <n v="57945"/>
    <s v="Outdoor"/>
    <s v="Outdoor Table"/>
    <x v="10"/>
    <x v="5"/>
    <x v="0"/>
    <x v="1"/>
    <x v="4"/>
    <n v="6340"/>
    <n v="595.70000000000005"/>
    <n v="94.06"/>
    <n v="0"/>
    <n v="689.76"/>
    <n v="7"/>
    <n v="3.9"/>
  </r>
  <r>
    <n v="35830"/>
    <s v="Office"/>
    <s v="Filing Cabinet"/>
    <x v="12"/>
    <x v="5"/>
    <x v="0"/>
    <x v="0"/>
    <x v="3"/>
    <n v="8496"/>
    <n v="1033.3800000000001"/>
    <n v="84.46"/>
    <n v="258.75"/>
    <n v="1376.59"/>
    <n v="14"/>
    <n v="2.5"/>
  </r>
  <r>
    <n v="24936"/>
    <s v="Outdoor"/>
    <s v="Umbrella"/>
    <x v="12"/>
    <x v="5"/>
    <x v="0"/>
    <x v="0"/>
    <x v="5"/>
    <n v="5298"/>
    <n v="260.20999999999998"/>
    <n v="83.33"/>
    <n v="290.49"/>
    <n v="634.03"/>
    <n v="11"/>
    <n v="1.3"/>
  </r>
  <r>
    <n v="97910"/>
    <s v="Office"/>
    <s v="Desk"/>
    <x v="12"/>
    <x v="0"/>
    <x v="0"/>
    <x v="1"/>
    <x v="0"/>
    <n v="9019"/>
    <n v="206.65"/>
    <n v="34.950000000000003"/>
    <n v="0"/>
    <n v="241.6"/>
    <n v="6"/>
    <n v="1.7"/>
  </r>
  <r>
    <n v="79168"/>
    <s v="Office"/>
    <s v="Computer Table"/>
    <x v="2"/>
    <x v="5"/>
    <x v="0"/>
    <x v="0"/>
    <x v="2"/>
    <n v="6134"/>
    <n v="1396.58"/>
    <n v="70.489999999999995"/>
    <n v="26.96"/>
    <n v="1494.03"/>
    <n v="3"/>
    <m/>
  </r>
  <r>
    <n v="88246"/>
    <s v="Office"/>
    <s v="Desk"/>
    <x v="3"/>
    <x v="3"/>
    <x v="0"/>
    <x v="1"/>
    <x v="5"/>
    <n v="7367"/>
    <n v="1251.74"/>
    <n v="81.78"/>
    <n v="0"/>
    <n v="1333.52"/>
    <n v="8"/>
    <n v="4.9000000000000004"/>
  </r>
  <r>
    <n v="90125"/>
    <s v="Bedroom"/>
    <s v="Nightstand"/>
    <x v="1"/>
    <x v="4"/>
    <x v="0"/>
    <x v="1"/>
    <x v="6"/>
    <n v="7431"/>
    <n v="361.86"/>
    <n v="75.09"/>
    <n v="0"/>
    <n v="436.95"/>
    <n v="5"/>
    <n v="1.2"/>
  </r>
  <r>
    <n v="86939"/>
    <s v="Living Room"/>
    <s v="Coffee Table"/>
    <x v="4"/>
    <x v="1"/>
    <x v="0"/>
    <x v="0"/>
    <x v="6"/>
    <n v="2871"/>
    <n v="2187.48"/>
    <n v="0"/>
    <n v="35.78"/>
    <n v="2223.2600000000002"/>
    <n v="5"/>
    <n v="1.9"/>
  </r>
  <r>
    <n v="55603"/>
    <s v="Living Room"/>
    <s v="Armchair"/>
    <x v="1"/>
    <x v="3"/>
    <x v="0"/>
    <x v="0"/>
    <x v="0"/>
    <n v="6766"/>
    <n v="1281.92"/>
    <m/>
    <n v="261.14"/>
    <n v="1543.06"/>
    <n v="8"/>
    <n v="1.7"/>
  </r>
  <r>
    <n v="70012"/>
    <s v="Bedroom"/>
    <s v="Chest of Drawers"/>
    <x v="1"/>
    <x v="4"/>
    <x v="0"/>
    <x v="0"/>
    <x v="3"/>
    <n v="3826"/>
    <n v="412.97"/>
    <n v="61.87"/>
    <n v="40.71"/>
    <n v="515.54999999999995"/>
    <n v="5"/>
    <n v="4.9000000000000004"/>
  </r>
  <r>
    <n v="98288"/>
    <s v="Dining Room"/>
    <s v="Buffet"/>
    <x v="7"/>
    <x v="5"/>
    <x v="0"/>
    <x v="1"/>
    <x v="0"/>
    <n v="5873"/>
    <n v="1590.35"/>
    <n v="93.79"/>
    <n v="0"/>
    <n v="1684.14"/>
    <n v="14"/>
    <n v="4.5"/>
  </r>
  <r>
    <n v="90541"/>
    <s v="Kitchen"/>
    <s v="Bar Cart"/>
    <x v="9"/>
    <x v="3"/>
    <x v="0"/>
    <x v="1"/>
    <x v="1"/>
    <n v="2388"/>
    <n v="1495.73"/>
    <n v="90.84"/>
    <n v="0"/>
    <n v="1586.57"/>
    <n v="4"/>
    <n v="2.8"/>
  </r>
  <r>
    <n v="98094"/>
    <s v="Outdoor"/>
    <s v="Umbrella"/>
    <x v="4"/>
    <x v="0"/>
    <x v="0"/>
    <x v="0"/>
    <x v="3"/>
    <n v="3194"/>
    <n v="1048.5899999999999"/>
    <n v="90.28"/>
    <n v="221.75"/>
    <n v="1360.62"/>
    <n v="1"/>
    <n v="4.8"/>
  </r>
  <r>
    <n v="51049"/>
    <s v="Bedroom"/>
    <s v="Bed Frame"/>
    <x v="8"/>
    <x v="1"/>
    <x v="0"/>
    <x v="0"/>
    <x v="5"/>
    <n v="2931"/>
    <n v="1190.5"/>
    <n v="0"/>
    <n v="41.47"/>
    <n v="1231.97"/>
    <n v="3"/>
    <n v="3.5"/>
  </r>
  <r>
    <n v="41270"/>
    <s v="Living Room"/>
    <s v="Armchair"/>
    <x v="6"/>
    <x v="2"/>
    <x v="1"/>
    <x v="1"/>
    <x v="1"/>
    <n v="6003"/>
    <n v="1761.12"/>
    <n v="51.48"/>
    <n v="0"/>
    <n v="1812.6"/>
    <n v="9"/>
    <n v="4.7"/>
  </r>
  <r>
    <n v="25328"/>
    <s v="Kitchen"/>
    <s v="Bar Cart"/>
    <x v="10"/>
    <x v="4"/>
    <x v="0"/>
    <x v="0"/>
    <x v="0"/>
    <n v="3999"/>
    <n v="1911.48"/>
    <n v="127.01"/>
    <n v="49.54"/>
    <n v="2088.0300000000002"/>
    <n v="3"/>
    <n v="2.6"/>
  </r>
  <r>
    <n v="58929"/>
    <s v="Kitchen"/>
    <s v="Kitchen Cabinet"/>
    <x v="0"/>
    <x v="1"/>
    <x v="0"/>
    <x v="0"/>
    <x v="4"/>
    <n v="3316"/>
    <n v="817.48"/>
    <n v="104.19"/>
    <n v="56.34"/>
    <n v="978.01"/>
    <n v="1"/>
    <n v="4.2"/>
  </r>
  <r>
    <n v="76954"/>
    <s v="Bedroom"/>
    <s v="Chest of Drawers"/>
    <x v="11"/>
    <x v="4"/>
    <x v="0"/>
    <x v="1"/>
    <x v="6"/>
    <n v="7364"/>
    <n v="2549.0300000000002"/>
    <n v="121.92"/>
    <n v="0"/>
    <n v="2670.95"/>
    <n v="9"/>
    <n v="3.6"/>
  </r>
  <r>
    <n v="64819"/>
    <s v="Outdoor"/>
    <s v="Umbrella"/>
    <x v="10"/>
    <x v="3"/>
    <x v="0"/>
    <x v="1"/>
    <x v="4"/>
    <n v="3258"/>
    <n v="995.14"/>
    <n v="114.73"/>
    <n v="0"/>
    <n v="1109.8699999999999"/>
    <n v="6"/>
    <n v="3.2"/>
  </r>
  <r>
    <n v="85340"/>
    <s v="Outdoor"/>
    <s v="Lounge Chair"/>
    <x v="6"/>
    <x v="5"/>
    <x v="0"/>
    <x v="0"/>
    <x v="0"/>
    <n v="7286"/>
    <n v="301.25"/>
    <n v="94.27"/>
    <n v="217.14"/>
    <n v="612.66"/>
    <n v="8"/>
    <n v="4.0999999999999996"/>
  </r>
  <r>
    <n v="65448"/>
    <s v="Kitchen"/>
    <s v="Pantry Cabinet"/>
    <x v="0"/>
    <x v="4"/>
    <x v="0"/>
    <x v="0"/>
    <x v="1"/>
    <n v="4043"/>
    <n v="904.78"/>
    <n v="146.35"/>
    <n v="224.23"/>
    <n v="1275.3599999999999"/>
    <n v="9"/>
    <n v="3.2"/>
  </r>
  <r>
    <n v="73788"/>
    <s v="Kitchen"/>
    <s v="Pantry Cabinet"/>
    <x v="6"/>
    <x v="4"/>
    <x v="0"/>
    <x v="0"/>
    <x v="6"/>
    <n v="9804"/>
    <n v="1880.79"/>
    <n v="0"/>
    <n v="151.61000000000001"/>
    <n v="2032.4"/>
    <n v="4"/>
    <n v="4"/>
  </r>
  <r>
    <n v="94575"/>
    <s v="Outdoor"/>
    <s v="Umbrella"/>
    <x v="8"/>
    <x v="0"/>
    <x v="0"/>
    <x v="0"/>
    <x v="1"/>
    <n v="3838"/>
    <n v="151.08000000000001"/>
    <m/>
    <n v="105.19"/>
    <n v="329.54"/>
    <n v="5"/>
    <n v="3.7"/>
  </r>
  <r>
    <n v="82733"/>
    <s v="Outdoor"/>
    <s v="Umbrella"/>
    <x v="8"/>
    <x v="2"/>
    <x v="1"/>
    <x v="0"/>
    <x v="6"/>
    <n v="3733"/>
    <n v="697.6"/>
    <n v="53.83"/>
    <n v="63.98"/>
    <n v="815.41"/>
    <n v="9"/>
    <n v="4"/>
  </r>
  <r>
    <n v="74178"/>
    <s v="Bedroom"/>
    <s v="Wardrobe"/>
    <x v="6"/>
    <x v="5"/>
    <x v="0"/>
    <x v="1"/>
    <x v="4"/>
    <n v="5732"/>
    <n v="1270.54"/>
    <n v="69.61"/>
    <n v="0"/>
    <n v="1340.15"/>
    <n v="14"/>
    <n v="2.2000000000000002"/>
  </r>
  <r>
    <n v="28388"/>
    <s v="Bedroom"/>
    <s v="Chest of Drawers"/>
    <x v="4"/>
    <x v="4"/>
    <x v="0"/>
    <x v="1"/>
    <x v="3"/>
    <n v="4065"/>
    <n v="1668.2"/>
    <n v="76.930000000000007"/>
    <n v="0"/>
    <n v="1745.13"/>
    <n v="14"/>
    <n v="4.5"/>
  </r>
  <r>
    <n v="51232"/>
    <s v="Living Room"/>
    <s v="TV Stand"/>
    <x v="10"/>
    <x v="5"/>
    <x v="0"/>
    <x v="1"/>
    <x v="6"/>
    <n v="8389"/>
    <n v="1131.27"/>
    <n v="0"/>
    <n v="0"/>
    <n v="1131.27"/>
    <n v="3"/>
    <n v="2.4"/>
  </r>
  <r>
    <n v="91187"/>
    <s v="Office"/>
    <s v="Desk"/>
    <x v="4"/>
    <x v="4"/>
    <x v="0"/>
    <x v="0"/>
    <x v="0"/>
    <n v="1878"/>
    <n v="1455.45"/>
    <n v="0"/>
    <n v="67.17"/>
    <n v="1522.62"/>
    <n v="10"/>
    <n v="2.5"/>
  </r>
  <r>
    <n v="57059"/>
    <s v="Kitchen"/>
    <s v="Pantry Cabinet"/>
    <x v="7"/>
    <x v="2"/>
    <x v="1"/>
    <x v="1"/>
    <x v="0"/>
    <n v="1157"/>
    <n v="1112.31"/>
    <n v="0"/>
    <n v="0"/>
    <n v="1112.31"/>
    <n v="9"/>
    <n v="2.5"/>
  </r>
  <r>
    <n v="73518"/>
    <s v="Kitchen"/>
    <s v="Kitchen Cabinet"/>
    <x v="11"/>
    <x v="1"/>
    <x v="0"/>
    <x v="1"/>
    <x v="3"/>
    <n v="3236"/>
    <n v="1963.17"/>
    <n v="78.73"/>
    <n v="0"/>
    <n v="2041.9"/>
    <n v="4"/>
    <m/>
  </r>
  <r>
    <n v="35575"/>
    <s v="Living Room"/>
    <s v="Side Table"/>
    <x v="7"/>
    <x v="1"/>
    <x v="0"/>
    <x v="0"/>
    <x v="6"/>
    <n v="7290"/>
    <n v="2255.89"/>
    <n v="57.45"/>
    <n v="239.85"/>
    <n v="2553.19"/>
    <n v="3"/>
    <m/>
  </r>
  <r>
    <n v="83607"/>
    <s v="Kitchen"/>
    <s v="Bar Cart"/>
    <x v="11"/>
    <x v="0"/>
    <x v="0"/>
    <x v="1"/>
    <x v="0"/>
    <n v="9281"/>
    <n v="892.09"/>
    <n v="0"/>
    <n v="0"/>
    <n v="892.09"/>
    <n v="4"/>
    <n v="1.4"/>
  </r>
  <r>
    <n v="95599"/>
    <s v="Dining Room"/>
    <s v="Bar Stool"/>
    <x v="7"/>
    <x v="3"/>
    <x v="0"/>
    <x v="0"/>
    <x v="5"/>
    <n v="9109"/>
    <n v="484.36"/>
    <n v="41.24"/>
    <n v="161.94"/>
    <n v="687.54"/>
    <n v="4"/>
    <n v="2.9"/>
  </r>
  <r>
    <n v="63626"/>
    <s v="Office"/>
    <s v="Filing Cabinet"/>
    <x v="6"/>
    <x v="3"/>
    <x v="0"/>
    <x v="1"/>
    <x v="6"/>
    <n v="9056"/>
    <n v="1289.21"/>
    <n v="0"/>
    <n v="0"/>
    <n v="1289.21"/>
    <n v="14"/>
    <m/>
  </r>
  <r>
    <n v="64477"/>
    <s v="Living Room"/>
    <s v="Sofa"/>
    <x v="9"/>
    <x v="4"/>
    <x v="0"/>
    <x v="1"/>
    <x v="3"/>
    <n v="8272"/>
    <n v="1985.57"/>
    <n v="0"/>
    <n v="0"/>
    <n v="1985.57"/>
    <n v="10"/>
    <n v="5"/>
  </r>
  <r>
    <n v="74054"/>
    <s v="Office"/>
    <s v="Computer Table"/>
    <x v="12"/>
    <x v="4"/>
    <x v="0"/>
    <x v="0"/>
    <x v="3"/>
    <n v="3740"/>
    <n v="165.4"/>
    <n v="79.94"/>
    <n v="151.01"/>
    <n v="396.35"/>
    <n v="6"/>
    <m/>
  </r>
  <r>
    <n v="20835"/>
    <s v="Dining Room"/>
    <s v="Buffet"/>
    <x v="3"/>
    <x v="0"/>
    <x v="0"/>
    <x v="1"/>
    <x v="0"/>
    <n v="1505"/>
    <n v="409.3"/>
    <n v="35.26"/>
    <n v="0"/>
    <n v="444.56"/>
    <n v="9"/>
    <n v="4.2"/>
  </r>
  <r>
    <n v="38905"/>
    <s v="Dining Room"/>
    <s v="China Cabinet"/>
    <x v="10"/>
    <x v="1"/>
    <x v="0"/>
    <x v="1"/>
    <x v="6"/>
    <n v="5785"/>
    <n v="1062.23"/>
    <n v="94.98"/>
    <n v="0"/>
    <n v="1157.21"/>
    <n v="5"/>
    <n v="1.7"/>
  </r>
  <r>
    <n v="14285"/>
    <s v="Kitchen"/>
    <s v="Kitchen Cabinet"/>
    <x v="8"/>
    <x v="1"/>
    <x v="0"/>
    <x v="1"/>
    <x v="2"/>
    <n v="5503"/>
    <n v="2462.94"/>
    <n v="77.959999999999994"/>
    <n v="0"/>
    <n v="2540.9"/>
    <n v="12"/>
    <n v="4.9000000000000004"/>
  </r>
  <r>
    <n v="39470"/>
    <s v="Kitchen"/>
    <s v="Kitchen Cabinet"/>
    <x v="5"/>
    <x v="3"/>
    <x v="0"/>
    <x v="0"/>
    <x v="0"/>
    <n v="9808"/>
    <n v="691.11"/>
    <n v="0"/>
    <n v="45.31"/>
    <n v="736.42"/>
    <n v="7"/>
    <n v="1.1000000000000001"/>
  </r>
  <r>
    <n v="47836"/>
    <s v="Bedroom"/>
    <s v="Dresser"/>
    <x v="2"/>
    <x v="2"/>
    <x v="1"/>
    <x v="0"/>
    <x v="2"/>
    <n v="3755"/>
    <n v="1211.6400000000001"/>
    <n v="0"/>
    <m/>
    <n v="1260.5999999999999"/>
    <n v="3"/>
    <n v="4.3"/>
  </r>
  <r>
    <n v="69942"/>
    <s v="Dining Room"/>
    <s v="Dining Table"/>
    <x v="3"/>
    <x v="4"/>
    <x v="0"/>
    <x v="1"/>
    <x v="4"/>
    <n v="9115"/>
    <n v="495.85"/>
    <n v="49.3"/>
    <n v="0"/>
    <n v="545.15"/>
    <n v="1"/>
    <n v="3.5"/>
  </r>
  <r>
    <n v="82053"/>
    <s v="Bedroom"/>
    <s v="Chest of Drawers"/>
    <x v="10"/>
    <x v="5"/>
    <x v="0"/>
    <x v="1"/>
    <x v="1"/>
    <n v="9369"/>
    <n v="436.05"/>
    <n v="47.74"/>
    <n v="0"/>
    <n v="483.79"/>
    <n v="7"/>
    <n v="5"/>
  </r>
  <r>
    <n v="24838"/>
    <s v="Outdoor"/>
    <s v="Garden Chair"/>
    <x v="12"/>
    <x v="2"/>
    <x v="1"/>
    <x v="1"/>
    <x v="2"/>
    <n v="2871"/>
    <n v="848.07"/>
    <n v="128.88"/>
    <n v="0"/>
    <n v="976.95"/>
    <n v="11"/>
    <n v="4"/>
  </r>
  <r>
    <n v="45112"/>
    <s v="Kitchen"/>
    <s v="Bar Cart"/>
    <x v="2"/>
    <x v="1"/>
    <x v="0"/>
    <x v="0"/>
    <x v="5"/>
    <n v="9898"/>
    <n v="2322.33"/>
    <n v="0"/>
    <n v="90.27"/>
    <n v="2412.6"/>
    <n v="3"/>
    <n v="4.2"/>
  </r>
  <r>
    <n v="58085"/>
    <s v="Bedroom"/>
    <s v="Bed Frame"/>
    <x v="2"/>
    <x v="4"/>
    <x v="0"/>
    <x v="0"/>
    <x v="5"/>
    <n v="9880"/>
    <n v="509.94"/>
    <n v="137.87"/>
    <n v="162.41"/>
    <n v="810.22"/>
    <n v="1"/>
    <n v="1"/>
  </r>
  <r>
    <n v="15453"/>
    <s v="Office"/>
    <s v="Bookshelf"/>
    <x v="1"/>
    <x v="0"/>
    <x v="0"/>
    <x v="1"/>
    <x v="1"/>
    <n v="8231"/>
    <n v="775.14"/>
    <n v="0"/>
    <n v="0"/>
    <n v="775.14"/>
    <n v="6"/>
    <m/>
  </r>
  <r>
    <n v="81611"/>
    <s v="Kitchen"/>
    <s v="Kitchen Island"/>
    <x v="7"/>
    <x v="1"/>
    <x v="0"/>
    <x v="0"/>
    <x v="6"/>
    <n v="4580"/>
    <n v="1763.35"/>
    <n v="0"/>
    <n v="148.01"/>
    <n v="1911.36"/>
    <n v="6"/>
    <n v="4.9000000000000004"/>
  </r>
  <r>
    <n v="65725"/>
    <s v="Office"/>
    <s v="Desk"/>
    <x v="6"/>
    <x v="1"/>
    <x v="0"/>
    <x v="1"/>
    <x v="1"/>
    <n v="2677"/>
    <n v="618.04999999999995"/>
    <n v="144.21"/>
    <n v="0"/>
    <n v="762.26"/>
    <n v="3"/>
    <n v="3"/>
  </r>
  <r>
    <n v="95678"/>
    <s v="Office"/>
    <s v="Computer Table"/>
    <x v="10"/>
    <x v="1"/>
    <x v="0"/>
    <x v="0"/>
    <x v="5"/>
    <n v="5055"/>
    <n v="422.35"/>
    <n v="32.67"/>
    <n v="85.91"/>
    <n v="540.92999999999995"/>
    <n v="2"/>
    <n v="1.7"/>
  </r>
  <r>
    <n v="49021"/>
    <s v="Bedroom"/>
    <s v="Nightstand"/>
    <x v="0"/>
    <x v="5"/>
    <x v="0"/>
    <x v="0"/>
    <x v="4"/>
    <n v="1528"/>
    <n v="2393.5500000000002"/>
    <n v="142.58000000000001"/>
    <n v="33.15"/>
    <n v="2569.2800000000002"/>
    <n v="3"/>
    <n v="4.8"/>
  </r>
  <r>
    <n v="68947"/>
    <s v="Office"/>
    <s v="Desk"/>
    <x v="1"/>
    <x v="2"/>
    <x v="1"/>
    <x v="0"/>
    <x v="4"/>
    <n v="5305"/>
    <n v="1436.59"/>
    <n v="129.94"/>
    <m/>
    <n v="1690.16"/>
    <n v="9"/>
    <m/>
  </r>
  <r>
    <n v="55688"/>
    <s v="Dining Room"/>
    <s v="Dining Chair"/>
    <x v="2"/>
    <x v="0"/>
    <x v="0"/>
    <x v="1"/>
    <x v="4"/>
    <n v="2425"/>
    <n v="1599.77"/>
    <n v="104.02"/>
    <n v="0"/>
    <n v="1703.79"/>
    <n v="9"/>
    <n v="2.1"/>
  </r>
  <r>
    <n v="67549"/>
    <s v="Outdoor"/>
    <s v="Lounge Chair"/>
    <x v="8"/>
    <x v="2"/>
    <x v="1"/>
    <x v="1"/>
    <x v="2"/>
    <n v="2923"/>
    <n v="1366.24"/>
    <n v="71.89"/>
    <n v="0"/>
    <n v="1438.13"/>
    <n v="5"/>
    <n v="1.1000000000000001"/>
  </r>
  <r>
    <n v="41056"/>
    <s v="Dining Room"/>
    <s v="China Cabinet"/>
    <x v="10"/>
    <x v="3"/>
    <x v="0"/>
    <x v="0"/>
    <x v="5"/>
    <n v="4438"/>
    <n v="1640.45"/>
    <n v="111.12"/>
    <n v="94.66"/>
    <n v="1846.23"/>
    <n v="10"/>
    <n v="4.4000000000000004"/>
  </r>
  <r>
    <n v="87060"/>
    <s v="Kitchen"/>
    <s v="Bar Cart"/>
    <x v="12"/>
    <x v="0"/>
    <x v="0"/>
    <x v="1"/>
    <x v="4"/>
    <n v="6744"/>
    <n v="1268.31"/>
    <n v="0"/>
    <n v="0"/>
    <n v="1268.31"/>
    <n v="4"/>
    <n v="3.4"/>
  </r>
  <r>
    <n v="89988"/>
    <s v="Living Room"/>
    <s v="Coffee Table"/>
    <x v="1"/>
    <x v="2"/>
    <x v="1"/>
    <x v="0"/>
    <x v="1"/>
    <n v="8015"/>
    <n v="1327.75"/>
    <n v="82.69"/>
    <n v="57.46"/>
    <n v="1467.9"/>
    <n v="13"/>
    <n v="4.9000000000000004"/>
  </r>
  <r>
    <n v="31755"/>
    <s v="Outdoor"/>
    <s v="Patio Set"/>
    <x v="10"/>
    <x v="4"/>
    <x v="0"/>
    <x v="0"/>
    <x v="3"/>
    <n v="3281"/>
    <n v="1054.17"/>
    <n v="0"/>
    <n v="176.1"/>
    <n v="1230.27"/>
    <n v="8"/>
    <n v="4.8"/>
  </r>
  <r>
    <n v="37082"/>
    <s v="Kitchen"/>
    <s v="Pantry Cabinet"/>
    <x v="6"/>
    <x v="4"/>
    <x v="0"/>
    <x v="1"/>
    <x v="1"/>
    <n v="4390"/>
    <n v="1068.49"/>
    <n v="0"/>
    <n v="0"/>
    <n v="1068.49"/>
    <n v="11"/>
    <n v="1.7"/>
  </r>
  <r>
    <n v="17780"/>
    <s v="Living Room"/>
    <s v="Sofa"/>
    <x v="0"/>
    <x v="4"/>
    <x v="0"/>
    <x v="1"/>
    <x v="6"/>
    <n v="6747"/>
    <n v="664.59"/>
    <n v="0"/>
    <n v="0"/>
    <n v="664.59"/>
    <n v="4"/>
    <n v="3.6"/>
  </r>
  <r>
    <n v="79767"/>
    <s v="Living Room"/>
    <s v="Armchair"/>
    <x v="5"/>
    <x v="5"/>
    <x v="0"/>
    <x v="0"/>
    <x v="4"/>
    <n v="5605"/>
    <n v="352.74"/>
    <n v="87.64"/>
    <n v="93.6"/>
    <n v="533.98"/>
    <n v="10"/>
    <n v="4.5"/>
  </r>
  <r>
    <n v="88231"/>
    <s v="Kitchen"/>
    <s v="Bar Cart"/>
    <x v="11"/>
    <x v="5"/>
    <x v="0"/>
    <x v="1"/>
    <x v="1"/>
    <n v="9827"/>
    <n v="2014.29"/>
    <n v="108.69"/>
    <n v="0"/>
    <n v="2122.98"/>
    <n v="11"/>
    <m/>
  </r>
  <r>
    <n v="32069"/>
    <s v="Dining Room"/>
    <s v="China Cabinet"/>
    <x v="6"/>
    <x v="4"/>
    <x v="0"/>
    <x v="0"/>
    <x v="1"/>
    <n v="6302"/>
    <n v="466.42"/>
    <n v="70.91"/>
    <n v="39.409999999999997"/>
    <n v="576.74"/>
    <n v="8"/>
    <m/>
  </r>
  <r>
    <n v="48356"/>
    <s v="Living Room"/>
    <s v="Ottoman"/>
    <x v="6"/>
    <x v="1"/>
    <x v="0"/>
    <x v="0"/>
    <x v="1"/>
    <n v="5740"/>
    <n v="2425.0500000000002"/>
    <n v="0"/>
    <n v="86.59"/>
    <n v="2511.64"/>
    <n v="2"/>
    <n v="1.5"/>
  </r>
  <r>
    <n v="85069"/>
    <s v="Office"/>
    <s v="Filing Cabinet"/>
    <x v="1"/>
    <x v="3"/>
    <x v="0"/>
    <x v="0"/>
    <x v="0"/>
    <n v="5380"/>
    <n v="1148.78"/>
    <n v="0"/>
    <n v="27.9"/>
    <n v="1176.68"/>
    <n v="7"/>
    <n v="1.5"/>
  </r>
  <r>
    <n v="77425"/>
    <s v="Kitchen"/>
    <s v="Kitchen Island"/>
    <x v="9"/>
    <x v="5"/>
    <x v="0"/>
    <x v="1"/>
    <x v="0"/>
    <n v="2560"/>
    <n v="1282.28"/>
    <n v="116.17"/>
    <n v="0"/>
    <n v="1398.45"/>
    <n v="4"/>
    <n v="3.5"/>
  </r>
  <r>
    <n v="27771"/>
    <s v="Dining Room"/>
    <s v="China Cabinet"/>
    <x v="11"/>
    <x v="4"/>
    <x v="0"/>
    <x v="0"/>
    <x v="0"/>
    <n v="7743"/>
    <n v="465.64"/>
    <n v="53.52"/>
    <n v="41.51"/>
    <n v="560.66999999999996"/>
    <n v="8"/>
    <n v="3.7"/>
  </r>
  <r>
    <n v="17770"/>
    <s v="Bedroom"/>
    <s v="Dresser"/>
    <x v="0"/>
    <x v="1"/>
    <x v="0"/>
    <x v="0"/>
    <x v="6"/>
    <n v="5543"/>
    <n v="651.99"/>
    <n v="0"/>
    <n v="243.8"/>
    <n v="895.79"/>
    <n v="3"/>
    <n v="4.4000000000000004"/>
  </r>
  <r>
    <n v="95969"/>
    <s v="Bedroom"/>
    <s v="Mattress"/>
    <x v="2"/>
    <x v="1"/>
    <x v="0"/>
    <x v="0"/>
    <x v="4"/>
    <n v="3078"/>
    <n v="1849.52"/>
    <n v="51.71"/>
    <n v="199.46"/>
    <n v="2100.69"/>
    <n v="6"/>
    <n v="4.4000000000000004"/>
  </r>
  <r>
    <n v="27392"/>
    <s v="Outdoor"/>
    <s v="Patio Set"/>
    <x v="5"/>
    <x v="3"/>
    <x v="0"/>
    <x v="1"/>
    <x v="5"/>
    <n v="5090"/>
    <n v="1478.85"/>
    <n v="0"/>
    <n v="0"/>
    <n v="1478.85"/>
    <n v="3"/>
    <n v="3.3"/>
  </r>
  <r>
    <n v="29168"/>
    <s v="Office"/>
    <s v="Office Chair"/>
    <x v="11"/>
    <x v="5"/>
    <x v="0"/>
    <x v="1"/>
    <x v="5"/>
    <n v="6277"/>
    <n v="281.47000000000003"/>
    <n v="39.31"/>
    <n v="0"/>
    <n v="320.77999999999997"/>
    <n v="9"/>
    <n v="2.5"/>
  </r>
  <r>
    <n v="42447"/>
    <s v="Living Room"/>
    <s v="TV Stand"/>
    <x v="1"/>
    <x v="0"/>
    <x v="0"/>
    <x v="0"/>
    <x v="5"/>
    <n v="7434"/>
    <n v="2365.48"/>
    <n v="127.85"/>
    <n v="99.5"/>
    <n v="2592.83"/>
    <n v="1"/>
    <n v="2.4"/>
  </r>
  <r>
    <n v="74154"/>
    <s v="Kitchen"/>
    <s v="Pantry Cabinet"/>
    <x v="5"/>
    <x v="0"/>
    <x v="0"/>
    <x v="0"/>
    <x v="5"/>
    <n v="3329"/>
    <n v="911.45"/>
    <n v="0"/>
    <n v="257.83"/>
    <n v="1169.28"/>
    <n v="2"/>
    <n v="4.4000000000000004"/>
  </r>
  <r>
    <n v="85684"/>
    <s v="Bedroom"/>
    <s v="Mattress"/>
    <x v="6"/>
    <x v="1"/>
    <x v="0"/>
    <x v="0"/>
    <x v="0"/>
    <n v="5402"/>
    <n v="2601.0300000000002"/>
    <n v="144.52000000000001"/>
    <n v="131.94"/>
    <n v="2877.49"/>
    <n v="14"/>
    <n v="4.5"/>
  </r>
  <r>
    <n v="92288"/>
    <s v="Bedroom"/>
    <s v="Chest of Drawers"/>
    <x v="10"/>
    <x v="4"/>
    <x v="0"/>
    <x v="0"/>
    <x v="2"/>
    <n v="7786"/>
    <n v="2174.4499999999998"/>
    <n v="0"/>
    <n v="28.12"/>
    <n v="2202.5700000000002"/>
    <n v="10"/>
    <n v="4.5999999999999996"/>
  </r>
  <r>
    <n v="59174"/>
    <s v="Outdoor"/>
    <s v="Lounge Chair"/>
    <x v="11"/>
    <x v="0"/>
    <x v="0"/>
    <x v="0"/>
    <x v="2"/>
    <n v="8405"/>
    <n v="758.13"/>
    <n v="80.83"/>
    <n v="144.28"/>
    <n v="983.24"/>
    <n v="11"/>
    <n v="2.4"/>
  </r>
  <r>
    <n v="19898"/>
    <s v="Bedroom"/>
    <s v="Mattress"/>
    <x v="7"/>
    <x v="3"/>
    <x v="0"/>
    <x v="1"/>
    <x v="2"/>
    <n v="2525"/>
    <n v="866.15"/>
    <n v="63.69"/>
    <n v="0"/>
    <n v="929.84"/>
    <n v="8"/>
    <n v="1.4"/>
  </r>
  <r>
    <n v="62802"/>
    <s v="Living Room"/>
    <s v="Ottoman"/>
    <x v="11"/>
    <x v="3"/>
    <x v="0"/>
    <x v="1"/>
    <x v="1"/>
    <n v="9447"/>
    <n v="482.06"/>
    <n v="40.54"/>
    <n v="0"/>
    <n v="522.6"/>
    <n v="9"/>
    <n v="2.8"/>
  </r>
  <r>
    <n v="46467"/>
    <s v="Bedroom"/>
    <s v="Nightstand"/>
    <x v="0"/>
    <x v="3"/>
    <x v="0"/>
    <x v="1"/>
    <x v="2"/>
    <n v="7046"/>
    <n v="1621.4"/>
    <n v="101.69"/>
    <n v="0"/>
    <n v="1723.09"/>
    <n v="8"/>
    <m/>
  </r>
  <r>
    <n v="69597"/>
    <s v="Outdoor"/>
    <s v="Patio Set"/>
    <x v="4"/>
    <x v="2"/>
    <x v="1"/>
    <x v="0"/>
    <x v="0"/>
    <n v="8996"/>
    <n v="1757.43"/>
    <n v="96.35"/>
    <n v="35.21"/>
    <n v="1888.99"/>
    <n v="2"/>
    <n v="2.8"/>
  </r>
  <r>
    <n v="52898"/>
    <s v="Living Room"/>
    <s v="TV Stand"/>
    <x v="9"/>
    <x v="5"/>
    <x v="0"/>
    <x v="1"/>
    <x v="0"/>
    <n v="1040"/>
    <n v="1030.58"/>
    <n v="77.55"/>
    <n v="0"/>
    <n v="1108.1300000000001"/>
    <n v="4"/>
    <n v="1.7"/>
  </r>
  <r>
    <n v="22208"/>
    <s v="Living Room"/>
    <s v="Ottoman"/>
    <x v="11"/>
    <x v="0"/>
    <x v="0"/>
    <x v="1"/>
    <x v="0"/>
    <n v="8511"/>
    <n v="1200.72"/>
    <n v="135.94"/>
    <n v="0"/>
    <n v="1336.66"/>
    <n v="8"/>
    <n v="2.7"/>
  </r>
  <r>
    <n v="93209"/>
    <s v="Bedroom"/>
    <s v="Bed Frame"/>
    <x v="11"/>
    <x v="0"/>
    <x v="0"/>
    <x v="0"/>
    <x v="1"/>
    <n v="6869"/>
    <n v="1749.58"/>
    <n v="149.97999999999999"/>
    <n v="173.49"/>
    <n v="2073.0500000000002"/>
    <n v="13"/>
    <n v="2.8"/>
  </r>
  <r>
    <n v="18300"/>
    <s v="Office"/>
    <s v="Desk"/>
    <x v="5"/>
    <x v="2"/>
    <x v="1"/>
    <x v="0"/>
    <x v="1"/>
    <n v="9756"/>
    <n v="192.09"/>
    <n v="68.89"/>
    <n v="84.97"/>
    <n v="345.95"/>
    <n v="8"/>
    <m/>
  </r>
  <r>
    <n v="62129"/>
    <s v="Office"/>
    <s v="Filing Cabinet"/>
    <x v="10"/>
    <x v="3"/>
    <x v="0"/>
    <x v="0"/>
    <x v="6"/>
    <n v="4568"/>
    <n v="222.24"/>
    <n v="97.38"/>
    <n v="44.88"/>
    <n v="364.5"/>
    <n v="1"/>
    <n v="2.9"/>
  </r>
  <r>
    <n v="66314"/>
    <s v="Living Room"/>
    <s v="Sofa"/>
    <x v="6"/>
    <x v="1"/>
    <x v="0"/>
    <x v="0"/>
    <x v="6"/>
    <n v="4470"/>
    <n v="1922.75"/>
    <n v="0"/>
    <n v="45.51"/>
    <n v="1968.26"/>
    <n v="10"/>
    <n v="4.4000000000000004"/>
  </r>
  <r>
    <n v="74843"/>
    <s v="Kitchen"/>
    <s v="Kitchen Island"/>
    <x v="0"/>
    <x v="4"/>
    <x v="0"/>
    <x v="1"/>
    <x v="0"/>
    <n v="5399"/>
    <n v="993.1"/>
    <n v="120.77"/>
    <n v="0"/>
    <n v="1113.8699999999999"/>
    <n v="13"/>
    <n v="2"/>
  </r>
  <r>
    <n v="52318"/>
    <s v="Kitchen"/>
    <s v="Kitchen Cabinet"/>
    <x v="6"/>
    <x v="5"/>
    <x v="0"/>
    <x v="1"/>
    <x v="4"/>
    <n v="5646"/>
    <n v="1722.48"/>
    <n v="99.69"/>
    <n v="0"/>
    <n v="1822.17"/>
    <n v="13"/>
    <n v="5"/>
  </r>
  <r>
    <n v="54270"/>
    <s v="Living Room"/>
    <s v="Coffee Table"/>
    <x v="2"/>
    <x v="0"/>
    <x v="0"/>
    <x v="1"/>
    <x v="1"/>
    <n v="9967"/>
    <n v="1265.47"/>
    <n v="62.03"/>
    <n v="0"/>
    <n v="1327.5"/>
    <n v="7"/>
    <n v="4"/>
  </r>
  <r>
    <n v="85750"/>
    <s v="Living Room"/>
    <s v="Coffee Table"/>
    <x v="8"/>
    <x v="0"/>
    <x v="0"/>
    <x v="0"/>
    <x v="5"/>
    <n v="3139"/>
    <n v="697.45"/>
    <n v="0"/>
    <n v="221.98"/>
    <n v="919.43"/>
    <n v="5"/>
    <n v="4.3"/>
  </r>
  <r>
    <n v="84205"/>
    <s v="Bedroom"/>
    <s v="Chest of Drawers"/>
    <x v="0"/>
    <x v="0"/>
    <x v="0"/>
    <x v="1"/>
    <x v="2"/>
    <n v="8951"/>
    <n v="2113.3200000000002"/>
    <n v="109.1"/>
    <n v="0"/>
    <n v="2222.42"/>
    <n v="10"/>
    <n v="1.5"/>
  </r>
  <r>
    <n v="55054"/>
    <s v="Living Room"/>
    <s v="Sofa"/>
    <x v="5"/>
    <x v="5"/>
    <x v="0"/>
    <x v="1"/>
    <x v="1"/>
    <n v="1793"/>
    <n v="1836.42"/>
    <n v="66.510000000000005"/>
    <n v="0"/>
    <n v="1902.93"/>
    <n v="14"/>
    <n v="3.6"/>
  </r>
  <r>
    <n v="16021"/>
    <s v="Living Room"/>
    <s v="Ottoman"/>
    <x v="5"/>
    <x v="1"/>
    <x v="0"/>
    <x v="0"/>
    <x v="2"/>
    <n v="2631"/>
    <n v="1259.71"/>
    <n v="134.43"/>
    <n v="35.270000000000003"/>
    <n v="1429.41"/>
    <n v="14"/>
    <n v="3.7"/>
  </r>
  <r>
    <n v="92074"/>
    <s v="Outdoor"/>
    <s v="Outdoor Table"/>
    <x v="0"/>
    <x v="4"/>
    <x v="0"/>
    <x v="0"/>
    <x v="2"/>
    <n v="8529"/>
    <n v="306.88"/>
    <n v="94.82"/>
    <n v="68.47"/>
    <n v="470.17"/>
    <n v="12"/>
    <n v="3.3"/>
  </r>
  <r>
    <n v="12134"/>
    <s v="Kitchen"/>
    <s v="Pantry Cabinet"/>
    <x v="6"/>
    <x v="4"/>
    <x v="0"/>
    <x v="1"/>
    <x v="6"/>
    <n v="3035"/>
    <n v="2281.83"/>
    <n v="58.35"/>
    <n v="0"/>
    <n v="2340.1799999999998"/>
    <n v="1"/>
    <n v="3.2"/>
  </r>
  <r>
    <n v="30707"/>
    <s v="Outdoor"/>
    <s v="Umbrella"/>
    <x v="2"/>
    <x v="0"/>
    <x v="0"/>
    <x v="0"/>
    <x v="6"/>
    <n v="8230"/>
    <n v="200.38"/>
    <n v="86.53"/>
    <n v="284.12"/>
    <n v="571.03"/>
    <n v="5"/>
    <n v="1.6"/>
  </r>
  <r>
    <n v="69836"/>
    <s v="Kitchen"/>
    <s v="Bar Cart"/>
    <x v="5"/>
    <x v="2"/>
    <x v="1"/>
    <x v="1"/>
    <x v="3"/>
    <n v="1011"/>
    <n v="1556.39"/>
    <n v="100.68"/>
    <n v="0"/>
    <n v="1657.07"/>
    <n v="1"/>
    <n v="1.2"/>
  </r>
  <r>
    <n v="66072"/>
    <s v="Living Room"/>
    <s v="Armchair"/>
    <x v="6"/>
    <x v="1"/>
    <x v="0"/>
    <x v="0"/>
    <x v="0"/>
    <n v="4314"/>
    <n v="1290.9100000000001"/>
    <n v="59.37"/>
    <n v="69.010000000000005"/>
    <n v="1419.29"/>
    <n v="2"/>
    <n v="2.6"/>
  </r>
  <r>
    <n v="27290"/>
    <s v="Bedroom"/>
    <s v="Wardrobe"/>
    <x v="3"/>
    <x v="4"/>
    <x v="0"/>
    <x v="0"/>
    <x v="4"/>
    <n v="5945"/>
    <n v="2689.32"/>
    <n v="109.04"/>
    <n v="233.95"/>
    <n v="3032.31"/>
    <n v="9"/>
    <n v="3.9"/>
  </r>
  <r>
    <n v="30837"/>
    <s v="Office"/>
    <s v="Office Chair"/>
    <x v="0"/>
    <x v="0"/>
    <x v="0"/>
    <x v="0"/>
    <x v="0"/>
    <n v="5489"/>
    <n v="459.33"/>
    <n v="69.16"/>
    <n v="31.47"/>
    <n v="559.96"/>
    <n v="13"/>
    <m/>
  </r>
  <r>
    <n v="22234"/>
    <s v="Dining Room"/>
    <s v="Buffet"/>
    <x v="7"/>
    <x v="5"/>
    <x v="0"/>
    <x v="0"/>
    <x v="6"/>
    <n v="6905"/>
    <n v="183.64"/>
    <n v="92.47"/>
    <n v="74.38"/>
    <n v="350.49"/>
    <n v="11"/>
    <n v="3.8"/>
  </r>
  <r>
    <n v="42819"/>
    <s v="Outdoor"/>
    <s v="Lounge Chair"/>
    <x v="0"/>
    <x v="0"/>
    <x v="0"/>
    <x v="1"/>
    <x v="4"/>
    <n v="2350"/>
    <n v="734.17"/>
    <n v="96.02"/>
    <n v="0"/>
    <n v="830.19"/>
    <n v="3"/>
    <n v="1.2"/>
  </r>
  <r>
    <n v="58738"/>
    <s v="Outdoor"/>
    <s v="Outdoor Table"/>
    <x v="7"/>
    <x v="2"/>
    <x v="1"/>
    <x v="1"/>
    <x v="5"/>
    <n v="3711"/>
    <n v="1527.89"/>
    <n v="104.68"/>
    <n v="0"/>
    <n v="1632.57"/>
    <n v="10"/>
    <n v="2.1"/>
  </r>
  <r>
    <n v="16787"/>
    <s v="Living Room"/>
    <s v="Armchair"/>
    <x v="6"/>
    <x v="0"/>
    <x v="0"/>
    <x v="0"/>
    <x v="6"/>
    <n v="7493"/>
    <n v="226.72"/>
    <n v="67.06"/>
    <n v="171.35"/>
    <n v="465.13"/>
    <n v="6"/>
    <n v="2"/>
  </r>
  <r>
    <n v="91999"/>
    <s v="Kitchen"/>
    <s v="Bar Cart"/>
    <x v="5"/>
    <x v="0"/>
    <x v="0"/>
    <x v="0"/>
    <x v="5"/>
    <n v="6005"/>
    <n v="300.76"/>
    <n v="97.57"/>
    <n v="153.46"/>
    <n v="551.79"/>
    <n v="9"/>
    <n v="1.9"/>
  </r>
  <r>
    <n v="40689"/>
    <s v="Dining Room"/>
    <s v="Buffet"/>
    <x v="0"/>
    <x v="3"/>
    <x v="0"/>
    <x v="1"/>
    <x v="0"/>
    <n v="8032"/>
    <n v="1011.09"/>
    <n v="125.29"/>
    <n v="0"/>
    <n v="1136.3800000000001"/>
    <n v="10"/>
    <n v="2.7"/>
  </r>
  <r>
    <n v="95915"/>
    <s v="Dining Room"/>
    <s v="Dining Table"/>
    <x v="4"/>
    <x v="1"/>
    <x v="0"/>
    <x v="0"/>
    <x v="1"/>
    <n v="2494"/>
    <n v="507.46"/>
    <n v="108.65"/>
    <n v="166.12"/>
    <n v="782.23"/>
    <n v="10"/>
    <n v="1.7"/>
  </r>
  <r>
    <n v="22475"/>
    <s v="Living Room"/>
    <s v="Coffee Table"/>
    <x v="11"/>
    <x v="2"/>
    <x v="1"/>
    <x v="1"/>
    <x v="3"/>
    <n v="1017"/>
    <n v="690.69"/>
    <n v="139.44"/>
    <n v="0"/>
    <n v="830.13"/>
    <n v="3"/>
    <n v="1.2"/>
  </r>
  <r>
    <n v="37973"/>
    <s v="Kitchen"/>
    <s v="Kitchen Island"/>
    <x v="11"/>
    <x v="3"/>
    <x v="0"/>
    <x v="0"/>
    <x v="3"/>
    <n v="8812"/>
    <n v="1181.3399999999999"/>
    <n v="120.03"/>
    <n v="190.64"/>
    <n v="1492.01"/>
    <n v="5"/>
    <n v="3"/>
  </r>
  <r>
    <n v="20215"/>
    <s v="Living Room"/>
    <s v="Armchair"/>
    <x v="2"/>
    <x v="0"/>
    <x v="0"/>
    <x v="0"/>
    <x v="2"/>
    <n v="3174"/>
    <n v="931.13"/>
    <n v="0"/>
    <n v="127.36"/>
    <n v="1058.49"/>
    <n v="13"/>
    <n v="2.6"/>
  </r>
  <r>
    <n v="87814"/>
    <s v="Outdoor"/>
    <s v="Lounge Chair"/>
    <x v="7"/>
    <x v="4"/>
    <x v="0"/>
    <x v="0"/>
    <x v="4"/>
    <n v="4705"/>
    <n v="1629.35"/>
    <n v="56.53"/>
    <n v="159.44999999999999"/>
    <n v="1845.33"/>
    <n v="10"/>
    <n v="3.5"/>
  </r>
  <r>
    <n v="78084"/>
    <s v="Living Room"/>
    <s v="Armchair"/>
    <x v="4"/>
    <x v="2"/>
    <x v="1"/>
    <x v="0"/>
    <x v="3"/>
    <n v="8291"/>
    <n v="1261.97"/>
    <n v="59.69"/>
    <n v="190.63"/>
    <n v="1512.29"/>
    <n v="9"/>
    <n v="1.4"/>
  </r>
  <r>
    <n v="11217"/>
    <s v="Bedroom"/>
    <s v="Nightstand"/>
    <x v="3"/>
    <x v="4"/>
    <x v="0"/>
    <x v="0"/>
    <x v="6"/>
    <n v="1132"/>
    <n v="1935.78"/>
    <n v="104.59"/>
    <n v="254.47"/>
    <n v="2294.84"/>
    <n v="9"/>
    <n v="4.7"/>
  </r>
  <r>
    <n v="55032"/>
    <s v="Outdoor"/>
    <s v="Patio Set"/>
    <x v="12"/>
    <x v="1"/>
    <x v="0"/>
    <x v="0"/>
    <x v="2"/>
    <n v="2975"/>
    <n v="690.09"/>
    <n v="147.88999999999999"/>
    <n v="28.1"/>
    <n v="866.08"/>
    <n v="3"/>
    <n v="3.7"/>
  </r>
  <r>
    <n v="65353"/>
    <s v="Office"/>
    <s v="Bookshelf"/>
    <x v="6"/>
    <x v="1"/>
    <x v="0"/>
    <x v="0"/>
    <x v="0"/>
    <n v="3165"/>
    <n v="429.88"/>
    <n v="94.66"/>
    <n v="111.34"/>
    <n v="635.88"/>
    <n v="8"/>
    <m/>
  </r>
  <r>
    <n v="72613"/>
    <s v="Bedroom"/>
    <s v="Wardrobe"/>
    <x v="2"/>
    <x v="4"/>
    <x v="0"/>
    <x v="0"/>
    <x v="3"/>
    <n v="2160"/>
    <n v="1682.78"/>
    <n v="130.75"/>
    <n v="197.16"/>
    <n v="2010.69"/>
    <n v="7"/>
    <n v="3.6"/>
  </r>
  <r>
    <n v="40008"/>
    <s v="Dining Room"/>
    <s v="Bar Stool"/>
    <x v="0"/>
    <x v="1"/>
    <x v="0"/>
    <x v="1"/>
    <x v="4"/>
    <n v="7276"/>
    <n v="807.54"/>
    <n v="0"/>
    <n v="0"/>
    <n v="807.54"/>
    <n v="1"/>
    <m/>
  </r>
  <r>
    <n v="21708"/>
    <s v="Kitchen"/>
    <s v="Kitchen Cabinet"/>
    <x v="3"/>
    <x v="0"/>
    <x v="0"/>
    <x v="1"/>
    <x v="4"/>
    <n v="2678"/>
    <n v="2075.39"/>
    <n v="0"/>
    <n v="0"/>
    <n v="2075.39"/>
    <n v="3"/>
    <m/>
  </r>
  <r>
    <n v="23526"/>
    <s v="Dining Room"/>
    <s v="China Cabinet"/>
    <x v="11"/>
    <x v="2"/>
    <x v="1"/>
    <x v="1"/>
    <x v="1"/>
    <n v="6133"/>
    <n v="1265.44"/>
    <n v="91.05"/>
    <n v="0"/>
    <n v="1356.49"/>
    <n v="13"/>
    <n v="1.6"/>
  </r>
  <r>
    <n v="58177"/>
    <s v="Dining Room"/>
    <s v="Buffet"/>
    <x v="4"/>
    <x v="5"/>
    <x v="0"/>
    <x v="1"/>
    <x v="2"/>
    <n v="5902"/>
    <n v="1536.91"/>
    <n v="139.25"/>
    <n v="0"/>
    <n v="1676.16"/>
    <n v="13"/>
    <n v="4.0999999999999996"/>
  </r>
  <r>
    <n v="27973"/>
    <s v="Kitchen"/>
    <s v="Kitchen Island"/>
    <x v="1"/>
    <x v="1"/>
    <x v="0"/>
    <x v="1"/>
    <x v="5"/>
    <n v="7270"/>
    <n v="1235.33"/>
    <n v="0"/>
    <n v="0"/>
    <n v="1235.33"/>
    <n v="5"/>
    <n v="4.5"/>
  </r>
  <r>
    <n v="27451"/>
    <s v="Office"/>
    <s v="Bookshelf"/>
    <x v="4"/>
    <x v="3"/>
    <x v="0"/>
    <x v="1"/>
    <x v="0"/>
    <n v="3340"/>
    <n v="1074.8499999999999"/>
    <n v="0"/>
    <n v="0"/>
    <n v="1074.8499999999999"/>
    <n v="11"/>
    <n v="3.4"/>
  </r>
  <r>
    <n v="18966"/>
    <s v="Outdoor"/>
    <s v="Lounge Chair"/>
    <x v="10"/>
    <x v="1"/>
    <x v="0"/>
    <x v="0"/>
    <x v="4"/>
    <n v="9691"/>
    <n v="414.44"/>
    <n v="39.01"/>
    <n v="64.709999999999994"/>
    <n v="518.16"/>
    <n v="13"/>
    <n v="2.7"/>
  </r>
  <r>
    <n v="83831"/>
    <s v="Office"/>
    <s v="Bookshelf"/>
    <x v="1"/>
    <x v="2"/>
    <x v="1"/>
    <x v="1"/>
    <x v="4"/>
    <n v="1138"/>
    <n v="649.76"/>
    <n v="111.33"/>
    <n v="0"/>
    <n v="761.09"/>
    <n v="1"/>
    <m/>
  </r>
  <r>
    <n v="89995"/>
    <s v="Living Room"/>
    <s v="Sofa"/>
    <x v="5"/>
    <x v="3"/>
    <x v="0"/>
    <x v="1"/>
    <x v="2"/>
    <n v="3688"/>
    <n v="1056.77"/>
    <n v="100.34"/>
    <n v="0"/>
    <n v="1157.1099999999999"/>
    <n v="9"/>
    <n v="3.6"/>
  </r>
  <r>
    <n v="67684"/>
    <s v="Kitchen"/>
    <s v="Kitchen Island"/>
    <x v="4"/>
    <x v="3"/>
    <x v="0"/>
    <x v="1"/>
    <x v="5"/>
    <n v="6753"/>
    <n v="538.37"/>
    <n v="148.19999999999999"/>
    <n v="0"/>
    <n v="686.57"/>
    <n v="12"/>
    <n v="3.2"/>
  </r>
  <r>
    <n v="37925"/>
    <s v="Kitchen"/>
    <s v="Kitchen Cabinet"/>
    <x v="9"/>
    <x v="0"/>
    <x v="0"/>
    <x v="1"/>
    <x v="2"/>
    <n v="3480"/>
    <n v="1276.99"/>
    <n v="51.36"/>
    <n v="0"/>
    <n v="1328.35"/>
    <n v="8"/>
    <m/>
  </r>
  <r>
    <n v="63963"/>
    <s v="Dining Room"/>
    <s v="Dining Chair"/>
    <x v="10"/>
    <x v="2"/>
    <x v="1"/>
    <x v="0"/>
    <x v="5"/>
    <n v="8248"/>
    <n v="1313.33"/>
    <n v="64.73"/>
    <n v="52.67"/>
    <n v="1430.73"/>
    <n v="9"/>
    <n v="3.9"/>
  </r>
  <r>
    <n v="38474"/>
    <s v="Office"/>
    <s v="Bookshelf"/>
    <x v="11"/>
    <x v="4"/>
    <x v="0"/>
    <x v="0"/>
    <x v="5"/>
    <n v="2420"/>
    <n v="1068.94"/>
    <n v="136.63999999999999"/>
    <n v="233.12"/>
    <n v="1438.7"/>
    <n v="14"/>
    <n v="2.5"/>
  </r>
  <r>
    <n v="23168"/>
    <s v="Dining Room"/>
    <s v="Dining Chair"/>
    <x v="11"/>
    <x v="3"/>
    <x v="0"/>
    <x v="0"/>
    <x v="0"/>
    <n v="3293"/>
    <n v="334.47"/>
    <n v="66.81"/>
    <n v="187.86"/>
    <n v="589.14"/>
    <n v="6"/>
    <n v="4.9000000000000004"/>
  </r>
  <r>
    <n v="26142"/>
    <s v="Outdoor"/>
    <s v="Lounge Chair"/>
    <x v="2"/>
    <x v="3"/>
    <x v="0"/>
    <x v="1"/>
    <x v="5"/>
    <n v="7291"/>
    <n v="569.87"/>
    <n v="78.52"/>
    <n v="0"/>
    <n v="648.39"/>
    <n v="6"/>
    <n v="4.5"/>
  </r>
  <r>
    <n v="56076"/>
    <s v="Bedroom"/>
    <s v="Mattress"/>
    <x v="2"/>
    <x v="0"/>
    <x v="0"/>
    <x v="1"/>
    <x v="1"/>
    <n v="8035"/>
    <n v="2813.77"/>
    <n v="78.55"/>
    <n v="0"/>
    <n v="2892.32"/>
    <n v="11"/>
    <n v="3.9"/>
  </r>
  <r>
    <n v="51222"/>
    <s v="Office"/>
    <s v="Desk"/>
    <x v="3"/>
    <x v="1"/>
    <x v="0"/>
    <x v="0"/>
    <x v="5"/>
    <n v="3290"/>
    <n v="424.91"/>
    <n v="47.01"/>
    <n v="175.46"/>
    <n v="647.38"/>
    <n v="4"/>
    <n v="3.2"/>
  </r>
  <r>
    <n v="42477"/>
    <s v="Living Room"/>
    <s v="Armchair"/>
    <x v="11"/>
    <x v="2"/>
    <x v="1"/>
    <x v="0"/>
    <x v="4"/>
    <n v="5537"/>
    <n v="1013.35"/>
    <n v="0"/>
    <n v="40.17"/>
    <n v="1053.52"/>
    <n v="7"/>
    <n v="4.3"/>
  </r>
  <r>
    <n v="94491"/>
    <s v="Outdoor"/>
    <s v="Garden Chair"/>
    <x v="4"/>
    <x v="2"/>
    <x v="1"/>
    <x v="0"/>
    <x v="2"/>
    <n v="2380"/>
    <n v="204.78"/>
    <n v="70.67"/>
    <n v="171.92"/>
    <n v="447.37"/>
    <n v="9"/>
    <n v="2.1"/>
  </r>
  <r>
    <n v="42527"/>
    <s v="Bedroom"/>
    <s v="Dresser"/>
    <x v="7"/>
    <x v="3"/>
    <x v="0"/>
    <x v="0"/>
    <x v="2"/>
    <n v="5668"/>
    <n v="183.67"/>
    <n v="89.34"/>
    <n v="42.88"/>
    <n v="315.89"/>
    <n v="7"/>
    <n v="3"/>
  </r>
  <r>
    <n v="13515"/>
    <s v="Office"/>
    <s v="Bookshelf"/>
    <x v="3"/>
    <x v="3"/>
    <x v="0"/>
    <x v="1"/>
    <x v="2"/>
    <n v="5942"/>
    <n v="1484.24"/>
    <n v="0"/>
    <n v="0"/>
    <n v="1484.24"/>
    <n v="11"/>
    <n v="2"/>
  </r>
  <r>
    <n v="36928"/>
    <s v="Kitchen"/>
    <s v="Bar Cart"/>
    <x v="12"/>
    <x v="3"/>
    <x v="0"/>
    <x v="1"/>
    <x v="0"/>
    <n v="9482"/>
    <n v="2102.79"/>
    <n v="118.84"/>
    <n v="0"/>
    <n v="2221.63"/>
    <n v="10"/>
    <n v="2.8"/>
  </r>
  <r>
    <n v="89551"/>
    <s v="Outdoor"/>
    <s v="Outdoor Table"/>
    <x v="7"/>
    <x v="1"/>
    <x v="0"/>
    <x v="1"/>
    <x v="1"/>
    <n v="9348"/>
    <n v="547.52"/>
    <n v="64.709999999999994"/>
    <n v="0"/>
    <n v="612.23"/>
    <n v="9"/>
    <n v="2"/>
  </r>
  <r>
    <n v="34726"/>
    <s v="Kitchen"/>
    <s v="Pantry Cabinet"/>
    <x v="10"/>
    <x v="3"/>
    <x v="0"/>
    <x v="0"/>
    <x v="6"/>
    <n v="7418"/>
    <n v="2473.98"/>
    <n v="127.64"/>
    <n v="199.32"/>
    <n v="2800.94"/>
    <n v="6"/>
    <n v="3.8"/>
  </r>
  <r>
    <n v="48737"/>
    <s v="Office"/>
    <s v="Desk"/>
    <x v="12"/>
    <x v="1"/>
    <x v="0"/>
    <x v="0"/>
    <x v="5"/>
    <n v="1894"/>
    <n v="440.39"/>
    <n v="42.44"/>
    <n v="256.57"/>
    <n v="739.4"/>
    <n v="3"/>
    <n v="4.5999999999999996"/>
  </r>
  <r>
    <n v="41370"/>
    <s v="Kitchen"/>
    <s v="Pantry Cabinet"/>
    <x v="3"/>
    <x v="5"/>
    <x v="0"/>
    <x v="0"/>
    <x v="3"/>
    <n v="9108"/>
    <n v="658.01"/>
    <n v="0"/>
    <n v="98.79"/>
    <n v="756.8"/>
    <n v="11"/>
    <n v="3"/>
  </r>
  <r>
    <n v="60578"/>
    <s v="Bedroom"/>
    <s v="Mattress"/>
    <x v="12"/>
    <x v="5"/>
    <x v="0"/>
    <x v="0"/>
    <x v="0"/>
    <n v="2847"/>
    <n v="1623.68"/>
    <n v="54.94"/>
    <n v="57.29"/>
    <n v="1735.91"/>
    <n v="1"/>
    <n v="1.1000000000000001"/>
  </r>
  <r>
    <n v="41599"/>
    <s v="Living Room"/>
    <s v="Sofa"/>
    <x v="7"/>
    <x v="1"/>
    <x v="0"/>
    <x v="0"/>
    <x v="1"/>
    <n v="9185"/>
    <n v="1790.83"/>
    <n v="93.4"/>
    <n v="47.75"/>
    <n v="1931.98"/>
    <n v="9"/>
    <n v="3.4"/>
  </r>
  <r>
    <n v="93634"/>
    <s v="Outdoor"/>
    <s v="Lounge Chair"/>
    <x v="11"/>
    <x v="3"/>
    <x v="0"/>
    <x v="1"/>
    <x v="4"/>
    <n v="2163"/>
    <n v="350.81"/>
    <n v="66.08"/>
    <n v="0"/>
    <n v="416.89"/>
    <n v="4"/>
    <n v="4.2"/>
  </r>
  <r>
    <n v="79243"/>
    <s v="Bedroom"/>
    <s v="Wardrobe"/>
    <x v="7"/>
    <x v="1"/>
    <x v="0"/>
    <x v="0"/>
    <x v="5"/>
    <n v="1197"/>
    <n v="974.68"/>
    <m/>
    <n v="44.65"/>
    <n v="1093.73"/>
    <n v="5"/>
    <n v="4"/>
  </r>
  <r>
    <n v="57329"/>
    <s v="Bedroom"/>
    <s v="Dresser"/>
    <x v="3"/>
    <x v="5"/>
    <x v="0"/>
    <x v="0"/>
    <x v="0"/>
    <n v="6185"/>
    <n v="1031.5899999999999"/>
    <n v="108.87"/>
    <n v="25.09"/>
    <n v="1165.55"/>
    <n v="12"/>
    <n v="1.1000000000000001"/>
  </r>
  <r>
    <n v="27299"/>
    <s v="Dining Room"/>
    <s v="Bar Stool"/>
    <x v="5"/>
    <x v="1"/>
    <x v="0"/>
    <x v="1"/>
    <x v="0"/>
    <n v="7337"/>
    <n v="1892.57"/>
    <n v="108.83"/>
    <n v="0"/>
    <n v="2001.4"/>
    <n v="14"/>
    <m/>
  </r>
  <r>
    <n v="84498"/>
    <s v="Office"/>
    <s v="Filing Cabinet"/>
    <x v="2"/>
    <x v="1"/>
    <x v="0"/>
    <x v="0"/>
    <x v="0"/>
    <n v="7895"/>
    <n v="1460.87"/>
    <n v="92.21"/>
    <n v="25.33"/>
    <n v="1578.41"/>
    <n v="11"/>
    <n v="2.5"/>
  </r>
  <r>
    <n v="57895"/>
    <s v="Outdoor"/>
    <s v="Garden Chair"/>
    <x v="0"/>
    <x v="2"/>
    <x v="1"/>
    <x v="1"/>
    <x v="2"/>
    <n v="9951"/>
    <n v="1778.19"/>
    <n v="0"/>
    <n v="0"/>
    <n v="1778.19"/>
    <n v="9"/>
    <n v="2.6"/>
  </r>
  <r>
    <n v="99514"/>
    <s v="Kitchen"/>
    <s v="Pantry Cabinet"/>
    <x v="3"/>
    <x v="4"/>
    <x v="0"/>
    <x v="1"/>
    <x v="5"/>
    <n v="3830"/>
    <n v="392.31"/>
    <n v="71.14"/>
    <n v="0"/>
    <n v="463.45"/>
    <n v="13"/>
    <n v="1.8"/>
  </r>
  <r>
    <n v="71736"/>
    <s v="Dining Room"/>
    <s v="China Cabinet"/>
    <x v="5"/>
    <x v="4"/>
    <x v="0"/>
    <x v="1"/>
    <x v="5"/>
    <n v="2195"/>
    <n v="367.57"/>
    <n v="65.069999999999993"/>
    <n v="0"/>
    <n v="432.64"/>
    <n v="3"/>
    <n v="2.8"/>
  </r>
  <r>
    <n v="12187"/>
    <s v="Kitchen"/>
    <s v="Pantry Cabinet"/>
    <x v="0"/>
    <x v="3"/>
    <x v="0"/>
    <x v="0"/>
    <x v="6"/>
    <n v="2106"/>
    <n v="1527.67"/>
    <n v="113.53"/>
    <n v="229.37"/>
    <n v="1870.57"/>
    <n v="11"/>
    <n v="2.9"/>
  </r>
  <r>
    <n v="11807"/>
    <s v="Living Room"/>
    <s v="TV Stand"/>
    <x v="5"/>
    <x v="3"/>
    <x v="0"/>
    <x v="0"/>
    <x v="5"/>
    <n v="5295"/>
    <n v="2046.56"/>
    <n v="86.3"/>
    <n v="284.52"/>
    <n v="2417.38"/>
    <n v="1"/>
    <n v="1.9"/>
  </r>
  <r>
    <n v="38277"/>
    <s v="Office"/>
    <s v="Bookshelf"/>
    <x v="12"/>
    <x v="2"/>
    <x v="1"/>
    <x v="0"/>
    <x v="5"/>
    <n v="1652"/>
    <n v="725.46"/>
    <n v="102.2"/>
    <n v="152.19999999999999"/>
    <n v="979.86"/>
    <n v="2"/>
    <n v="1"/>
  </r>
  <r>
    <n v="17925"/>
    <s v="Living Room"/>
    <s v="Armchair"/>
    <x v="1"/>
    <x v="0"/>
    <x v="0"/>
    <x v="0"/>
    <x v="6"/>
    <n v="7520"/>
    <n v="1030.78"/>
    <n v="147.15"/>
    <n v="223"/>
    <n v="1400.93"/>
    <n v="5"/>
    <n v="3.7"/>
  </r>
  <r>
    <n v="76402"/>
    <s v="Office"/>
    <s v="Computer Table"/>
    <x v="3"/>
    <x v="2"/>
    <x v="1"/>
    <x v="0"/>
    <x v="5"/>
    <n v="5693"/>
    <n v="342.53"/>
    <n v="30.6"/>
    <n v="109.19"/>
    <n v="482.32"/>
    <n v="12"/>
    <n v="4.8"/>
  </r>
  <r>
    <n v="92388"/>
    <s v="Bedroom"/>
    <s v="Mattress"/>
    <x v="11"/>
    <x v="1"/>
    <x v="0"/>
    <x v="0"/>
    <x v="4"/>
    <n v="9209"/>
    <n v="1869"/>
    <n v="101.22"/>
    <n v="158.01"/>
    <n v="2128.23"/>
    <n v="12"/>
    <n v="4.7"/>
  </r>
  <r>
    <n v="64451"/>
    <s v="Dining Room"/>
    <s v="Bar Stool"/>
    <x v="5"/>
    <x v="2"/>
    <x v="1"/>
    <x v="1"/>
    <x v="1"/>
    <n v="7939"/>
    <n v="1840.87"/>
    <n v="0"/>
    <n v="0"/>
    <n v="1840.87"/>
    <n v="11"/>
    <n v="2.9"/>
  </r>
  <r>
    <n v="62727"/>
    <s v="Kitchen"/>
    <s v="Bar Cart"/>
    <x v="9"/>
    <x v="3"/>
    <x v="0"/>
    <x v="0"/>
    <x v="0"/>
    <n v="2350"/>
    <n v="306.35000000000002"/>
    <n v="68.349999999999994"/>
    <n v="149.69"/>
    <n v="524.39"/>
    <n v="1"/>
    <n v="1.1000000000000001"/>
  </r>
  <r>
    <n v="93956"/>
    <s v="Outdoor"/>
    <s v="Lounge Chair"/>
    <x v="1"/>
    <x v="2"/>
    <x v="1"/>
    <x v="1"/>
    <x v="2"/>
    <n v="9791"/>
    <n v="512.27"/>
    <n v="84.22"/>
    <n v="0"/>
    <n v="596.49"/>
    <n v="1"/>
    <n v="1.8"/>
  </r>
  <r>
    <n v="80471"/>
    <s v="Office"/>
    <s v="Desk"/>
    <x v="10"/>
    <x v="4"/>
    <x v="0"/>
    <x v="1"/>
    <x v="4"/>
    <n v="3501"/>
    <n v="794.4"/>
    <m/>
    <n v="0"/>
    <n v="905.5"/>
    <n v="1"/>
    <m/>
  </r>
  <r>
    <n v="46368"/>
    <s v="Kitchen"/>
    <s v="Bar Cart"/>
    <x v="3"/>
    <x v="3"/>
    <x v="0"/>
    <x v="1"/>
    <x v="1"/>
    <n v="2369"/>
    <n v="654.02"/>
    <n v="0"/>
    <n v="0"/>
    <n v="654.02"/>
    <n v="4"/>
    <m/>
  </r>
  <r>
    <n v="50620"/>
    <s v="Kitchen"/>
    <s v="Kitchen Cabinet"/>
    <x v="5"/>
    <x v="3"/>
    <x v="0"/>
    <x v="1"/>
    <x v="0"/>
    <n v="2294"/>
    <n v="313.74"/>
    <n v="29.94"/>
    <n v="0"/>
    <n v="343.68"/>
    <n v="9"/>
    <n v="4"/>
  </r>
  <r>
    <n v="77017"/>
    <s v="Kitchen"/>
    <s v="Kitchen Cabinet"/>
    <x v="5"/>
    <x v="1"/>
    <x v="0"/>
    <x v="0"/>
    <x v="6"/>
    <n v="4329"/>
    <n v="2444.39"/>
    <n v="134.38"/>
    <n v="32.869999999999997"/>
    <n v="2611.64"/>
    <n v="7"/>
    <m/>
  </r>
  <r>
    <n v="30365"/>
    <s v="Bedroom"/>
    <s v="Nightstand"/>
    <x v="6"/>
    <x v="3"/>
    <x v="0"/>
    <x v="0"/>
    <x v="0"/>
    <n v="9788"/>
    <n v="301.73"/>
    <n v="67.709999999999994"/>
    <n v="25.82"/>
    <n v="395.26"/>
    <n v="2"/>
    <n v="3.4"/>
  </r>
  <r>
    <n v="52827"/>
    <s v="Office"/>
    <s v="Bookshelf"/>
    <x v="4"/>
    <x v="1"/>
    <x v="0"/>
    <x v="1"/>
    <x v="5"/>
    <n v="7401"/>
    <n v="1366.59"/>
    <n v="115.36"/>
    <n v="0"/>
    <n v="1481.95"/>
    <n v="9"/>
    <n v="3.8"/>
  </r>
  <r>
    <n v="86865"/>
    <s v="Kitchen"/>
    <s v="Pantry Cabinet"/>
    <x v="12"/>
    <x v="2"/>
    <x v="1"/>
    <x v="1"/>
    <x v="1"/>
    <n v="2083"/>
    <n v="1209.05"/>
    <n v="71.33"/>
    <n v="0"/>
    <n v="1280.3800000000001"/>
    <n v="6"/>
    <m/>
  </r>
  <r>
    <n v="50654"/>
    <s v="Living Room"/>
    <s v="Armchair"/>
    <x v="9"/>
    <x v="3"/>
    <x v="0"/>
    <x v="0"/>
    <x v="0"/>
    <n v="8167"/>
    <n v="2123.56"/>
    <n v="0"/>
    <n v="180.33"/>
    <n v="2303.89"/>
    <n v="5"/>
    <n v="1.3"/>
  </r>
  <r>
    <n v="41278"/>
    <s v="Dining Room"/>
    <s v="Bar Stool"/>
    <x v="11"/>
    <x v="5"/>
    <x v="0"/>
    <x v="1"/>
    <x v="2"/>
    <n v="1948"/>
    <n v="186.27"/>
    <n v="51.38"/>
    <n v="0"/>
    <n v="237.65"/>
    <n v="4"/>
    <n v="1.3"/>
  </r>
  <r>
    <n v="42044"/>
    <s v="Outdoor"/>
    <s v="Outdoor Table"/>
    <x v="11"/>
    <x v="4"/>
    <x v="0"/>
    <x v="0"/>
    <x v="1"/>
    <n v="2412"/>
    <n v="872.45"/>
    <n v="138.13"/>
    <n v="187.14"/>
    <n v="1197.72"/>
    <n v="3"/>
    <n v="1.2"/>
  </r>
  <r>
    <n v="66948"/>
    <s v="Living Room"/>
    <s v="Side Table"/>
    <x v="1"/>
    <x v="2"/>
    <x v="1"/>
    <x v="0"/>
    <x v="2"/>
    <n v="2900"/>
    <n v="1187.31"/>
    <n v="0"/>
    <n v="189.1"/>
    <n v="1376.41"/>
    <n v="9"/>
    <n v="3.2"/>
  </r>
  <r>
    <n v="69424"/>
    <s v="Bedroom"/>
    <s v="Nightstand"/>
    <x v="8"/>
    <x v="2"/>
    <x v="1"/>
    <x v="1"/>
    <x v="0"/>
    <n v="1901"/>
    <n v="2775.24"/>
    <n v="113.06"/>
    <n v="0"/>
    <n v="2888.3"/>
    <n v="7"/>
    <n v="3.2"/>
  </r>
  <r>
    <n v="50539"/>
    <s v="Office"/>
    <s v="Filing Cabinet"/>
    <x v="3"/>
    <x v="5"/>
    <x v="0"/>
    <x v="1"/>
    <x v="5"/>
    <n v="3877"/>
    <n v="1396.36"/>
    <n v="89.35"/>
    <n v="0"/>
    <n v="1485.71"/>
    <n v="10"/>
    <n v="1.3"/>
  </r>
  <r>
    <n v="25655"/>
    <s v="Kitchen"/>
    <s v="Bar Cart"/>
    <x v="10"/>
    <x v="1"/>
    <x v="0"/>
    <x v="0"/>
    <x v="4"/>
    <n v="1207"/>
    <n v="1904.21"/>
    <n v="0"/>
    <n v="190.23"/>
    <n v="2094.44"/>
    <n v="6"/>
    <m/>
  </r>
  <r>
    <n v="27984"/>
    <s v="Dining Room"/>
    <s v="Dining Table"/>
    <x v="2"/>
    <x v="4"/>
    <x v="0"/>
    <x v="0"/>
    <x v="4"/>
    <n v="1185"/>
    <n v="1365.56"/>
    <n v="138.94999999999999"/>
    <n v="49.92"/>
    <n v="1554.43"/>
    <n v="8"/>
    <n v="4.8"/>
  </r>
  <r>
    <n v="31473"/>
    <s v="Living Room"/>
    <s v="Coffee Table"/>
    <x v="1"/>
    <x v="5"/>
    <x v="0"/>
    <x v="1"/>
    <x v="4"/>
    <n v="9133"/>
    <n v="955.63"/>
    <n v="0"/>
    <n v="0"/>
    <n v="955.63"/>
    <n v="11"/>
    <n v="3.7"/>
  </r>
  <r>
    <n v="55443"/>
    <s v="Living Room"/>
    <s v="Armchair"/>
    <x v="5"/>
    <x v="3"/>
    <x v="0"/>
    <x v="1"/>
    <x v="4"/>
    <n v="9568"/>
    <n v="1849.3"/>
    <n v="73.38"/>
    <n v="0"/>
    <n v="1922.68"/>
    <n v="12"/>
    <n v="3.7"/>
  </r>
  <r>
    <n v="77793"/>
    <s v="Bedroom"/>
    <s v="Mattress"/>
    <x v="3"/>
    <x v="1"/>
    <x v="0"/>
    <x v="1"/>
    <x v="0"/>
    <n v="5247"/>
    <n v="1397.55"/>
    <n v="129.38999999999999"/>
    <n v="0"/>
    <n v="1526.94"/>
    <n v="14"/>
    <n v="1"/>
  </r>
  <r>
    <n v="31884"/>
    <s v="Living Room"/>
    <s v="TV Stand"/>
    <x v="10"/>
    <x v="1"/>
    <x v="0"/>
    <x v="0"/>
    <x v="3"/>
    <n v="7092"/>
    <n v="455.29"/>
    <n v="41.09"/>
    <n v="196.66"/>
    <n v="693.04"/>
    <n v="11"/>
    <n v="3.4"/>
  </r>
  <r>
    <n v="26637"/>
    <s v="Dining Room"/>
    <s v="Dining Table"/>
    <x v="1"/>
    <x v="0"/>
    <x v="0"/>
    <x v="1"/>
    <x v="3"/>
    <n v="5403"/>
    <n v="932.32"/>
    <n v="0"/>
    <n v="0"/>
    <n v="932.32"/>
    <n v="2"/>
    <n v="3.8"/>
  </r>
  <r>
    <n v="25473"/>
    <s v="Kitchen"/>
    <s v="Kitchen Island"/>
    <x v="4"/>
    <x v="1"/>
    <x v="0"/>
    <x v="1"/>
    <x v="2"/>
    <n v="1480"/>
    <n v="2347.65"/>
    <n v="108.99"/>
    <n v="0"/>
    <n v="2456.64"/>
    <n v="11"/>
    <m/>
  </r>
  <r>
    <n v="53910"/>
    <s v="Living Room"/>
    <s v="Sofa"/>
    <x v="2"/>
    <x v="3"/>
    <x v="0"/>
    <x v="0"/>
    <x v="6"/>
    <n v="8034"/>
    <n v="222.36"/>
    <n v="54.45"/>
    <n v="177.29"/>
    <n v="454.1"/>
    <n v="1"/>
    <n v="4.5999999999999996"/>
  </r>
  <r>
    <n v="45649"/>
    <s v="Dining Room"/>
    <s v="Dining Chair"/>
    <x v="11"/>
    <x v="1"/>
    <x v="0"/>
    <x v="1"/>
    <x v="3"/>
    <n v="9582"/>
    <n v="1881.61"/>
    <n v="92.84"/>
    <n v="0"/>
    <n v="1974.45"/>
    <n v="2"/>
    <m/>
  </r>
  <r>
    <n v="18371"/>
    <s v="Living Room"/>
    <s v="Coffee Table"/>
    <x v="0"/>
    <x v="2"/>
    <x v="1"/>
    <x v="0"/>
    <x v="5"/>
    <n v="5308"/>
    <n v="2478.12"/>
    <n v="111.54"/>
    <n v="134.61000000000001"/>
    <n v="2724.27"/>
    <n v="13"/>
    <n v="2.5"/>
  </r>
  <r>
    <n v="85582"/>
    <s v="Living Room"/>
    <s v="TV Stand"/>
    <x v="6"/>
    <x v="3"/>
    <x v="0"/>
    <x v="1"/>
    <x v="1"/>
    <n v="2262"/>
    <n v="1092.22"/>
    <n v="0"/>
    <n v="0"/>
    <n v="1092.22"/>
    <n v="8"/>
    <n v="3.3"/>
  </r>
  <r>
    <n v="75031"/>
    <s v="Kitchen"/>
    <s v="Pantry Cabinet"/>
    <x v="4"/>
    <x v="0"/>
    <x v="0"/>
    <x v="0"/>
    <x v="3"/>
    <n v="8457"/>
    <n v="2374.39"/>
    <n v="104.75"/>
    <n v="257.57"/>
    <n v="2736.71"/>
    <n v="8"/>
    <n v="4.0999999999999996"/>
  </r>
  <r>
    <n v="76949"/>
    <s v="Dining Room"/>
    <s v="Dining Chair"/>
    <x v="8"/>
    <x v="5"/>
    <x v="0"/>
    <x v="1"/>
    <x v="0"/>
    <n v="6900"/>
    <n v="1461.65"/>
    <n v="116.22"/>
    <n v="0"/>
    <n v="1577.87"/>
    <n v="5"/>
    <n v="4.9000000000000004"/>
  </r>
  <r>
    <n v="17266"/>
    <s v="Living Room"/>
    <s v="Armchair"/>
    <x v="5"/>
    <x v="3"/>
    <x v="0"/>
    <x v="0"/>
    <x v="1"/>
    <n v="9185"/>
    <n v="1328.79"/>
    <n v="134.81"/>
    <n v="132.81"/>
    <n v="1596.41"/>
    <n v="4"/>
    <n v="2.4"/>
  </r>
  <r>
    <n v="84302"/>
    <s v="Bedroom"/>
    <s v="Nightstand"/>
    <x v="11"/>
    <x v="5"/>
    <x v="0"/>
    <x v="1"/>
    <x v="3"/>
    <n v="3734"/>
    <n v="1042.3499999999999"/>
    <n v="0"/>
    <n v="0"/>
    <n v="1042.3499999999999"/>
    <n v="3"/>
    <n v="2.8"/>
  </r>
  <r>
    <n v="58193"/>
    <s v="Living Room"/>
    <s v="Side Table"/>
    <x v="5"/>
    <x v="1"/>
    <x v="0"/>
    <x v="0"/>
    <x v="2"/>
    <n v="3577"/>
    <n v="629.57000000000005"/>
    <n v="120.25"/>
    <n v="89.46"/>
    <n v="839.28"/>
    <n v="5"/>
    <n v="1.4"/>
  </r>
  <r>
    <n v="43438"/>
    <s v="Living Room"/>
    <s v="Ottoman"/>
    <x v="5"/>
    <x v="1"/>
    <x v="0"/>
    <x v="1"/>
    <x v="2"/>
    <n v="2685"/>
    <n v="291.62"/>
    <n v="92.13"/>
    <n v="0"/>
    <n v="383.75"/>
    <n v="14"/>
    <n v="2.4"/>
  </r>
  <r>
    <n v="85223"/>
    <s v="Kitchen"/>
    <s v="Pantry Cabinet"/>
    <x v="0"/>
    <x v="3"/>
    <x v="0"/>
    <x v="0"/>
    <x v="6"/>
    <n v="2889"/>
    <n v="1422.96"/>
    <n v="0"/>
    <n v="27.21"/>
    <n v="1450.17"/>
    <n v="7"/>
    <n v="4.2"/>
  </r>
  <r>
    <n v="39937"/>
    <s v="Outdoor"/>
    <s v="Outdoor Table"/>
    <x v="2"/>
    <x v="5"/>
    <x v="0"/>
    <x v="1"/>
    <x v="3"/>
    <n v="9336"/>
    <n v="1730.18"/>
    <n v="95.65"/>
    <n v="0"/>
    <n v="1825.83"/>
    <n v="6"/>
    <n v="4.4000000000000004"/>
  </r>
  <r>
    <n v="10336"/>
    <s v="Outdoor"/>
    <s v="Umbrella"/>
    <x v="9"/>
    <x v="5"/>
    <x v="0"/>
    <x v="0"/>
    <x v="1"/>
    <n v="1721"/>
    <n v="1422.26"/>
    <n v="89.52"/>
    <n v="70.95"/>
    <n v="1582.73"/>
    <n v="13"/>
    <n v="4.2"/>
  </r>
  <r>
    <n v="11610"/>
    <s v="Dining Room"/>
    <s v="Bar Stool"/>
    <x v="1"/>
    <x v="3"/>
    <x v="0"/>
    <x v="1"/>
    <x v="1"/>
    <n v="5006"/>
    <n v="1089.26"/>
    <n v="0"/>
    <n v="0"/>
    <n v="1089.26"/>
    <n v="8"/>
    <n v="3.8"/>
  </r>
  <r>
    <n v="16026"/>
    <s v="Living Room"/>
    <s v="Sofa"/>
    <x v="0"/>
    <x v="1"/>
    <x v="0"/>
    <x v="0"/>
    <x v="4"/>
    <n v="8729"/>
    <n v="2042.65"/>
    <n v="72.56"/>
    <n v="59.45"/>
    <n v="2174.66"/>
    <n v="12"/>
    <n v="1.4"/>
  </r>
  <r>
    <n v="57707"/>
    <s v="Bedroom"/>
    <s v="Bed Frame"/>
    <x v="8"/>
    <x v="4"/>
    <x v="0"/>
    <x v="1"/>
    <x v="0"/>
    <n v="7274"/>
    <n v="1154.83"/>
    <n v="128.57"/>
    <n v="0"/>
    <n v="1283.4000000000001"/>
    <n v="12"/>
    <m/>
  </r>
  <r>
    <n v="29671"/>
    <s v="Office"/>
    <s v="Office Chair"/>
    <x v="0"/>
    <x v="2"/>
    <x v="1"/>
    <x v="1"/>
    <x v="3"/>
    <n v="3932"/>
    <n v="1177.3800000000001"/>
    <n v="71.14"/>
    <n v="0"/>
    <n v="1248.52"/>
    <n v="6"/>
    <n v="1.3"/>
  </r>
  <r>
    <n v="14635"/>
    <s v="Outdoor"/>
    <s v="Lounge Chair"/>
    <x v="8"/>
    <x v="5"/>
    <x v="0"/>
    <x v="0"/>
    <x v="1"/>
    <n v="7870"/>
    <n v="1288.94"/>
    <n v="120.4"/>
    <m/>
    <n v="1642.74"/>
    <n v="1"/>
    <n v="4"/>
  </r>
  <r>
    <n v="39427"/>
    <s v="Kitchen"/>
    <s v="Bar Cart"/>
    <x v="11"/>
    <x v="3"/>
    <x v="0"/>
    <x v="0"/>
    <x v="4"/>
    <n v="6272"/>
    <n v="447.77"/>
    <n v="98.43"/>
    <n v="284.88"/>
    <n v="831.08"/>
    <n v="13"/>
    <n v="2.2999999999999998"/>
  </r>
  <r>
    <n v="42540"/>
    <s v="Living Room"/>
    <s v="Ottoman"/>
    <x v="6"/>
    <x v="5"/>
    <x v="0"/>
    <x v="0"/>
    <x v="5"/>
    <n v="7819"/>
    <n v="517.63"/>
    <n v="97.68"/>
    <n v="29.44"/>
    <n v="644.75"/>
    <n v="4"/>
    <n v="3.1"/>
  </r>
  <r>
    <n v="51934"/>
    <s v="Outdoor"/>
    <s v="Garden Chair"/>
    <x v="9"/>
    <x v="5"/>
    <x v="0"/>
    <x v="1"/>
    <x v="4"/>
    <n v="5444"/>
    <n v="247.61"/>
    <n v="31.65"/>
    <n v="0"/>
    <n v="279.26"/>
    <n v="8"/>
    <n v="3.6"/>
  </r>
  <r>
    <n v="20208"/>
    <s v="Kitchen"/>
    <s v="Kitchen Island"/>
    <x v="5"/>
    <x v="1"/>
    <x v="0"/>
    <x v="1"/>
    <x v="5"/>
    <n v="7108"/>
    <n v="445.29"/>
    <n v="98.05"/>
    <n v="0"/>
    <n v="543.34"/>
    <n v="10"/>
    <n v="1.8"/>
  </r>
  <r>
    <n v="25650"/>
    <s v="Outdoor"/>
    <s v="Patio Set"/>
    <x v="1"/>
    <x v="5"/>
    <x v="0"/>
    <x v="0"/>
    <x v="4"/>
    <n v="9225"/>
    <n v="360.51"/>
    <n v="72.55"/>
    <n v="193.71"/>
    <n v="626.77"/>
    <n v="12"/>
    <m/>
  </r>
  <r>
    <n v="98254"/>
    <s v="Office"/>
    <s v="Filing Cabinet"/>
    <x v="1"/>
    <x v="4"/>
    <x v="0"/>
    <x v="0"/>
    <x v="0"/>
    <n v="1862"/>
    <n v="590.03"/>
    <n v="119.55"/>
    <n v="68.650000000000006"/>
    <n v="778.23"/>
    <n v="4"/>
    <m/>
  </r>
  <r>
    <n v="33507"/>
    <s v="Office"/>
    <s v="Bookshelf"/>
    <x v="12"/>
    <x v="0"/>
    <x v="0"/>
    <x v="0"/>
    <x v="1"/>
    <n v="4656"/>
    <n v="1338.6"/>
    <n v="89.59"/>
    <n v="33.61"/>
    <n v="1461.8"/>
    <n v="13"/>
    <n v="4.7"/>
  </r>
  <r>
    <n v="77603"/>
    <s v="Dining Room"/>
    <s v="Buffet"/>
    <x v="1"/>
    <x v="4"/>
    <x v="0"/>
    <x v="0"/>
    <x v="0"/>
    <n v="1752"/>
    <n v="1815.88"/>
    <n v="0"/>
    <n v="88.4"/>
    <n v="1904.28"/>
    <n v="11"/>
    <m/>
  </r>
  <r>
    <n v="62550"/>
    <s v="Office"/>
    <s v="Office Chair"/>
    <x v="4"/>
    <x v="1"/>
    <x v="0"/>
    <x v="0"/>
    <x v="3"/>
    <n v="2129"/>
    <n v="746.94"/>
    <n v="110.81"/>
    <n v="55.97"/>
    <n v="913.72"/>
    <n v="13"/>
    <m/>
  </r>
  <r>
    <n v="70960"/>
    <s v="Dining Room"/>
    <s v="Dining Table"/>
    <x v="8"/>
    <x v="0"/>
    <x v="0"/>
    <x v="0"/>
    <x v="3"/>
    <n v="5625"/>
    <n v="1278.17"/>
    <n v="65.08"/>
    <n v="96.94"/>
    <n v="1440.19"/>
    <n v="7"/>
    <n v="3"/>
  </r>
  <r>
    <n v="50723"/>
    <s v="Dining Room"/>
    <s v="Buffet"/>
    <x v="7"/>
    <x v="0"/>
    <x v="0"/>
    <x v="0"/>
    <x v="6"/>
    <n v="6362"/>
    <n v="1698.73"/>
    <n v="96.05"/>
    <n v="185.08"/>
    <n v="1979.86"/>
    <n v="7"/>
    <n v="1.3"/>
  </r>
  <r>
    <n v="21322"/>
    <s v="Dining Room"/>
    <s v="Dining Table"/>
    <x v="3"/>
    <x v="0"/>
    <x v="0"/>
    <x v="1"/>
    <x v="5"/>
    <n v="8483"/>
    <n v="676.07"/>
    <n v="0"/>
    <n v="0"/>
    <n v="676.07"/>
    <n v="5"/>
    <n v="2.8"/>
  </r>
  <r>
    <n v="11044"/>
    <s v="Outdoor"/>
    <s v="Outdoor Table"/>
    <x v="10"/>
    <x v="5"/>
    <x v="0"/>
    <x v="0"/>
    <x v="5"/>
    <n v="7044"/>
    <n v="1147.69"/>
    <n v="0"/>
    <n v="201.57"/>
    <n v="1349.26"/>
    <n v="5"/>
    <n v="2.5"/>
  </r>
  <r>
    <n v="36302"/>
    <s v="Bedroom"/>
    <s v="Nightstand"/>
    <x v="6"/>
    <x v="5"/>
    <x v="0"/>
    <x v="1"/>
    <x v="2"/>
    <n v="5777"/>
    <n v="533.87"/>
    <n v="61.75"/>
    <n v="0"/>
    <n v="595.62"/>
    <n v="3"/>
    <n v="4.0999999999999996"/>
  </r>
  <r>
    <n v="83899"/>
    <s v="Outdoor"/>
    <s v="Outdoor Table"/>
    <x v="5"/>
    <x v="4"/>
    <x v="0"/>
    <x v="0"/>
    <x v="4"/>
    <n v="5979"/>
    <n v="1702.38"/>
    <n v="82.06"/>
    <n v="41.98"/>
    <n v="1826.42"/>
    <n v="14"/>
    <n v="4.5"/>
  </r>
  <r>
    <n v="91620"/>
    <s v="Office"/>
    <s v="Computer Table"/>
    <x v="12"/>
    <x v="3"/>
    <x v="0"/>
    <x v="1"/>
    <x v="4"/>
    <n v="4974"/>
    <n v="1429.53"/>
    <n v="123.99"/>
    <n v="0"/>
    <n v="1553.52"/>
    <n v="3"/>
    <n v="3.9"/>
  </r>
  <r>
    <n v="70807"/>
    <s v="Kitchen"/>
    <s v="Pantry Cabinet"/>
    <x v="11"/>
    <x v="0"/>
    <x v="0"/>
    <x v="1"/>
    <x v="5"/>
    <n v="7033"/>
    <n v="880.07"/>
    <n v="0"/>
    <n v="0"/>
    <n v="880.07"/>
    <n v="13"/>
    <n v="1.5"/>
  </r>
  <r>
    <n v="87554"/>
    <s v="Dining Room"/>
    <s v="Dining Table"/>
    <x v="9"/>
    <x v="5"/>
    <x v="0"/>
    <x v="0"/>
    <x v="0"/>
    <n v="9083"/>
    <n v="792.87"/>
    <n v="0"/>
    <n v="194.92"/>
    <n v="987.79"/>
    <n v="14"/>
    <m/>
  </r>
  <r>
    <n v="35614"/>
    <s v="Living Room"/>
    <s v="Side Table"/>
    <x v="8"/>
    <x v="0"/>
    <x v="0"/>
    <x v="1"/>
    <x v="2"/>
    <n v="9954"/>
    <n v="2119.2399999999998"/>
    <m/>
    <n v="0"/>
    <n v="2222.14"/>
    <n v="1"/>
    <n v="3.9"/>
  </r>
  <r>
    <n v="42129"/>
    <s v="Outdoor"/>
    <s v="Lounge Chair"/>
    <x v="9"/>
    <x v="2"/>
    <x v="1"/>
    <x v="1"/>
    <x v="4"/>
    <n v="3466"/>
    <n v="1661.63"/>
    <m/>
    <n v="0"/>
    <n v="1738.49"/>
    <n v="13"/>
    <n v="3.3"/>
  </r>
  <r>
    <n v="10835"/>
    <s v="Outdoor"/>
    <s v="Outdoor Table"/>
    <x v="3"/>
    <x v="0"/>
    <x v="0"/>
    <x v="1"/>
    <x v="4"/>
    <n v="7718"/>
    <n v="1712.53"/>
    <n v="73.989999999999995"/>
    <n v="0"/>
    <n v="1786.52"/>
    <n v="10"/>
    <n v="4.4000000000000004"/>
  </r>
  <r>
    <n v="13133"/>
    <s v="Kitchen"/>
    <s v="Pantry Cabinet"/>
    <x v="7"/>
    <x v="1"/>
    <x v="0"/>
    <x v="0"/>
    <x v="0"/>
    <n v="4817"/>
    <n v="2417.0100000000002"/>
    <n v="0"/>
    <n v="112.65"/>
    <n v="2529.66"/>
    <n v="3"/>
    <n v="2.5"/>
  </r>
  <r>
    <n v="80981"/>
    <s v="Kitchen"/>
    <s v="Kitchen Cabinet"/>
    <x v="8"/>
    <x v="5"/>
    <x v="0"/>
    <x v="1"/>
    <x v="2"/>
    <n v="6675"/>
    <n v="2335.64"/>
    <n v="141.71"/>
    <n v="0"/>
    <n v="2477.35"/>
    <n v="9"/>
    <m/>
  </r>
  <r>
    <n v="93354"/>
    <s v="Office"/>
    <s v="Computer Table"/>
    <x v="10"/>
    <x v="5"/>
    <x v="0"/>
    <x v="1"/>
    <x v="0"/>
    <n v="1157"/>
    <n v="282.49"/>
    <n v="83.99"/>
    <n v="0"/>
    <n v="366.48"/>
    <n v="10"/>
    <n v="2.2000000000000002"/>
  </r>
  <r>
    <n v="53911"/>
    <s v="Bedroom"/>
    <s v="Bed Frame"/>
    <x v="11"/>
    <x v="5"/>
    <x v="0"/>
    <x v="1"/>
    <x v="1"/>
    <n v="1023"/>
    <n v="1441.62"/>
    <n v="63.67"/>
    <n v="0"/>
    <n v="1505.29"/>
    <n v="13"/>
    <n v="4.9000000000000004"/>
  </r>
  <r>
    <n v="96154"/>
    <s v="Living Room"/>
    <s v="TV Stand"/>
    <x v="1"/>
    <x v="0"/>
    <x v="0"/>
    <x v="1"/>
    <x v="2"/>
    <n v="7164"/>
    <n v="321.07"/>
    <n v="75.08"/>
    <m/>
    <n v="396.15"/>
    <n v="11"/>
    <n v="1.8"/>
  </r>
  <r>
    <n v="50306"/>
    <s v="Living Room"/>
    <s v="TV Stand"/>
    <x v="2"/>
    <x v="1"/>
    <x v="0"/>
    <x v="0"/>
    <x v="0"/>
    <n v="2703"/>
    <n v="1986.53"/>
    <n v="71.349999999999994"/>
    <n v="234.99"/>
    <n v="2292.87"/>
    <n v="4"/>
    <n v="2.8"/>
  </r>
  <r>
    <n v="36895"/>
    <s v="Living Room"/>
    <s v="Ottoman"/>
    <x v="2"/>
    <x v="3"/>
    <x v="0"/>
    <x v="1"/>
    <x v="6"/>
    <n v="9680"/>
    <n v="1684.92"/>
    <n v="99.57"/>
    <n v="0"/>
    <n v="1784.49"/>
    <n v="3"/>
    <m/>
  </r>
  <r>
    <n v="41217"/>
    <s v="Outdoor"/>
    <s v="Umbrella"/>
    <x v="6"/>
    <x v="2"/>
    <x v="1"/>
    <x v="1"/>
    <x v="4"/>
    <n v="7878"/>
    <n v="886.95"/>
    <n v="105.7"/>
    <n v="0"/>
    <n v="992.65"/>
    <n v="3"/>
    <n v="4.3"/>
  </r>
  <r>
    <n v="74491"/>
    <s v="Bedroom"/>
    <s v="Nightstand"/>
    <x v="10"/>
    <x v="3"/>
    <x v="0"/>
    <x v="1"/>
    <x v="0"/>
    <n v="1981"/>
    <n v="2684.16"/>
    <n v="96.07"/>
    <n v="0"/>
    <n v="2780.23"/>
    <n v="14"/>
    <n v="4.5999999999999996"/>
  </r>
  <r>
    <n v="28661"/>
    <s v="Office"/>
    <s v="Desk"/>
    <x v="10"/>
    <x v="0"/>
    <x v="0"/>
    <x v="0"/>
    <x v="1"/>
    <n v="5584"/>
    <n v="992.8"/>
    <n v="0"/>
    <n v="269.49"/>
    <n v="1262.29"/>
    <n v="12"/>
    <n v="1.9"/>
  </r>
  <r>
    <n v="22193"/>
    <s v="Bedroom"/>
    <s v="Wardrobe"/>
    <x v="5"/>
    <x v="1"/>
    <x v="0"/>
    <x v="0"/>
    <x v="4"/>
    <n v="1719"/>
    <n v="1375.43"/>
    <n v="90.67"/>
    <n v="150.51"/>
    <n v="1616.61"/>
    <n v="5"/>
    <n v="3.6"/>
  </r>
  <r>
    <n v="40339"/>
    <s v="Dining Room"/>
    <s v="Dining Chair"/>
    <x v="5"/>
    <x v="3"/>
    <x v="0"/>
    <x v="1"/>
    <x v="0"/>
    <n v="9515"/>
    <n v="1645.98"/>
    <n v="56.29"/>
    <n v="0"/>
    <n v="1702.27"/>
    <n v="6"/>
    <n v="3.6"/>
  </r>
  <r>
    <n v="64140"/>
    <s v="Bedroom"/>
    <s v="Nightstand"/>
    <x v="4"/>
    <x v="3"/>
    <x v="0"/>
    <x v="0"/>
    <x v="1"/>
    <n v="7102"/>
    <n v="2590.5500000000002"/>
    <n v="0"/>
    <n v="32.729999999999997"/>
    <n v="2623.28"/>
    <n v="6"/>
    <n v="4.4000000000000004"/>
  </r>
  <r>
    <n v="70091"/>
    <s v="Living Room"/>
    <s v="Ottoman"/>
    <x v="12"/>
    <x v="5"/>
    <x v="0"/>
    <x v="0"/>
    <x v="0"/>
    <n v="2391"/>
    <n v="892.59"/>
    <n v="119.23"/>
    <n v="88.15"/>
    <n v="1099.97"/>
    <n v="9"/>
    <n v="3.8"/>
  </r>
  <r>
    <n v="86122"/>
    <s v="Bedroom"/>
    <s v="Bed Frame"/>
    <x v="6"/>
    <x v="5"/>
    <x v="0"/>
    <x v="0"/>
    <x v="3"/>
    <n v="2565"/>
    <n v="714.63"/>
    <n v="85.11"/>
    <n v="176.4"/>
    <n v="976.14"/>
    <n v="12"/>
    <m/>
  </r>
  <r>
    <n v="76247"/>
    <s v="Outdoor"/>
    <s v="Lounge Chair"/>
    <x v="4"/>
    <x v="5"/>
    <x v="0"/>
    <x v="1"/>
    <x v="5"/>
    <n v="3187"/>
    <n v="1443.75"/>
    <n v="121.91"/>
    <n v="0"/>
    <n v="1565.66"/>
    <n v="14"/>
    <n v="3.6"/>
  </r>
  <r>
    <n v="93521"/>
    <s v="Bedroom"/>
    <s v="Mattress"/>
    <x v="4"/>
    <x v="2"/>
    <x v="1"/>
    <x v="0"/>
    <x v="5"/>
    <n v="7461"/>
    <n v="1973.82"/>
    <n v="94.27"/>
    <n v="50.07"/>
    <n v="2118.16"/>
    <n v="6"/>
    <n v="3.8"/>
  </r>
  <r>
    <n v="19808"/>
    <s v="Bedroom"/>
    <s v="Mattress"/>
    <x v="5"/>
    <x v="4"/>
    <x v="0"/>
    <x v="1"/>
    <x v="1"/>
    <n v="2020"/>
    <n v="1356.2"/>
    <n v="0"/>
    <n v="0"/>
    <n v="1356.2"/>
    <n v="1"/>
    <n v="1.4"/>
  </r>
  <r>
    <n v="67014"/>
    <s v="Living Room"/>
    <s v="Ottoman"/>
    <x v="10"/>
    <x v="3"/>
    <x v="0"/>
    <x v="0"/>
    <x v="5"/>
    <n v="3141"/>
    <n v="631.11"/>
    <n v="128.79"/>
    <n v="91.49"/>
    <n v="851.39"/>
    <n v="4"/>
    <n v="1.4"/>
  </r>
  <r>
    <n v="41034"/>
    <s v="Office"/>
    <s v="Office Chair"/>
    <x v="6"/>
    <x v="0"/>
    <x v="0"/>
    <x v="0"/>
    <x v="4"/>
    <n v="5778"/>
    <n v="582.99"/>
    <n v="132.36000000000001"/>
    <n v="85.3"/>
    <n v="800.65"/>
    <n v="14"/>
    <n v="4.2"/>
  </r>
  <r>
    <n v="44208"/>
    <s v="Dining Room"/>
    <s v="China Cabinet"/>
    <x v="4"/>
    <x v="5"/>
    <x v="0"/>
    <x v="1"/>
    <x v="4"/>
    <n v="6161"/>
    <n v="1733.11"/>
    <m/>
    <n v="0"/>
    <n v="1830.96"/>
    <n v="8"/>
    <n v="1.5"/>
  </r>
  <r>
    <n v="61505"/>
    <s v="Bedroom"/>
    <s v="Mattress"/>
    <x v="9"/>
    <x v="4"/>
    <x v="0"/>
    <x v="0"/>
    <x v="5"/>
    <n v="6345"/>
    <n v="2864.01"/>
    <n v="100.84"/>
    <n v="125.38"/>
    <n v="3090.23"/>
    <n v="3"/>
    <n v="5"/>
  </r>
  <r>
    <n v="51688"/>
    <s v="Outdoor"/>
    <s v="Garden Chair"/>
    <x v="0"/>
    <x v="2"/>
    <x v="1"/>
    <x v="1"/>
    <x v="5"/>
    <n v="8417"/>
    <n v="444.75"/>
    <n v="96.88"/>
    <n v="0"/>
    <n v="541.63"/>
    <n v="1"/>
    <n v="4.3"/>
  </r>
  <r>
    <n v="45645"/>
    <s v="Dining Room"/>
    <s v="Dining Table"/>
    <x v="6"/>
    <x v="3"/>
    <x v="0"/>
    <x v="1"/>
    <x v="3"/>
    <n v="4827"/>
    <n v="1810.41"/>
    <n v="0"/>
    <n v="0"/>
    <n v="1810.41"/>
    <n v="14"/>
    <n v="1.3"/>
  </r>
  <r>
    <n v="19789"/>
    <s v="Living Room"/>
    <s v="TV Stand"/>
    <x v="11"/>
    <x v="3"/>
    <x v="0"/>
    <x v="0"/>
    <x v="4"/>
    <n v="4321"/>
    <n v="1112.69"/>
    <n v="77.58"/>
    <n v="37.14"/>
    <n v="1227.4100000000001"/>
    <n v="6"/>
    <n v="3.2"/>
  </r>
  <r>
    <n v="27840"/>
    <s v="Kitchen"/>
    <s v="Kitchen Cabinet"/>
    <x v="11"/>
    <x v="1"/>
    <x v="0"/>
    <x v="1"/>
    <x v="1"/>
    <n v="2785"/>
    <n v="626.69000000000005"/>
    <n v="57.17"/>
    <n v="0"/>
    <n v="683.86"/>
    <n v="3"/>
    <n v="1.2"/>
  </r>
  <r>
    <n v="30369"/>
    <s v="Bedroom"/>
    <s v="Wardrobe"/>
    <x v="11"/>
    <x v="4"/>
    <x v="0"/>
    <x v="0"/>
    <x v="0"/>
    <n v="2731"/>
    <n v="2510.29"/>
    <n v="86.54"/>
    <n v="173.05"/>
    <n v="2769.88"/>
    <n v="13"/>
    <n v="2.4"/>
  </r>
  <r>
    <n v="31544"/>
    <s v="Bedroom"/>
    <s v="Chest of Drawers"/>
    <x v="6"/>
    <x v="2"/>
    <x v="1"/>
    <x v="1"/>
    <x v="6"/>
    <n v="8365"/>
    <n v="2030.11"/>
    <n v="92.81"/>
    <n v="0"/>
    <n v="2122.92"/>
    <n v="2"/>
    <m/>
  </r>
  <r>
    <n v="71086"/>
    <s v="Office"/>
    <s v="Bookshelf"/>
    <x v="10"/>
    <x v="2"/>
    <x v="1"/>
    <x v="0"/>
    <x v="2"/>
    <n v="6145"/>
    <n v="104.01"/>
    <n v="95"/>
    <n v="238.86"/>
    <n v="437.87"/>
    <n v="4"/>
    <n v="2.8"/>
  </r>
  <r>
    <n v="63282"/>
    <s v="Bedroom"/>
    <s v="Bed Frame"/>
    <x v="2"/>
    <x v="4"/>
    <x v="0"/>
    <x v="0"/>
    <x v="2"/>
    <n v="2978"/>
    <n v="1509.91"/>
    <n v="0"/>
    <n v="31.34"/>
    <n v="1541.25"/>
    <n v="7"/>
    <n v="3.7"/>
  </r>
  <r>
    <n v="80244"/>
    <s v="Outdoor"/>
    <s v="Lounge Chair"/>
    <x v="3"/>
    <x v="4"/>
    <x v="0"/>
    <x v="0"/>
    <x v="1"/>
    <n v="6870"/>
    <n v="308.56"/>
    <n v="79.67"/>
    <n v="65.37"/>
    <n v="453.6"/>
    <n v="4"/>
    <n v="4"/>
  </r>
  <r>
    <n v="37215"/>
    <s v="Office"/>
    <s v="Computer Table"/>
    <x v="3"/>
    <x v="0"/>
    <x v="0"/>
    <x v="1"/>
    <x v="1"/>
    <n v="8404"/>
    <n v="884.47"/>
    <n v="53.63"/>
    <n v="0"/>
    <n v="938.1"/>
    <n v="4"/>
    <m/>
  </r>
  <r>
    <n v="50410"/>
    <s v="Bedroom"/>
    <s v="Bed Frame"/>
    <x v="10"/>
    <x v="2"/>
    <x v="1"/>
    <x v="1"/>
    <x v="4"/>
    <n v="8591"/>
    <n v="2423.9899999999998"/>
    <n v="68.540000000000006"/>
    <n v="0"/>
    <n v="2492.5300000000002"/>
    <n v="11"/>
    <n v="4.0999999999999996"/>
  </r>
  <r>
    <n v="44735"/>
    <s v="Kitchen"/>
    <s v="Pantry Cabinet"/>
    <x v="3"/>
    <x v="2"/>
    <x v="1"/>
    <x v="0"/>
    <x v="6"/>
    <n v="2964"/>
    <n v="1727.25"/>
    <n v="73.72"/>
    <n v="120.3"/>
    <n v="1921.27"/>
    <n v="10"/>
    <m/>
  </r>
  <r>
    <n v="21851"/>
    <s v="Bedroom"/>
    <s v="Bed Frame"/>
    <x v="1"/>
    <x v="3"/>
    <x v="0"/>
    <x v="1"/>
    <x v="3"/>
    <n v="3582"/>
    <n v="2868.37"/>
    <n v="128.56"/>
    <n v="0"/>
    <n v="2996.93"/>
    <n v="3"/>
    <n v="1.6"/>
  </r>
  <r>
    <n v="99922"/>
    <s v="Living Room"/>
    <s v="TV Stand"/>
    <x v="10"/>
    <x v="2"/>
    <x v="1"/>
    <x v="1"/>
    <x v="1"/>
    <n v="5984"/>
    <n v="2136.98"/>
    <n v="98.63"/>
    <n v="0"/>
    <n v="2235.61"/>
    <n v="5"/>
    <n v="3.3"/>
  </r>
  <r>
    <n v="89076"/>
    <s v="Living Room"/>
    <s v="Side Table"/>
    <x v="3"/>
    <x v="0"/>
    <x v="0"/>
    <x v="1"/>
    <x v="1"/>
    <n v="1660"/>
    <n v="314.87"/>
    <n v="35.520000000000003"/>
    <n v="0"/>
    <n v="350.39"/>
    <n v="7"/>
    <n v="3.2"/>
  </r>
  <r>
    <n v="38183"/>
    <s v="Dining Room"/>
    <s v="China Cabinet"/>
    <x v="5"/>
    <x v="2"/>
    <x v="1"/>
    <x v="0"/>
    <x v="2"/>
    <n v="6370"/>
    <n v="950.87"/>
    <n v="80.95"/>
    <n v="272.43"/>
    <n v="1304.25"/>
    <n v="7"/>
    <n v="2.7"/>
  </r>
  <r>
    <n v="29441"/>
    <s v="Dining Room"/>
    <s v="Dining Table"/>
    <x v="0"/>
    <x v="1"/>
    <x v="0"/>
    <x v="1"/>
    <x v="1"/>
    <n v="2494"/>
    <n v="143.80000000000001"/>
    <n v="43.32"/>
    <n v="0"/>
    <n v="187.12"/>
    <n v="12"/>
    <n v="1.8"/>
  </r>
  <r>
    <n v="42534"/>
    <s v="Dining Room"/>
    <s v="China Cabinet"/>
    <x v="6"/>
    <x v="4"/>
    <x v="0"/>
    <x v="1"/>
    <x v="4"/>
    <n v="6828"/>
    <n v="910.59"/>
    <n v="0"/>
    <n v="0"/>
    <n v="910.59"/>
    <n v="8"/>
    <m/>
  </r>
  <r>
    <n v="61936"/>
    <s v="Dining Room"/>
    <s v="Dining Chair"/>
    <x v="8"/>
    <x v="2"/>
    <x v="1"/>
    <x v="0"/>
    <x v="0"/>
    <n v="9412"/>
    <n v="1181.69"/>
    <n v="82.11"/>
    <n v="159.36000000000001"/>
    <n v="1423.16"/>
    <n v="12"/>
    <m/>
  </r>
  <r>
    <n v="16416"/>
    <s v="Bedroom"/>
    <s v="Wardrobe"/>
    <x v="0"/>
    <x v="2"/>
    <x v="1"/>
    <x v="1"/>
    <x v="3"/>
    <n v="5896"/>
    <n v="609.14"/>
    <n v="70.64"/>
    <n v="0"/>
    <n v="679.78"/>
    <n v="4"/>
    <n v="4.4000000000000004"/>
  </r>
  <r>
    <n v="44100"/>
    <s v="Kitchen"/>
    <s v="Kitchen Cabinet"/>
    <x v="11"/>
    <x v="2"/>
    <x v="1"/>
    <x v="1"/>
    <x v="4"/>
    <n v="3848"/>
    <n v="1645.79"/>
    <n v="78.17"/>
    <n v="0"/>
    <n v="1723.96"/>
    <n v="4"/>
    <n v="2.2999999999999998"/>
  </r>
  <r>
    <n v="14073"/>
    <s v="Bedroom"/>
    <s v="Dresser"/>
    <x v="0"/>
    <x v="4"/>
    <x v="0"/>
    <x v="1"/>
    <x v="3"/>
    <n v="7625"/>
    <n v="2170.75"/>
    <n v="129.16999999999999"/>
    <n v="0"/>
    <n v="2299.92"/>
    <n v="10"/>
    <m/>
  </r>
  <r>
    <n v="69270"/>
    <s v="Bedroom"/>
    <s v="Wardrobe"/>
    <x v="11"/>
    <x v="0"/>
    <x v="0"/>
    <x v="1"/>
    <x v="6"/>
    <n v="5093"/>
    <n v="841.01"/>
    <m/>
    <n v="0"/>
    <n v="976.78"/>
    <n v="10"/>
    <n v="1.9"/>
  </r>
  <r>
    <n v="22415"/>
    <s v="Living Room"/>
    <s v="Ottoman"/>
    <x v="0"/>
    <x v="1"/>
    <x v="0"/>
    <x v="0"/>
    <x v="1"/>
    <n v="8570"/>
    <n v="1945.86"/>
    <n v="119.96"/>
    <n v="61.23"/>
    <n v="2127.0500000000002"/>
    <n v="10"/>
    <n v="2.7"/>
  </r>
  <r>
    <n v="23357"/>
    <s v="Outdoor"/>
    <s v="Garden Chair"/>
    <x v="5"/>
    <x v="4"/>
    <x v="0"/>
    <x v="1"/>
    <x v="1"/>
    <n v="3290"/>
    <n v="1780.74"/>
    <n v="103.32"/>
    <n v="0"/>
    <n v="1884.06"/>
    <n v="2"/>
    <n v="1.4"/>
  </r>
  <r>
    <n v="25919"/>
    <s v="Bedroom"/>
    <s v="Bed Frame"/>
    <x v="8"/>
    <x v="2"/>
    <x v="1"/>
    <x v="1"/>
    <x v="2"/>
    <n v="1195"/>
    <n v="2120.13"/>
    <n v="0"/>
    <n v="0"/>
    <n v="2120.13"/>
    <n v="13"/>
    <m/>
  </r>
  <r>
    <n v="18083"/>
    <s v="Kitchen"/>
    <s v="Kitchen Cabinet"/>
    <x v="1"/>
    <x v="3"/>
    <x v="0"/>
    <x v="1"/>
    <x v="5"/>
    <n v="4641"/>
    <n v="723.98"/>
    <n v="128.44"/>
    <n v="0"/>
    <n v="852.42"/>
    <n v="6"/>
    <n v="3.3"/>
  </r>
  <r>
    <n v="27133"/>
    <s v="Living Room"/>
    <s v="Sofa"/>
    <x v="0"/>
    <x v="5"/>
    <x v="0"/>
    <x v="1"/>
    <x v="3"/>
    <n v="4246"/>
    <n v="894.07"/>
    <n v="134.83000000000001"/>
    <n v="0"/>
    <n v="1028.9000000000001"/>
    <n v="2"/>
    <m/>
  </r>
  <r>
    <n v="62505"/>
    <s v="Living Room"/>
    <s v="Sofa"/>
    <x v="8"/>
    <x v="4"/>
    <x v="0"/>
    <x v="0"/>
    <x v="4"/>
    <n v="7098"/>
    <n v="525.29999999999995"/>
    <n v="85.58"/>
    <n v="30.1"/>
    <n v="640.98"/>
    <n v="14"/>
    <n v="4.4000000000000004"/>
  </r>
  <r>
    <n v="99952"/>
    <s v="Kitchen"/>
    <s v="Pantry Cabinet"/>
    <x v="2"/>
    <x v="4"/>
    <x v="0"/>
    <x v="1"/>
    <x v="3"/>
    <n v="2376"/>
    <n v="718.69"/>
    <n v="112.8"/>
    <n v="0"/>
    <n v="831.49"/>
    <n v="1"/>
    <n v="2.7"/>
  </r>
  <r>
    <n v="86326"/>
    <s v="Bedroom"/>
    <s v="Bed Frame"/>
    <x v="2"/>
    <x v="3"/>
    <x v="0"/>
    <x v="1"/>
    <x v="5"/>
    <n v="5240"/>
    <n v="894.11"/>
    <n v="79.83"/>
    <n v="0"/>
    <n v="973.94"/>
    <n v="12"/>
    <n v="2.6"/>
  </r>
  <r>
    <n v="19828"/>
    <s v="Kitchen"/>
    <s v="Kitchen Cabinet"/>
    <x v="5"/>
    <x v="5"/>
    <x v="0"/>
    <x v="0"/>
    <x v="5"/>
    <n v="1357"/>
    <n v="405.73"/>
    <n v="40.35"/>
    <n v="91.44"/>
    <n v="537.52"/>
    <n v="3"/>
    <n v="4"/>
  </r>
  <r>
    <n v="18450"/>
    <s v="Dining Room"/>
    <s v="Buffet"/>
    <x v="3"/>
    <x v="4"/>
    <x v="0"/>
    <x v="0"/>
    <x v="4"/>
    <n v="4239"/>
    <n v="656.23"/>
    <n v="0"/>
    <n v="25.47"/>
    <n v="681.7"/>
    <n v="4"/>
    <n v="3.9"/>
  </r>
  <r>
    <n v="94670"/>
    <s v="Outdoor"/>
    <s v="Lounge Chair"/>
    <x v="11"/>
    <x v="0"/>
    <x v="0"/>
    <x v="1"/>
    <x v="2"/>
    <n v="8265"/>
    <n v="1439.36"/>
    <n v="52.8"/>
    <n v="0"/>
    <n v="1492.16"/>
    <n v="12"/>
    <n v="1.6"/>
  </r>
  <r>
    <n v="26880"/>
    <s v="Kitchen"/>
    <s v="Kitchen Island"/>
    <x v="11"/>
    <x v="5"/>
    <x v="0"/>
    <x v="1"/>
    <x v="0"/>
    <n v="2506"/>
    <n v="636.58000000000004"/>
    <n v="58.97"/>
    <n v="0"/>
    <n v="695.55"/>
    <n v="8"/>
    <n v="1.3"/>
  </r>
  <r>
    <n v="53456"/>
    <s v="Dining Room"/>
    <s v="Dining Chair"/>
    <x v="11"/>
    <x v="0"/>
    <x v="0"/>
    <x v="0"/>
    <x v="1"/>
    <n v="3007"/>
    <n v="1698.8"/>
    <n v="0"/>
    <n v="194.72"/>
    <n v="1893.52"/>
    <n v="3"/>
    <n v="3.2"/>
  </r>
  <r>
    <n v="15596"/>
    <s v="Dining Room"/>
    <s v="Dining Chair"/>
    <x v="4"/>
    <x v="3"/>
    <x v="0"/>
    <x v="0"/>
    <x v="5"/>
    <n v="8552"/>
    <n v="952.07"/>
    <n v="137.21"/>
    <n v="60.05"/>
    <n v="1149.33"/>
    <n v="9"/>
    <n v="3.5"/>
  </r>
  <r>
    <n v="16637"/>
    <s v="Living Room"/>
    <s v="Coffee Table"/>
    <x v="10"/>
    <x v="3"/>
    <x v="0"/>
    <x v="0"/>
    <x v="4"/>
    <n v="3752"/>
    <n v="959.43"/>
    <n v="60.78"/>
    <n v="30.74"/>
    <n v="1050.95"/>
    <n v="4"/>
    <n v="2.6"/>
  </r>
  <r>
    <n v="85220"/>
    <s v="Outdoor"/>
    <s v="Patio Set"/>
    <x v="8"/>
    <x v="2"/>
    <x v="1"/>
    <x v="0"/>
    <x v="5"/>
    <n v="8096"/>
    <n v="1256.04"/>
    <n v="95.63"/>
    <n v="278.39"/>
    <n v="1630.06"/>
    <n v="3"/>
    <n v="3.4"/>
  </r>
  <r>
    <n v="61773"/>
    <s v="Outdoor"/>
    <s v="Patio Set"/>
    <x v="7"/>
    <x v="2"/>
    <x v="1"/>
    <x v="0"/>
    <x v="2"/>
    <n v="9128"/>
    <n v="436.38"/>
    <n v="73.13"/>
    <n v="26.96"/>
    <n v="536.47"/>
    <n v="3"/>
    <n v="3.9"/>
  </r>
  <r>
    <n v="13864"/>
    <s v="Office"/>
    <s v="Desk"/>
    <x v="0"/>
    <x v="1"/>
    <x v="0"/>
    <x v="0"/>
    <x v="2"/>
    <n v="7270"/>
    <n v="413.68"/>
    <n v="41.26"/>
    <m/>
    <n v="483.12"/>
    <n v="5"/>
    <n v="4.8"/>
  </r>
  <r>
    <n v="99550"/>
    <s v="Living Room"/>
    <s v="Sofa"/>
    <x v="9"/>
    <x v="0"/>
    <x v="0"/>
    <x v="0"/>
    <x v="2"/>
    <n v="7990"/>
    <n v="1244.7"/>
    <n v="0"/>
    <n v="64.63"/>
    <n v="1309.33"/>
    <n v="6"/>
    <m/>
  </r>
  <r>
    <n v="32650"/>
    <s v="Dining Room"/>
    <s v="China Cabinet"/>
    <x v="11"/>
    <x v="0"/>
    <x v="0"/>
    <x v="1"/>
    <x v="0"/>
    <n v="6799"/>
    <n v="978.88"/>
    <n v="60.16"/>
    <n v="0"/>
    <n v="1039.04"/>
    <n v="11"/>
    <n v="3"/>
  </r>
  <r>
    <n v="38143"/>
    <s v="Kitchen"/>
    <s v="Bar Cart"/>
    <x v="10"/>
    <x v="5"/>
    <x v="0"/>
    <x v="1"/>
    <x v="2"/>
    <n v="4066"/>
    <n v="2336.4499999999998"/>
    <n v="0"/>
    <n v="0"/>
    <n v="2336.4499999999998"/>
    <n v="11"/>
    <n v="3.1"/>
  </r>
  <r>
    <n v="46042"/>
    <s v="Outdoor"/>
    <s v="Lounge Chair"/>
    <x v="0"/>
    <x v="1"/>
    <x v="0"/>
    <x v="0"/>
    <x v="6"/>
    <n v="5585"/>
    <n v="1187.72"/>
    <n v="137.22"/>
    <n v="57.78"/>
    <n v="1382.72"/>
    <n v="10"/>
    <m/>
  </r>
  <r>
    <n v="68459"/>
    <s v="Office"/>
    <s v="Filing Cabinet"/>
    <x v="4"/>
    <x v="0"/>
    <x v="0"/>
    <x v="1"/>
    <x v="5"/>
    <n v="3435"/>
    <n v="1156.71"/>
    <n v="0"/>
    <n v="0"/>
    <n v="1156.71"/>
    <n v="9"/>
    <n v="1.6"/>
  </r>
  <r>
    <n v="14541"/>
    <s v="Outdoor"/>
    <s v="Garden Chair"/>
    <x v="10"/>
    <x v="4"/>
    <x v="0"/>
    <x v="0"/>
    <x v="0"/>
    <n v="5026"/>
    <n v="894.76"/>
    <n v="57.63"/>
    <n v="28.25"/>
    <n v="980.64"/>
    <n v="2"/>
    <n v="1.5"/>
  </r>
  <r>
    <n v="94840"/>
    <s v="Bedroom"/>
    <s v="Chest of Drawers"/>
    <x v="9"/>
    <x v="3"/>
    <x v="0"/>
    <x v="0"/>
    <x v="2"/>
    <n v="5835"/>
    <n v="1137.97"/>
    <n v="91.59"/>
    <n v="36.36"/>
    <n v="1265.92"/>
    <n v="1"/>
    <n v="2.9"/>
  </r>
  <r>
    <n v="75390"/>
    <s v="Outdoor"/>
    <s v="Garden Chair"/>
    <x v="9"/>
    <x v="3"/>
    <x v="0"/>
    <x v="1"/>
    <x v="1"/>
    <n v="7750"/>
    <n v="1137.1400000000001"/>
    <n v="108.78"/>
    <n v="0"/>
    <n v="1245.92"/>
    <n v="12"/>
    <n v="3.4"/>
  </r>
  <r>
    <n v="82179"/>
    <s v="Living Room"/>
    <s v="Coffee Table"/>
    <x v="12"/>
    <x v="3"/>
    <x v="0"/>
    <x v="1"/>
    <x v="6"/>
    <n v="8848"/>
    <n v="603.66"/>
    <n v="144.53"/>
    <n v="0"/>
    <n v="748.19"/>
    <n v="4"/>
    <n v="2.8"/>
  </r>
  <r>
    <n v="17992"/>
    <s v="Dining Room"/>
    <s v="Dining Chair"/>
    <x v="0"/>
    <x v="1"/>
    <x v="0"/>
    <x v="1"/>
    <x v="1"/>
    <n v="2437"/>
    <n v="374.25"/>
    <n v="53.18"/>
    <n v="0"/>
    <n v="427.43"/>
    <n v="11"/>
    <n v="4.2"/>
  </r>
  <r>
    <n v="46670"/>
    <s v="Bedroom"/>
    <s v="Mattress"/>
    <x v="5"/>
    <x v="2"/>
    <x v="1"/>
    <x v="0"/>
    <x v="3"/>
    <n v="7275"/>
    <n v="2259.11"/>
    <n v="0"/>
    <n v="98.81"/>
    <n v="2357.92"/>
    <n v="5"/>
    <n v="4.5"/>
  </r>
  <r>
    <n v="27987"/>
    <s v="Kitchen"/>
    <s v="Pantry Cabinet"/>
    <x v="12"/>
    <x v="3"/>
    <x v="0"/>
    <x v="1"/>
    <x v="2"/>
    <n v="7868"/>
    <n v="1418.86"/>
    <n v="83.06"/>
    <n v="0"/>
    <n v="1501.92"/>
    <n v="8"/>
    <m/>
  </r>
  <r>
    <n v="36143"/>
    <s v="Dining Room"/>
    <s v="China Cabinet"/>
    <x v="9"/>
    <x v="5"/>
    <x v="0"/>
    <x v="0"/>
    <x v="1"/>
    <n v="9614"/>
    <n v="1397.92"/>
    <n v="118.44"/>
    <n v="118.95"/>
    <n v="1635.31"/>
    <n v="11"/>
    <n v="2"/>
  </r>
  <r>
    <n v="42656"/>
    <s v="Office"/>
    <s v="Desk"/>
    <x v="10"/>
    <x v="0"/>
    <x v="0"/>
    <x v="1"/>
    <x v="6"/>
    <n v="9907"/>
    <n v="307.14"/>
    <n v="90.82"/>
    <n v="0"/>
    <n v="397.96"/>
    <n v="7"/>
    <n v="1.7"/>
  </r>
  <r>
    <n v="12559"/>
    <s v="Bedroom"/>
    <s v="Mattress"/>
    <x v="0"/>
    <x v="5"/>
    <x v="0"/>
    <x v="0"/>
    <x v="0"/>
    <n v="7266"/>
    <n v="2749.34"/>
    <n v="51.75"/>
    <n v="202.39"/>
    <n v="3003.48"/>
    <n v="2"/>
    <m/>
  </r>
  <r>
    <n v="57069"/>
    <s v="Outdoor"/>
    <s v="Outdoor Table"/>
    <x v="3"/>
    <x v="5"/>
    <x v="0"/>
    <x v="1"/>
    <x v="0"/>
    <n v="8859"/>
    <n v="1094.96"/>
    <n v="65.09"/>
    <n v="0"/>
    <n v="1160.05"/>
    <n v="2"/>
    <m/>
  </r>
  <r>
    <n v="81371"/>
    <s v="Bedroom"/>
    <s v="Wardrobe"/>
    <x v="9"/>
    <x v="5"/>
    <x v="0"/>
    <x v="1"/>
    <x v="4"/>
    <n v="8940"/>
    <n v="1055.58"/>
    <m/>
    <n v="0"/>
    <n v="1175.69"/>
    <n v="4"/>
    <n v="2.9"/>
  </r>
  <r>
    <n v="55093"/>
    <s v="Office"/>
    <s v="Desk"/>
    <x v="7"/>
    <x v="3"/>
    <x v="0"/>
    <x v="0"/>
    <x v="4"/>
    <n v="9231"/>
    <n v="1253.8699999999999"/>
    <n v="116.41"/>
    <n v="35.79"/>
    <n v="1406.07"/>
    <n v="2"/>
    <n v="2"/>
  </r>
  <r>
    <n v="52153"/>
    <s v="Outdoor"/>
    <s v="Umbrella"/>
    <x v="0"/>
    <x v="4"/>
    <x v="0"/>
    <x v="0"/>
    <x v="2"/>
    <n v="7363"/>
    <n v="710.41"/>
    <n v="0"/>
    <n v="82.74"/>
    <n v="793.15"/>
    <n v="13"/>
    <n v="1.2"/>
  </r>
  <r>
    <n v="45446"/>
    <s v="Bedroom"/>
    <s v="Chest of Drawers"/>
    <x v="2"/>
    <x v="2"/>
    <x v="1"/>
    <x v="0"/>
    <x v="4"/>
    <n v="3946"/>
    <n v="2588.29"/>
    <n v="0"/>
    <n v="92.53"/>
    <n v="2680.82"/>
    <n v="2"/>
    <n v="1.7"/>
  </r>
  <r>
    <n v="13416"/>
    <s v="Dining Room"/>
    <s v="China Cabinet"/>
    <x v="5"/>
    <x v="3"/>
    <x v="0"/>
    <x v="0"/>
    <x v="2"/>
    <n v="6224"/>
    <n v="1359.22"/>
    <n v="121.12"/>
    <n v="231.52"/>
    <n v="1711.86"/>
    <n v="9"/>
    <n v="2.6"/>
  </r>
  <r>
    <n v="88265"/>
    <s v="Kitchen"/>
    <s v="Kitchen Island"/>
    <x v="6"/>
    <x v="3"/>
    <x v="0"/>
    <x v="0"/>
    <x v="0"/>
    <n v="4588"/>
    <n v="1467.84"/>
    <n v="0"/>
    <n v="196.4"/>
    <n v="1664.24"/>
    <n v="5"/>
    <n v="4.3"/>
  </r>
  <r>
    <n v="13840"/>
    <s v="Office"/>
    <s v="Desk"/>
    <x v="8"/>
    <x v="4"/>
    <x v="0"/>
    <x v="1"/>
    <x v="6"/>
    <n v="5602"/>
    <n v="889.42"/>
    <n v="143.24"/>
    <n v="0"/>
    <n v="1032.6600000000001"/>
    <n v="11"/>
    <n v="2"/>
  </r>
  <r>
    <n v="17679"/>
    <s v="Outdoor"/>
    <s v="Lounge Chair"/>
    <x v="0"/>
    <x v="0"/>
    <x v="0"/>
    <x v="1"/>
    <x v="4"/>
    <n v="8728"/>
    <n v="1202.3800000000001"/>
    <n v="0"/>
    <n v="0"/>
    <n v="1202.3800000000001"/>
    <n v="12"/>
    <n v="4"/>
  </r>
  <r>
    <n v="79393"/>
    <s v="Bedroom"/>
    <s v="Mattress"/>
    <x v="1"/>
    <x v="3"/>
    <x v="0"/>
    <x v="0"/>
    <x v="6"/>
    <n v="6856"/>
    <n v="994.15"/>
    <n v="0"/>
    <n v="271.3"/>
    <n v="1265.45"/>
    <n v="3"/>
    <m/>
  </r>
  <r>
    <n v="86544"/>
    <s v="Outdoor"/>
    <s v="Patio Set"/>
    <x v="11"/>
    <x v="1"/>
    <x v="0"/>
    <x v="1"/>
    <x v="1"/>
    <n v="4813"/>
    <n v="225.03"/>
    <n v="37.229999999999997"/>
    <n v="0"/>
    <n v="262.26"/>
    <n v="9"/>
    <n v="4.9000000000000004"/>
  </r>
  <r>
    <n v="30922"/>
    <s v="Kitchen"/>
    <s v="Kitchen Island"/>
    <x v="0"/>
    <x v="4"/>
    <x v="0"/>
    <x v="1"/>
    <x v="3"/>
    <n v="2640"/>
    <n v="498.1"/>
    <n v="89.7"/>
    <n v="0"/>
    <n v="587.79999999999995"/>
    <n v="3"/>
    <n v="2.6"/>
  </r>
  <r>
    <n v="42487"/>
    <s v="Dining Room"/>
    <s v="China Cabinet"/>
    <x v="4"/>
    <x v="0"/>
    <x v="0"/>
    <x v="0"/>
    <x v="1"/>
    <n v="4951"/>
    <n v="1412.24"/>
    <n v="0"/>
    <n v="55.54"/>
    <n v="1467.78"/>
    <n v="9"/>
    <m/>
  </r>
  <r>
    <n v="44934"/>
    <s v="Office"/>
    <s v="Office Chair"/>
    <x v="4"/>
    <x v="4"/>
    <x v="0"/>
    <x v="0"/>
    <x v="1"/>
    <n v="9743"/>
    <n v="1127.25"/>
    <n v="120.62"/>
    <n v="33.700000000000003"/>
    <n v="1281.57"/>
    <n v="4"/>
    <n v="3.2"/>
  </r>
  <r>
    <n v="17328"/>
    <s v="Bedroom"/>
    <s v="Bed Frame"/>
    <x v="7"/>
    <x v="5"/>
    <x v="0"/>
    <x v="1"/>
    <x v="3"/>
    <n v="4594"/>
    <n v="160.97"/>
    <n v="72.39"/>
    <n v="0"/>
    <n v="233.36"/>
    <n v="13"/>
    <n v="2"/>
  </r>
  <r>
    <n v="85457"/>
    <s v="Outdoor"/>
    <s v="Patio Set"/>
    <x v="0"/>
    <x v="4"/>
    <x v="0"/>
    <x v="1"/>
    <x v="0"/>
    <n v="7363"/>
    <n v="1693.27"/>
    <n v="66.180000000000007"/>
    <n v="0"/>
    <n v="1759.45"/>
    <n v="14"/>
    <n v="1.7"/>
  </r>
  <r>
    <n v="56504"/>
    <s v="Living Room"/>
    <s v="Armchair"/>
    <x v="4"/>
    <x v="5"/>
    <x v="0"/>
    <x v="1"/>
    <x v="2"/>
    <n v="3846"/>
    <n v="1115.6500000000001"/>
    <n v="66.400000000000006"/>
    <n v="0"/>
    <n v="1182.05"/>
    <n v="13"/>
    <n v="2"/>
  </r>
  <r>
    <n v="33081"/>
    <s v="Kitchen"/>
    <s v="Bar Cart"/>
    <x v="8"/>
    <x v="1"/>
    <x v="0"/>
    <x v="0"/>
    <x v="0"/>
    <n v="4875"/>
    <n v="2240.4299999999998"/>
    <n v="139.30000000000001"/>
    <n v="90.73"/>
    <n v="2470.46"/>
    <n v="7"/>
    <n v="1.3"/>
  </r>
  <r>
    <n v="87662"/>
    <s v="Outdoor"/>
    <s v="Umbrella"/>
    <x v="2"/>
    <x v="3"/>
    <x v="0"/>
    <x v="0"/>
    <x v="0"/>
    <n v="6210"/>
    <n v="1656.53"/>
    <n v="126.8"/>
    <n v="218.23"/>
    <n v="2001.56"/>
    <n v="4"/>
    <n v="2.2000000000000002"/>
  </r>
  <r>
    <n v="57026"/>
    <s v="Bedroom"/>
    <s v="Mattress"/>
    <x v="4"/>
    <x v="2"/>
    <x v="1"/>
    <x v="0"/>
    <x v="5"/>
    <n v="1462"/>
    <n v="2041.9"/>
    <n v="70.11"/>
    <n v="54.96"/>
    <n v="2166.9699999999998"/>
    <n v="9"/>
    <n v="3.9"/>
  </r>
  <r>
    <n v="56095"/>
    <s v="Office"/>
    <s v="Computer Table"/>
    <x v="9"/>
    <x v="3"/>
    <x v="0"/>
    <x v="1"/>
    <x v="1"/>
    <n v="3328"/>
    <n v="1114.22"/>
    <n v="0"/>
    <n v="0"/>
    <n v="1114.22"/>
    <n v="6"/>
    <n v="4.0999999999999996"/>
  </r>
  <r>
    <n v="83807"/>
    <s v="Office"/>
    <s v="Filing Cabinet"/>
    <x v="7"/>
    <x v="4"/>
    <x v="0"/>
    <x v="1"/>
    <x v="0"/>
    <n v="4084"/>
    <n v="627.61"/>
    <n v="92.25"/>
    <n v="0"/>
    <n v="719.86"/>
    <n v="14"/>
    <n v="1"/>
  </r>
  <r>
    <n v="74517"/>
    <s v="Outdoor"/>
    <s v="Outdoor Table"/>
    <x v="7"/>
    <x v="1"/>
    <x v="0"/>
    <x v="0"/>
    <x v="0"/>
    <n v="9882"/>
    <n v="558.15"/>
    <n v="0"/>
    <n v="241"/>
    <n v="799.15"/>
    <n v="7"/>
    <m/>
  </r>
  <r>
    <n v="50508"/>
    <s v="Dining Room"/>
    <s v="China Cabinet"/>
    <x v="6"/>
    <x v="3"/>
    <x v="0"/>
    <x v="1"/>
    <x v="4"/>
    <n v="3876"/>
    <n v="896.1"/>
    <n v="114.33"/>
    <n v="0"/>
    <n v="1010.43"/>
    <n v="6"/>
    <n v="1.7"/>
  </r>
  <r>
    <n v="74282"/>
    <s v="Outdoor"/>
    <s v="Garden Chair"/>
    <x v="8"/>
    <x v="4"/>
    <x v="0"/>
    <x v="1"/>
    <x v="2"/>
    <n v="1621"/>
    <n v="1307.47"/>
    <n v="119.59"/>
    <n v="0"/>
    <n v="1427.06"/>
    <n v="9"/>
    <n v="1.7"/>
  </r>
  <r>
    <n v="21830"/>
    <s v="Living Room"/>
    <s v="Coffee Table"/>
    <x v="6"/>
    <x v="3"/>
    <x v="0"/>
    <x v="0"/>
    <x v="2"/>
    <n v="1920"/>
    <n v="944.45"/>
    <n v="0"/>
    <n v="132.62"/>
    <n v="1077.07"/>
    <n v="10"/>
    <n v="2.7"/>
  </r>
  <r>
    <n v="40490"/>
    <s v="Office"/>
    <s v="Bookshelf"/>
    <x v="0"/>
    <x v="0"/>
    <x v="0"/>
    <x v="1"/>
    <x v="1"/>
    <n v="4584"/>
    <n v="1338.96"/>
    <n v="110.78"/>
    <n v="0"/>
    <n v="1449.74"/>
    <n v="5"/>
    <n v="1.6"/>
  </r>
  <r>
    <n v="12612"/>
    <s v="Kitchen"/>
    <s v="Kitchen Cabinet"/>
    <x v="5"/>
    <x v="4"/>
    <x v="0"/>
    <x v="1"/>
    <x v="2"/>
    <n v="9625"/>
    <n v="438.44"/>
    <m/>
    <n v="0"/>
    <n v="496.28"/>
    <n v="8"/>
    <m/>
  </r>
  <r>
    <n v="72650"/>
    <s v="Kitchen"/>
    <s v="Pantry Cabinet"/>
    <x v="3"/>
    <x v="2"/>
    <x v="1"/>
    <x v="1"/>
    <x v="0"/>
    <n v="1011"/>
    <n v="975.39"/>
    <n v="75.489999999999995"/>
    <n v="0"/>
    <n v="1050.8800000000001"/>
    <n v="11"/>
    <n v="3.3"/>
  </r>
  <r>
    <n v="53481"/>
    <s v="Kitchen"/>
    <s v="Bar Cart"/>
    <x v="12"/>
    <x v="2"/>
    <x v="1"/>
    <x v="0"/>
    <x v="5"/>
    <n v="4300"/>
    <n v="2066"/>
    <n v="134.69999999999999"/>
    <n v="219.31"/>
    <n v="2420.0100000000002"/>
    <n v="5"/>
    <n v="3.1"/>
  </r>
  <r>
    <n v="27103"/>
    <s v="Office"/>
    <s v="Computer Table"/>
    <x v="11"/>
    <x v="2"/>
    <x v="1"/>
    <x v="1"/>
    <x v="0"/>
    <n v="6582"/>
    <n v="841.74"/>
    <n v="149.72"/>
    <n v="0"/>
    <n v="991.46"/>
    <n v="13"/>
    <n v="1.1000000000000001"/>
  </r>
  <r>
    <n v="33260"/>
    <s v="Kitchen"/>
    <s v="Bar Cart"/>
    <x v="1"/>
    <x v="0"/>
    <x v="0"/>
    <x v="0"/>
    <x v="5"/>
    <n v="6301"/>
    <n v="1758.34"/>
    <n v="89.45"/>
    <n v="196.49"/>
    <n v="2044.28"/>
    <n v="2"/>
    <n v="4.9000000000000004"/>
  </r>
  <r>
    <n v="17806"/>
    <s v="Office"/>
    <s v="Office Chair"/>
    <x v="12"/>
    <x v="4"/>
    <x v="0"/>
    <x v="0"/>
    <x v="0"/>
    <n v="1359"/>
    <n v="643.32000000000005"/>
    <n v="0"/>
    <n v="46"/>
    <n v="689.32"/>
    <n v="3"/>
    <n v="4.3"/>
  </r>
  <r>
    <n v="29360"/>
    <s v="Bedroom"/>
    <s v="Bed Frame"/>
    <x v="0"/>
    <x v="4"/>
    <x v="0"/>
    <x v="0"/>
    <x v="4"/>
    <n v="3320"/>
    <n v="1735.4"/>
    <n v="105.55"/>
    <n v="148.25"/>
    <n v="1989.2"/>
    <n v="11"/>
    <n v="3.2"/>
  </r>
  <r>
    <n v="24538"/>
    <s v="Office"/>
    <s v="Bookshelf"/>
    <x v="1"/>
    <x v="0"/>
    <x v="0"/>
    <x v="1"/>
    <x v="2"/>
    <n v="9622"/>
    <n v="1263.44"/>
    <n v="60.6"/>
    <n v="0"/>
    <n v="1324.04"/>
    <n v="7"/>
    <n v="1.9"/>
  </r>
  <r>
    <n v="57826"/>
    <s v="Dining Room"/>
    <s v="Dining Table"/>
    <x v="2"/>
    <x v="4"/>
    <x v="0"/>
    <x v="1"/>
    <x v="2"/>
    <n v="2188"/>
    <n v="189.76"/>
    <n v="40.96"/>
    <n v="0"/>
    <n v="230.72"/>
    <n v="12"/>
    <n v="3.7"/>
  </r>
  <r>
    <n v="58967"/>
    <s v="Kitchen"/>
    <s v="Kitchen Cabinet"/>
    <x v="0"/>
    <x v="5"/>
    <x v="0"/>
    <x v="1"/>
    <x v="2"/>
    <n v="7481"/>
    <n v="1719.11"/>
    <n v="0"/>
    <n v="0"/>
    <n v="1719.11"/>
    <n v="7"/>
    <n v="3.2"/>
  </r>
  <r>
    <n v="86810"/>
    <s v="Office"/>
    <s v="Computer Table"/>
    <x v="10"/>
    <x v="1"/>
    <x v="0"/>
    <x v="1"/>
    <x v="0"/>
    <n v="2655"/>
    <n v="1024.25"/>
    <n v="79.42"/>
    <n v="0"/>
    <n v="1103.67"/>
    <n v="10"/>
    <m/>
  </r>
  <r>
    <n v="54113"/>
    <s v="Outdoor"/>
    <s v="Patio Set"/>
    <x v="9"/>
    <x v="3"/>
    <x v="0"/>
    <x v="0"/>
    <x v="0"/>
    <n v="5944"/>
    <n v="1025.8499999999999"/>
    <n v="0"/>
    <n v="27.82"/>
    <n v="1053.67"/>
    <n v="13"/>
    <n v="2.5"/>
  </r>
  <r>
    <n v="52284"/>
    <s v="Bedroom"/>
    <s v="Dresser"/>
    <x v="7"/>
    <x v="0"/>
    <x v="0"/>
    <x v="0"/>
    <x v="2"/>
    <n v="3235"/>
    <n v="2768.96"/>
    <n v="146.88999999999999"/>
    <n v="34.83"/>
    <n v="2950.68"/>
    <n v="5"/>
    <n v="4.8"/>
  </r>
  <r>
    <n v="30644"/>
    <s v="Dining Room"/>
    <s v="Dining Chair"/>
    <x v="10"/>
    <x v="5"/>
    <x v="0"/>
    <x v="0"/>
    <x v="6"/>
    <n v="8157"/>
    <n v="671.68"/>
    <n v="0"/>
    <n v="55.84"/>
    <n v="727.52"/>
    <n v="6"/>
    <n v="2.7"/>
  </r>
  <r>
    <n v="93789"/>
    <s v="Office"/>
    <s v="Desk"/>
    <x v="11"/>
    <x v="0"/>
    <x v="0"/>
    <x v="0"/>
    <x v="2"/>
    <n v="8982"/>
    <n v="341.62"/>
    <n v="89.13"/>
    <n v="33.29"/>
    <n v="464.04"/>
    <n v="4"/>
    <n v="3.6"/>
  </r>
  <r>
    <n v="95089"/>
    <s v="Living Room"/>
    <s v="TV Stand"/>
    <x v="4"/>
    <x v="4"/>
    <x v="0"/>
    <x v="1"/>
    <x v="1"/>
    <n v="6198"/>
    <n v="1347.48"/>
    <n v="88.88"/>
    <n v="0"/>
    <n v="1436.36"/>
    <n v="11"/>
    <n v="2.5"/>
  </r>
  <r>
    <n v="32833"/>
    <s v="Dining Room"/>
    <s v="Dining Chair"/>
    <x v="11"/>
    <x v="2"/>
    <x v="1"/>
    <x v="0"/>
    <x v="4"/>
    <n v="6846"/>
    <n v="283.14"/>
    <n v="86.81"/>
    <n v="65.63"/>
    <n v="435.58"/>
    <n v="8"/>
    <n v="4.9000000000000004"/>
  </r>
  <r>
    <n v="39260"/>
    <s v="Dining Room"/>
    <s v="Dining Chair"/>
    <x v="1"/>
    <x v="3"/>
    <x v="0"/>
    <x v="0"/>
    <x v="2"/>
    <n v="3872"/>
    <n v="293.08999999999997"/>
    <n v="77.61"/>
    <n v="43.53"/>
    <n v="414.23"/>
    <n v="7"/>
    <m/>
  </r>
  <r>
    <n v="59595"/>
    <s v="Living Room"/>
    <s v="Side Table"/>
    <x v="7"/>
    <x v="1"/>
    <x v="0"/>
    <x v="0"/>
    <x v="5"/>
    <n v="6026"/>
    <n v="1992.01"/>
    <n v="0"/>
    <n v="224.2"/>
    <n v="2216.21"/>
    <n v="7"/>
    <n v="3.1"/>
  </r>
  <r>
    <n v="48602"/>
    <s v="Kitchen"/>
    <s v="Kitchen Cabinet"/>
    <x v="1"/>
    <x v="1"/>
    <x v="0"/>
    <x v="1"/>
    <x v="2"/>
    <n v="3086"/>
    <n v="1522.51"/>
    <n v="82.12"/>
    <n v="0"/>
    <n v="1604.63"/>
    <n v="3"/>
    <n v="3.7"/>
  </r>
  <r>
    <n v="33292"/>
    <s v="Dining Room"/>
    <s v="Dining Chair"/>
    <x v="2"/>
    <x v="3"/>
    <x v="0"/>
    <x v="1"/>
    <x v="6"/>
    <n v="1029"/>
    <n v="1454.33"/>
    <n v="90.61"/>
    <n v="0"/>
    <n v="1544.94"/>
    <n v="8"/>
    <n v="1.3"/>
  </r>
  <r>
    <n v="85082"/>
    <s v="Living Room"/>
    <s v="Ottoman"/>
    <x v="10"/>
    <x v="0"/>
    <x v="0"/>
    <x v="1"/>
    <x v="6"/>
    <n v="7415"/>
    <n v="2158.86"/>
    <n v="0"/>
    <n v="0"/>
    <n v="2158.86"/>
    <n v="10"/>
    <m/>
  </r>
  <r>
    <n v="84381"/>
    <s v="Dining Room"/>
    <s v="Buffet"/>
    <x v="11"/>
    <x v="3"/>
    <x v="0"/>
    <x v="0"/>
    <x v="2"/>
    <n v="1530"/>
    <n v="537.61"/>
    <n v="71.48"/>
    <n v="143.84"/>
    <n v="752.93"/>
    <n v="9"/>
    <n v="4.4000000000000004"/>
  </r>
  <r>
    <n v="33865"/>
    <s v="Office"/>
    <s v="Office Chair"/>
    <x v="0"/>
    <x v="5"/>
    <x v="0"/>
    <x v="1"/>
    <x v="0"/>
    <n v="6213"/>
    <n v="586.1"/>
    <n v="130.58000000000001"/>
    <n v="0"/>
    <n v="716.68"/>
    <n v="4"/>
    <n v="4.4000000000000004"/>
  </r>
  <r>
    <n v="90134"/>
    <s v="Dining Room"/>
    <s v="Dining Chair"/>
    <x v="4"/>
    <x v="1"/>
    <x v="0"/>
    <x v="0"/>
    <x v="3"/>
    <n v="4619"/>
    <n v="1027.83"/>
    <n v="72.22"/>
    <n v="71.06"/>
    <n v="1171.1099999999999"/>
    <n v="14"/>
    <n v="3.8"/>
  </r>
  <r>
    <n v="93839"/>
    <s v="Kitchen"/>
    <s v="Bar Cart"/>
    <x v="7"/>
    <x v="3"/>
    <x v="0"/>
    <x v="1"/>
    <x v="6"/>
    <n v="2705"/>
    <n v="1239.67"/>
    <n v="0"/>
    <n v="0"/>
    <n v="1239.67"/>
    <n v="9"/>
    <n v="1.7"/>
  </r>
  <r>
    <n v="75035"/>
    <s v="Bedroom"/>
    <s v="Nightstand"/>
    <x v="6"/>
    <x v="3"/>
    <x v="0"/>
    <x v="1"/>
    <x v="6"/>
    <n v="3304"/>
    <n v="1698.42"/>
    <n v="0"/>
    <n v="0"/>
    <n v="1698.42"/>
    <n v="14"/>
    <n v="1.7"/>
  </r>
  <r>
    <n v="53406"/>
    <s v="Bedroom"/>
    <s v="Bed Frame"/>
    <x v="12"/>
    <x v="3"/>
    <x v="0"/>
    <x v="0"/>
    <x v="3"/>
    <n v="2274"/>
    <n v="1418.74"/>
    <n v="82.67"/>
    <n v="172.89"/>
    <n v="1674.3"/>
    <n v="8"/>
    <n v="4.0999999999999996"/>
  </r>
  <r>
    <n v="41194"/>
    <s v="Kitchen"/>
    <s v="Kitchen Island"/>
    <x v="10"/>
    <x v="0"/>
    <x v="0"/>
    <x v="1"/>
    <x v="4"/>
    <n v="6682"/>
    <n v="1083.73"/>
    <n v="68.8"/>
    <n v="0"/>
    <n v="1152.53"/>
    <n v="14"/>
    <n v="1.4"/>
  </r>
  <r>
    <n v="51879"/>
    <s v="Office"/>
    <s v="Desk"/>
    <x v="0"/>
    <x v="4"/>
    <x v="0"/>
    <x v="1"/>
    <x v="3"/>
    <n v="3750"/>
    <n v="921.34"/>
    <n v="143.21"/>
    <n v="0"/>
    <n v="1064.55"/>
    <n v="4"/>
    <n v="2.6"/>
  </r>
  <r>
    <n v="93386"/>
    <s v="Dining Room"/>
    <s v="Buffet"/>
    <x v="5"/>
    <x v="1"/>
    <x v="0"/>
    <x v="1"/>
    <x v="0"/>
    <n v="2453"/>
    <n v="1295.3"/>
    <n v="147.16999999999999"/>
    <n v="0"/>
    <n v="1442.47"/>
    <n v="1"/>
    <n v="3.3"/>
  </r>
  <r>
    <n v="97821"/>
    <s v="Living Room"/>
    <s v="Sofa"/>
    <x v="9"/>
    <x v="3"/>
    <x v="0"/>
    <x v="0"/>
    <x v="3"/>
    <n v="6500"/>
    <n v="1424.21"/>
    <n v="97.97"/>
    <n v="91.63"/>
    <n v="1613.81"/>
    <n v="11"/>
    <n v="1.7"/>
  </r>
  <r>
    <n v="68540"/>
    <s v="Kitchen"/>
    <s v="Pantry Cabinet"/>
    <x v="9"/>
    <x v="4"/>
    <x v="0"/>
    <x v="1"/>
    <x v="2"/>
    <n v="1186"/>
    <n v="1759.86"/>
    <n v="0"/>
    <n v="0"/>
    <n v="1759.86"/>
    <n v="3"/>
    <n v="2.6"/>
  </r>
  <r>
    <n v="44761"/>
    <s v="Kitchen"/>
    <s v="Kitchen Cabinet"/>
    <x v="8"/>
    <x v="0"/>
    <x v="0"/>
    <x v="1"/>
    <x v="6"/>
    <n v="4435"/>
    <n v="1662.36"/>
    <n v="133.94"/>
    <n v="0"/>
    <n v="1796.3"/>
    <n v="10"/>
    <n v="1.7"/>
  </r>
  <r>
    <n v="42707"/>
    <s v="Outdoor"/>
    <s v="Umbrella"/>
    <x v="9"/>
    <x v="4"/>
    <x v="0"/>
    <x v="0"/>
    <x v="3"/>
    <n v="2110"/>
    <n v="725.07"/>
    <n v="144.54"/>
    <n v="29.48"/>
    <n v="899.09"/>
    <n v="2"/>
    <n v="3.3"/>
  </r>
  <r>
    <n v="55938"/>
    <s v="Outdoor"/>
    <s v="Patio Set"/>
    <x v="8"/>
    <x v="4"/>
    <x v="0"/>
    <x v="0"/>
    <x v="3"/>
    <n v="5205"/>
    <n v="1503"/>
    <n v="0"/>
    <n v="284.81"/>
    <n v="1787.81"/>
    <n v="8"/>
    <m/>
  </r>
  <r>
    <n v="24160"/>
    <s v="Dining Room"/>
    <s v="Bar Stool"/>
    <x v="12"/>
    <x v="3"/>
    <x v="0"/>
    <x v="0"/>
    <x v="0"/>
    <n v="1020"/>
    <n v="1858.34"/>
    <n v="128.99"/>
    <n v="224.45"/>
    <n v="2211.7800000000002"/>
    <n v="14"/>
    <n v="5"/>
  </r>
  <r>
    <n v="16310"/>
    <s v="Bedroom"/>
    <s v="Chest of Drawers"/>
    <x v="2"/>
    <x v="4"/>
    <x v="0"/>
    <x v="1"/>
    <x v="5"/>
    <n v="7323"/>
    <n v="770.27"/>
    <m/>
    <n v="0"/>
    <n v="770.27"/>
    <n v="13"/>
    <n v="3.1"/>
  </r>
  <r>
    <n v="67438"/>
    <s v="Kitchen"/>
    <s v="Pantry Cabinet"/>
    <x v="12"/>
    <x v="1"/>
    <x v="0"/>
    <x v="1"/>
    <x v="2"/>
    <n v="7875"/>
    <n v="2135.44"/>
    <n v="0"/>
    <n v="0"/>
    <n v="2135.44"/>
    <n v="10"/>
    <m/>
  </r>
  <r>
    <n v="31802"/>
    <s v="Kitchen"/>
    <s v="Bar Cart"/>
    <x v="3"/>
    <x v="0"/>
    <x v="0"/>
    <x v="1"/>
    <x v="3"/>
    <n v="7783"/>
    <n v="2133.4699999999998"/>
    <n v="107.71"/>
    <n v="0"/>
    <n v="2241.1799999999998"/>
    <n v="6"/>
    <m/>
  </r>
  <r>
    <n v="74629"/>
    <s v="Bedroom"/>
    <s v="Mattress"/>
    <x v="9"/>
    <x v="0"/>
    <x v="0"/>
    <x v="1"/>
    <x v="4"/>
    <n v="7204"/>
    <n v="2495.87"/>
    <n v="112.8"/>
    <n v="0"/>
    <n v="2608.67"/>
    <n v="12"/>
    <n v="4"/>
  </r>
  <r>
    <n v="56036"/>
    <s v="Living Room"/>
    <s v="Side Table"/>
    <x v="0"/>
    <x v="5"/>
    <x v="0"/>
    <x v="1"/>
    <x v="2"/>
    <n v="9946"/>
    <n v="932.36"/>
    <n v="0"/>
    <n v="0"/>
    <n v="932.36"/>
    <n v="1"/>
    <n v="1.5"/>
  </r>
  <r>
    <n v="59197"/>
    <s v="Kitchen"/>
    <s v="Kitchen Island"/>
    <x v="4"/>
    <x v="1"/>
    <x v="0"/>
    <x v="0"/>
    <x v="1"/>
    <n v="2661"/>
    <n v="322.95999999999998"/>
    <n v="96.89"/>
    <n v="196.11"/>
    <n v="615.96"/>
    <n v="11"/>
    <n v="2.4"/>
  </r>
  <r>
    <n v="72847"/>
    <s v="Living Room"/>
    <s v="Ottoman"/>
    <x v="1"/>
    <x v="2"/>
    <x v="1"/>
    <x v="0"/>
    <x v="5"/>
    <n v="4695"/>
    <n v="335.86"/>
    <n v="64.83"/>
    <n v="26.07"/>
    <n v="426.76"/>
    <n v="6"/>
    <m/>
  </r>
  <r>
    <n v="31319"/>
    <s v="Outdoor"/>
    <s v="Lounge Chair"/>
    <x v="4"/>
    <x v="0"/>
    <x v="0"/>
    <x v="1"/>
    <x v="2"/>
    <n v="8393"/>
    <n v="490.86"/>
    <n v="30.23"/>
    <n v="0"/>
    <n v="521.09"/>
    <n v="12"/>
    <n v="3.1"/>
  </r>
  <r>
    <n v="19661"/>
    <s v="Office"/>
    <s v="Desk"/>
    <x v="4"/>
    <x v="5"/>
    <x v="0"/>
    <x v="1"/>
    <x v="6"/>
    <n v="1547"/>
    <n v="1379.32"/>
    <n v="0"/>
    <n v="0"/>
    <n v="1379.32"/>
    <n v="9"/>
    <n v="2.6"/>
  </r>
  <r>
    <n v="48654"/>
    <s v="Bedroom"/>
    <s v="Wardrobe"/>
    <x v="3"/>
    <x v="3"/>
    <x v="0"/>
    <x v="1"/>
    <x v="6"/>
    <n v="1328"/>
    <n v="322.01"/>
    <n v="25.53"/>
    <n v="0"/>
    <n v="347.54"/>
    <n v="9"/>
    <n v="4.5"/>
  </r>
  <r>
    <n v="51774"/>
    <s v="Outdoor"/>
    <s v="Outdoor Table"/>
    <x v="0"/>
    <x v="0"/>
    <x v="0"/>
    <x v="1"/>
    <x v="3"/>
    <n v="5278"/>
    <n v="893.1"/>
    <n v="0"/>
    <n v="0"/>
    <n v="893.1"/>
    <n v="14"/>
    <n v="2.5"/>
  </r>
  <r>
    <n v="23726"/>
    <s v="Bedroom"/>
    <s v="Dresser"/>
    <x v="5"/>
    <x v="1"/>
    <x v="0"/>
    <x v="1"/>
    <x v="5"/>
    <n v="2215"/>
    <n v="1138.1400000000001"/>
    <n v="60.13"/>
    <n v="0"/>
    <n v="1198.27"/>
    <n v="4"/>
    <n v="3.7"/>
  </r>
  <r>
    <n v="54801"/>
    <s v="Kitchen"/>
    <s v="Bar Cart"/>
    <x v="3"/>
    <x v="3"/>
    <x v="0"/>
    <x v="0"/>
    <x v="6"/>
    <n v="3787"/>
    <n v="1337.38"/>
    <n v="0"/>
    <n v="77.239999999999995"/>
    <n v="1414.62"/>
    <n v="7"/>
    <n v="3.6"/>
  </r>
  <r>
    <n v="59212"/>
    <s v="Bedroom"/>
    <s v="Dresser"/>
    <x v="9"/>
    <x v="1"/>
    <x v="0"/>
    <x v="1"/>
    <x v="1"/>
    <n v="3636"/>
    <n v="654.70000000000005"/>
    <n v="0"/>
    <n v="0"/>
    <n v="654.70000000000005"/>
    <n v="5"/>
    <m/>
  </r>
  <r>
    <n v="19830"/>
    <s v="Living Room"/>
    <s v="Sofa"/>
    <x v="6"/>
    <x v="2"/>
    <x v="1"/>
    <x v="1"/>
    <x v="1"/>
    <n v="9962"/>
    <n v="2254.59"/>
    <n v="119.66"/>
    <n v="0"/>
    <n v="2374.25"/>
    <n v="11"/>
    <n v="2.2999999999999998"/>
  </r>
  <r>
    <n v="22203"/>
    <s v="Dining Room"/>
    <s v="Dining Table"/>
    <x v="1"/>
    <x v="0"/>
    <x v="0"/>
    <x v="0"/>
    <x v="1"/>
    <n v="6536"/>
    <n v="1953.09"/>
    <n v="53.75"/>
    <n v="74.52"/>
    <n v="2081.36"/>
    <n v="4"/>
    <m/>
  </r>
  <r>
    <n v="87860"/>
    <s v="Bedroom"/>
    <s v="Nightstand"/>
    <x v="2"/>
    <x v="4"/>
    <x v="0"/>
    <x v="1"/>
    <x v="2"/>
    <n v="8909"/>
    <n v="532.80999999999995"/>
    <n v="137.24"/>
    <n v="0"/>
    <n v="670.05"/>
    <n v="11"/>
    <n v="2.1"/>
  </r>
  <r>
    <n v="14062"/>
    <s v="Kitchen"/>
    <s v="Bar Cart"/>
    <x v="3"/>
    <x v="2"/>
    <x v="1"/>
    <x v="1"/>
    <x v="4"/>
    <n v="8066"/>
    <n v="1602.35"/>
    <n v="142.66"/>
    <n v="0"/>
    <n v="1745.01"/>
    <n v="10"/>
    <n v="2.7"/>
  </r>
  <r>
    <n v="95673"/>
    <s v="Outdoor"/>
    <s v="Umbrella"/>
    <x v="7"/>
    <x v="0"/>
    <x v="0"/>
    <x v="0"/>
    <x v="2"/>
    <n v="3703"/>
    <n v="1184.05"/>
    <n v="50.36"/>
    <n v="75.28"/>
    <n v="1309.69"/>
    <n v="13"/>
    <n v="4.8"/>
  </r>
  <r>
    <n v="89602"/>
    <s v="Dining Room"/>
    <s v="Bar Stool"/>
    <x v="10"/>
    <x v="3"/>
    <x v="0"/>
    <x v="0"/>
    <x v="1"/>
    <n v="8113"/>
    <n v="1533.36"/>
    <n v="135.57"/>
    <n v="153.76"/>
    <n v="1822.69"/>
    <n v="8"/>
    <m/>
  </r>
  <r>
    <n v="30591"/>
    <s v="Dining Room"/>
    <s v="Dining Chair"/>
    <x v="9"/>
    <x v="3"/>
    <x v="0"/>
    <x v="0"/>
    <x v="5"/>
    <n v="1877"/>
    <n v="140.41999999999999"/>
    <n v="97.59"/>
    <n v="43.94"/>
    <n v="281.95"/>
    <n v="14"/>
    <n v="2.1"/>
  </r>
  <r>
    <n v="23272"/>
    <s v="Dining Room"/>
    <s v="Dining Chair"/>
    <x v="9"/>
    <x v="2"/>
    <x v="1"/>
    <x v="1"/>
    <x v="3"/>
    <n v="6424"/>
    <n v="1222.23"/>
    <n v="140.11000000000001"/>
    <n v="0"/>
    <n v="1362.34"/>
    <n v="4"/>
    <n v="2.8"/>
  </r>
  <r>
    <n v="36941"/>
    <s v="Bedroom"/>
    <s v="Chest of Drawers"/>
    <x v="9"/>
    <x v="3"/>
    <x v="0"/>
    <x v="1"/>
    <x v="3"/>
    <n v="4112"/>
    <n v="817"/>
    <n v="126.1"/>
    <n v="0"/>
    <n v="943.1"/>
    <n v="1"/>
    <n v="1.4"/>
  </r>
  <r>
    <n v="63645"/>
    <s v="Living Room"/>
    <s v="Ottoman"/>
    <x v="1"/>
    <x v="2"/>
    <x v="1"/>
    <x v="1"/>
    <x v="6"/>
    <n v="9849"/>
    <n v="2300.23"/>
    <n v="84.91"/>
    <n v="0"/>
    <n v="2385.14"/>
    <n v="1"/>
    <n v="1.5"/>
  </r>
  <r>
    <n v="44768"/>
    <s v="Bedroom"/>
    <s v="Bed Frame"/>
    <x v="6"/>
    <x v="2"/>
    <x v="1"/>
    <x v="0"/>
    <x v="1"/>
    <n v="5612"/>
    <n v="2782.91"/>
    <n v="0"/>
    <n v="94.72"/>
    <n v="2877.63"/>
    <n v="10"/>
    <m/>
  </r>
  <r>
    <n v="48980"/>
    <s v="Office"/>
    <s v="Desk"/>
    <x v="9"/>
    <x v="2"/>
    <x v="1"/>
    <x v="0"/>
    <x v="0"/>
    <n v="4891"/>
    <n v="90.4"/>
    <n v="81.849999999999994"/>
    <m/>
    <n v="198.66"/>
    <n v="12"/>
    <n v="3.4"/>
  </r>
  <r>
    <n v="22571"/>
    <s v="Kitchen"/>
    <s v="Bar Cart"/>
    <x v="6"/>
    <x v="5"/>
    <x v="0"/>
    <x v="0"/>
    <x v="5"/>
    <n v="1813"/>
    <n v="651.03"/>
    <n v="128.08000000000001"/>
    <n v="40.53"/>
    <n v="819.64"/>
    <n v="12"/>
    <n v="1.4"/>
  </r>
  <r>
    <n v="61498"/>
    <s v="Dining Room"/>
    <s v="China Cabinet"/>
    <x v="0"/>
    <x v="0"/>
    <x v="0"/>
    <x v="1"/>
    <x v="5"/>
    <n v="9043"/>
    <n v="1909.02"/>
    <n v="0"/>
    <n v="0"/>
    <n v="1909.02"/>
    <n v="3"/>
    <n v="4.9000000000000004"/>
  </r>
  <r>
    <n v="30131"/>
    <s v="Bedroom"/>
    <s v="Mattress"/>
    <x v="6"/>
    <x v="5"/>
    <x v="0"/>
    <x v="0"/>
    <x v="5"/>
    <n v="1893"/>
    <n v="1213.5999999999999"/>
    <n v="134.19999999999999"/>
    <n v="64.48"/>
    <n v="1412.28"/>
    <n v="5"/>
    <n v="3.8"/>
  </r>
  <r>
    <n v="57294"/>
    <s v="Office"/>
    <s v="Office Chair"/>
    <x v="3"/>
    <x v="5"/>
    <x v="0"/>
    <x v="0"/>
    <x v="0"/>
    <n v="1062"/>
    <n v="233.19"/>
    <n v="87.13"/>
    <n v="29.81"/>
    <n v="350.13"/>
    <n v="7"/>
    <n v="1.4"/>
  </r>
  <r>
    <n v="66047"/>
    <s v="Office"/>
    <s v="Office Chair"/>
    <x v="8"/>
    <x v="5"/>
    <x v="0"/>
    <x v="0"/>
    <x v="1"/>
    <n v="2435"/>
    <n v="292.02"/>
    <n v="54.95"/>
    <n v="48.36"/>
    <n v="395.33"/>
    <n v="3"/>
    <n v="1.1000000000000001"/>
  </r>
  <r>
    <n v="48607"/>
    <s v="Office"/>
    <s v="Desk"/>
    <x v="10"/>
    <x v="0"/>
    <x v="0"/>
    <x v="1"/>
    <x v="3"/>
    <n v="8869"/>
    <n v="179.51"/>
    <n v="52.03"/>
    <n v="0"/>
    <n v="231.54"/>
    <n v="9"/>
    <n v="1"/>
  </r>
  <r>
    <n v="36171"/>
    <s v="Dining Room"/>
    <s v="Dining Table"/>
    <x v="10"/>
    <x v="5"/>
    <x v="0"/>
    <x v="0"/>
    <x v="3"/>
    <n v="2589"/>
    <n v="213.87"/>
    <n v="62.12"/>
    <n v="195.53"/>
    <n v="471.52"/>
    <n v="10"/>
    <n v="1.1000000000000001"/>
  </r>
  <r>
    <n v="13373"/>
    <s v="Office"/>
    <s v="Office Chair"/>
    <x v="7"/>
    <x v="0"/>
    <x v="0"/>
    <x v="1"/>
    <x v="3"/>
    <n v="4390"/>
    <n v="349.1"/>
    <n v="83.4"/>
    <n v="0"/>
    <n v="432.5"/>
    <n v="3"/>
    <n v="1.4"/>
  </r>
  <r>
    <n v="32391"/>
    <s v="Living Room"/>
    <s v="Side Table"/>
    <x v="11"/>
    <x v="2"/>
    <x v="1"/>
    <x v="1"/>
    <x v="2"/>
    <n v="5781"/>
    <n v="1371.43"/>
    <n v="115.51"/>
    <n v="0"/>
    <n v="1486.94"/>
    <n v="3"/>
    <n v="1.1000000000000001"/>
  </r>
  <r>
    <n v="20739"/>
    <s v="Outdoor"/>
    <s v="Outdoor Table"/>
    <x v="11"/>
    <x v="2"/>
    <x v="1"/>
    <x v="0"/>
    <x v="5"/>
    <n v="8758"/>
    <n v="1376.74"/>
    <n v="149.88"/>
    <n v="77.36"/>
    <n v="1603.98"/>
    <n v="2"/>
    <n v="1"/>
  </r>
  <r>
    <n v="25139"/>
    <s v="Office"/>
    <s v="Office Chair"/>
    <x v="8"/>
    <x v="5"/>
    <x v="0"/>
    <x v="0"/>
    <x v="0"/>
    <n v="6052"/>
    <n v="1476.22"/>
    <n v="0"/>
    <n v="129.31"/>
    <n v="1605.53"/>
    <n v="13"/>
    <n v="1.5"/>
  </r>
  <r>
    <n v="62096"/>
    <s v="Outdoor"/>
    <s v="Lounge Chair"/>
    <x v="6"/>
    <x v="1"/>
    <x v="0"/>
    <x v="0"/>
    <x v="0"/>
    <n v="8715"/>
    <n v="175.4"/>
    <n v="50.67"/>
    <n v="175.53"/>
    <n v="401.6"/>
    <n v="3"/>
    <n v="4.7"/>
  </r>
  <r>
    <n v="74106"/>
    <s v="Kitchen"/>
    <s v="Kitchen Cabinet"/>
    <x v="6"/>
    <x v="5"/>
    <x v="0"/>
    <x v="1"/>
    <x v="1"/>
    <n v="5341"/>
    <n v="971.2"/>
    <n v="129.78"/>
    <n v="0"/>
    <n v="1100.98"/>
    <n v="3"/>
    <n v="1.1000000000000001"/>
  </r>
  <r>
    <n v="21945"/>
    <s v="Outdoor"/>
    <s v="Outdoor Table"/>
    <x v="9"/>
    <x v="4"/>
    <x v="0"/>
    <x v="0"/>
    <x v="0"/>
    <n v="9914"/>
    <n v="671.08"/>
    <n v="0"/>
    <n v="211.35"/>
    <n v="882.43"/>
    <n v="11"/>
    <n v="4.3"/>
  </r>
  <r>
    <n v="60793"/>
    <s v="Outdoor"/>
    <s v="Garden Chair"/>
    <x v="12"/>
    <x v="4"/>
    <x v="0"/>
    <x v="1"/>
    <x v="4"/>
    <n v="4029"/>
    <n v="596.07000000000005"/>
    <n v="119.2"/>
    <n v="0"/>
    <n v="715.27"/>
    <n v="2"/>
    <n v="1.5"/>
  </r>
  <r>
    <n v="58630"/>
    <s v="Living Room"/>
    <s v="TV Stand"/>
    <x v="12"/>
    <x v="2"/>
    <x v="1"/>
    <x v="0"/>
    <x v="4"/>
    <n v="7249"/>
    <n v="2396.69"/>
    <n v="142.22"/>
    <n v="90.27"/>
    <n v="2629.18"/>
    <n v="9"/>
    <n v="5"/>
  </r>
  <r>
    <n v="58418"/>
    <s v="Kitchen"/>
    <s v="Pantry Cabinet"/>
    <x v="5"/>
    <x v="3"/>
    <x v="0"/>
    <x v="1"/>
    <x v="3"/>
    <n v="4056"/>
    <n v="861.66"/>
    <n v="129.12"/>
    <n v="0"/>
    <n v="990.78"/>
    <n v="3"/>
    <n v="2.5"/>
  </r>
  <r>
    <n v="68428"/>
    <s v="Kitchen"/>
    <s v="Kitchen Cabinet"/>
    <x v="2"/>
    <x v="4"/>
    <x v="0"/>
    <x v="0"/>
    <x v="0"/>
    <n v="1731"/>
    <n v="986.32"/>
    <n v="0"/>
    <n v="273.13"/>
    <n v="1259.45"/>
    <n v="9"/>
    <n v="4.9000000000000004"/>
  </r>
  <r>
    <n v="44510"/>
    <s v="Office"/>
    <s v="Bookshelf"/>
    <x v="12"/>
    <x v="1"/>
    <x v="0"/>
    <x v="1"/>
    <x v="4"/>
    <n v="8204"/>
    <n v="959.99"/>
    <n v="58.58"/>
    <n v="0"/>
    <n v="1018.57"/>
    <n v="1"/>
    <m/>
  </r>
  <r>
    <n v="70956"/>
    <s v="Kitchen"/>
    <s v="Bar Cart"/>
    <x v="11"/>
    <x v="0"/>
    <x v="0"/>
    <x v="0"/>
    <x v="0"/>
    <n v="5315"/>
    <n v="1164.68"/>
    <n v="112.53"/>
    <n v="197.96"/>
    <n v="1475.17"/>
    <n v="5"/>
    <n v="3"/>
  </r>
  <r>
    <n v="39654"/>
    <s v="Kitchen"/>
    <s v="Bar Cart"/>
    <x v="5"/>
    <x v="5"/>
    <x v="0"/>
    <x v="1"/>
    <x v="0"/>
    <n v="5400"/>
    <n v="557.99"/>
    <n v="102.78"/>
    <n v="0"/>
    <n v="660.77"/>
    <n v="5"/>
    <n v="1.6"/>
  </r>
  <r>
    <n v="83956"/>
    <s v="Bedroom"/>
    <s v="Mattress"/>
    <x v="4"/>
    <x v="5"/>
    <x v="0"/>
    <x v="0"/>
    <x v="0"/>
    <n v="2009"/>
    <n v="2268.92"/>
    <n v="143.88"/>
    <n v="33.979999999999997"/>
    <n v="2446.7800000000002"/>
    <n v="6"/>
    <m/>
  </r>
  <r>
    <n v="29808"/>
    <s v="Living Room"/>
    <s v="Sofa"/>
    <x v="0"/>
    <x v="3"/>
    <x v="0"/>
    <x v="0"/>
    <x v="0"/>
    <n v="2584"/>
    <n v="241.8"/>
    <n v="63.92"/>
    <n v="174.38"/>
    <n v="480.1"/>
    <n v="7"/>
    <n v="3.4"/>
  </r>
  <r>
    <n v="21233"/>
    <s v="Kitchen"/>
    <s v="Kitchen Island"/>
    <x v="9"/>
    <x v="1"/>
    <x v="0"/>
    <x v="0"/>
    <x v="5"/>
    <n v="6632"/>
    <n v="566.9"/>
    <n v="0"/>
    <n v="39.49"/>
    <n v="606.39"/>
    <n v="14"/>
    <n v="2.5"/>
  </r>
  <r>
    <n v="80968"/>
    <s v="Bedroom"/>
    <s v="Mattress"/>
    <x v="0"/>
    <x v="1"/>
    <x v="0"/>
    <x v="1"/>
    <x v="1"/>
    <n v="7782"/>
    <n v="2103.71"/>
    <m/>
    <n v="0"/>
    <n v="2103.71"/>
    <n v="12"/>
    <n v="3.7"/>
  </r>
  <r>
    <n v="87296"/>
    <s v="Outdoor"/>
    <s v="Umbrella"/>
    <x v="2"/>
    <x v="4"/>
    <x v="0"/>
    <x v="1"/>
    <x v="1"/>
    <n v="4727"/>
    <n v="223.8"/>
    <n v="25.67"/>
    <n v="0"/>
    <n v="249.47"/>
    <n v="5"/>
    <n v="4.4000000000000004"/>
  </r>
  <r>
    <n v="82561"/>
    <s v="Office"/>
    <s v="Bookshelf"/>
    <x v="9"/>
    <x v="5"/>
    <x v="0"/>
    <x v="0"/>
    <x v="1"/>
    <n v="1999"/>
    <n v="631.67999999999995"/>
    <n v="0"/>
    <n v="168.43"/>
    <n v="800.11"/>
    <n v="4"/>
    <n v="4.5999999999999996"/>
  </r>
  <r>
    <n v="60738"/>
    <s v="Living Room"/>
    <s v="Sofa"/>
    <x v="11"/>
    <x v="5"/>
    <x v="0"/>
    <x v="0"/>
    <x v="0"/>
    <n v="9561"/>
    <n v="1403.8"/>
    <n v="0"/>
    <n v="169.43"/>
    <n v="1573.23"/>
    <n v="6"/>
    <n v="4"/>
  </r>
  <r>
    <n v="64870"/>
    <s v="Bedroom"/>
    <s v="Chest of Drawers"/>
    <x v="3"/>
    <x v="0"/>
    <x v="0"/>
    <x v="1"/>
    <x v="0"/>
    <n v="9773"/>
    <n v="890.36"/>
    <n v="51.2"/>
    <n v="0"/>
    <n v="941.56"/>
    <n v="4"/>
    <n v="2"/>
  </r>
  <r>
    <n v="72236"/>
    <s v="Office"/>
    <s v="Bookshelf"/>
    <x v="3"/>
    <x v="0"/>
    <x v="0"/>
    <x v="1"/>
    <x v="1"/>
    <n v="4860"/>
    <n v="612.59"/>
    <n v="109.72"/>
    <n v="0"/>
    <n v="722.31"/>
    <n v="10"/>
    <n v="2.1"/>
  </r>
  <r>
    <n v="72424"/>
    <s v="Bedroom"/>
    <s v="Chest of Drawers"/>
    <x v="1"/>
    <x v="1"/>
    <x v="0"/>
    <x v="0"/>
    <x v="2"/>
    <n v="5896"/>
    <n v="302.95999999999998"/>
    <n v="29.39"/>
    <n v="188.12"/>
    <n v="520.47"/>
    <n v="12"/>
    <m/>
  </r>
  <r>
    <n v="20348"/>
    <s v="Kitchen"/>
    <s v="Kitchen Island"/>
    <x v="5"/>
    <x v="5"/>
    <x v="0"/>
    <x v="0"/>
    <x v="1"/>
    <n v="7468"/>
    <n v="1815.18"/>
    <n v="0"/>
    <n v="75.67"/>
    <n v="1890.85"/>
    <n v="10"/>
    <n v="2.2000000000000002"/>
  </r>
  <r>
    <n v="14551"/>
    <s v="Bedroom"/>
    <s v="Bed Frame"/>
    <x v="4"/>
    <x v="2"/>
    <x v="1"/>
    <x v="1"/>
    <x v="4"/>
    <n v="9226"/>
    <n v="1663"/>
    <n v="57"/>
    <n v="0"/>
    <n v="1720"/>
    <n v="12"/>
    <n v="1.5"/>
  </r>
  <r>
    <n v="84870"/>
    <s v="Bedroom"/>
    <s v="Nightstand"/>
    <x v="2"/>
    <x v="5"/>
    <x v="0"/>
    <x v="1"/>
    <x v="3"/>
    <n v="9467"/>
    <n v="1037.98"/>
    <n v="72.23"/>
    <n v="0"/>
    <n v="1110.21"/>
    <n v="1"/>
    <m/>
  </r>
  <r>
    <n v="84905"/>
    <s v="Living Room"/>
    <s v="Ottoman"/>
    <x v="8"/>
    <x v="2"/>
    <x v="1"/>
    <x v="0"/>
    <x v="3"/>
    <n v="3415"/>
    <n v="2385.96"/>
    <n v="83.2"/>
    <n v="290.74"/>
    <n v="2759.9"/>
    <n v="11"/>
    <n v="3.5"/>
  </r>
  <r>
    <n v="25765"/>
    <s v="Living Room"/>
    <s v="TV Stand"/>
    <x v="3"/>
    <x v="3"/>
    <x v="0"/>
    <x v="0"/>
    <x v="0"/>
    <n v="8357"/>
    <n v="1730.78"/>
    <n v="61.44"/>
    <n v="36.619999999999997"/>
    <n v="1828.84"/>
    <n v="3"/>
    <n v="2.1"/>
  </r>
  <r>
    <n v="32659"/>
    <s v="Living Room"/>
    <s v="Coffee Table"/>
    <x v="1"/>
    <x v="4"/>
    <x v="0"/>
    <x v="0"/>
    <x v="4"/>
    <n v="3738"/>
    <n v="1491.58"/>
    <n v="95.83"/>
    <n v="43.09"/>
    <n v="1630.5"/>
    <n v="12"/>
    <n v="1.8"/>
  </r>
  <r>
    <n v="37772"/>
    <s v="Outdoor"/>
    <s v="Lounge Chair"/>
    <x v="3"/>
    <x v="0"/>
    <x v="0"/>
    <x v="0"/>
    <x v="2"/>
    <n v="4157"/>
    <n v="263.26"/>
    <n v="31.72"/>
    <n v="194.65"/>
    <n v="489.63"/>
    <n v="12"/>
    <n v="3"/>
  </r>
  <r>
    <n v="26539"/>
    <s v="Dining Room"/>
    <s v="Dining Chair"/>
    <x v="11"/>
    <x v="1"/>
    <x v="0"/>
    <x v="1"/>
    <x v="5"/>
    <n v="1699"/>
    <n v="1915.87"/>
    <n v="123.05"/>
    <n v="0"/>
    <n v="2038.92"/>
    <n v="5"/>
    <n v="1.2"/>
  </r>
  <r>
    <n v="65492"/>
    <s v="Bedroom"/>
    <s v="Nightstand"/>
    <x v="0"/>
    <x v="3"/>
    <x v="0"/>
    <x v="1"/>
    <x v="6"/>
    <n v="2283"/>
    <n v="1344.04"/>
    <n v="0"/>
    <n v="0"/>
    <n v="1344.04"/>
    <n v="7"/>
    <n v="1.1000000000000001"/>
  </r>
  <r>
    <n v="99538"/>
    <s v="Bedroom"/>
    <s v="Bed Frame"/>
    <x v="3"/>
    <x v="3"/>
    <x v="0"/>
    <x v="0"/>
    <x v="1"/>
    <n v="8133"/>
    <n v="1192.96"/>
    <n v="129.85"/>
    <n v="149.18"/>
    <n v="1471.99"/>
    <n v="3"/>
    <n v="2.4"/>
  </r>
  <r>
    <n v="36465"/>
    <s v="Office"/>
    <s v="Computer Table"/>
    <x v="5"/>
    <x v="4"/>
    <x v="0"/>
    <x v="0"/>
    <x v="1"/>
    <n v="3422"/>
    <n v="320.08999999999997"/>
    <n v="95.52"/>
    <n v="91.3"/>
    <n v="506.91"/>
    <n v="11"/>
    <n v="2.6"/>
  </r>
  <r>
    <n v="87994"/>
    <s v="Office"/>
    <s v="Filing Cabinet"/>
    <x v="10"/>
    <x v="0"/>
    <x v="0"/>
    <x v="0"/>
    <x v="2"/>
    <n v="5225"/>
    <n v="1407.63"/>
    <n v="128.32"/>
    <n v="63.8"/>
    <n v="1599.75"/>
    <n v="2"/>
    <n v="3.5"/>
  </r>
  <r>
    <n v="51910"/>
    <s v="Kitchen"/>
    <s v="Pantry Cabinet"/>
    <x v="12"/>
    <x v="4"/>
    <x v="0"/>
    <x v="1"/>
    <x v="0"/>
    <n v="2097"/>
    <n v="1423.4"/>
    <n v="129.01"/>
    <n v="0"/>
    <n v="1552.41"/>
    <n v="8"/>
    <n v="1.3"/>
  </r>
  <r>
    <n v="21406"/>
    <s v="Outdoor"/>
    <s v="Garden Chair"/>
    <x v="1"/>
    <x v="5"/>
    <x v="0"/>
    <x v="0"/>
    <x v="6"/>
    <n v="7358"/>
    <n v="746.65"/>
    <n v="0"/>
    <n v="150.06"/>
    <n v="896.71"/>
    <n v="8"/>
    <n v="4.9000000000000004"/>
  </r>
  <r>
    <n v="82923"/>
    <s v="Dining Room"/>
    <s v="Dining Chair"/>
    <x v="2"/>
    <x v="2"/>
    <x v="1"/>
    <x v="1"/>
    <x v="2"/>
    <n v="7510"/>
    <n v="684.44"/>
    <n v="91.93"/>
    <n v="0"/>
    <n v="776.37"/>
    <n v="9"/>
    <n v="1.4"/>
  </r>
  <r>
    <n v="82358"/>
    <s v="Outdoor"/>
    <s v="Lounge Chair"/>
    <x v="6"/>
    <x v="1"/>
    <x v="0"/>
    <x v="0"/>
    <x v="6"/>
    <n v="6343"/>
    <n v="1541.74"/>
    <n v="125.12"/>
    <n v="125.68"/>
    <n v="1792.54"/>
    <n v="13"/>
    <n v="4.9000000000000004"/>
  </r>
  <r>
    <n v="46202"/>
    <s v="Dining Room"/>
    <s v="Dining Table"/>
    <x v="7"/>
    <x v="5"/>
    <x v="0"/>
    <x v="1"/>
    <x v="1"/>
    <n v="9514"/>
    <n v="1556.19"/>
    <n v="0"/>
    <n v="0"/>
    <n v="1556.19"/>
    <n v="13"/>
    <n v="3.2"/>
  </r>
  <r>
    <n v="70051"/>
    <s v="Bedroom"/>
    <s v="Bed Frame"/>
    <x v="7"/>
    <x v="5"/>
    <x v="0"/>
    <x v="1"/>
    <x v="4"/>
    <n v="1202"/>
    <n v="2592.9499999999998"/>
    <n v="80.67"/>
    <n v="0"/>
    <n v="2673.62"/>
    <n v="11"/>
    <n v="2.2000000000000002"/>
  </r>
  <r>
    <n v="91665"/>
    <s v="Living Room"/>
    <s v="Ottoman"/>
    <x v="2"/>
    <x v="3"/>
    <x v="0"/>
    <x v="0"/>
    <x v="0"/>
    <n v="9561"/>
    <n v="1388.68"/>
    <n v="91.98"/>
    <n v="210.77"/>
    <n v="1691.43"/>
    <n v="14"/>
    <n v="2.4"/>
  </r>
  <r>
    <n v="64997"/>
    <s v="Bedroom"/>
    <s v="Bed Frame"/>
    <x v="5"/>
    <x v="3"/>
    <x v="0"/>
    <x v="1"/>
    <x v="4"/>
    <n v="2843"/>
    <n v="608.84"/>
    <n v="81.099999999999994"/>
    <n v="0"/>
    <n v="689.94"/>
    <n v="2"/>
    <n v="1.7"/>
  </r>
  <r>
    <n v="64321"/>
    <s v="Office"/>
    <s v="Office Chair"/>
    <x v="7"/>
    <x v="0"/>
    <x v="0"/>
    <x v="0"/>
    <x v="0"/>
    <n v="3451"/>
    <n v="521.55999999999995"/>
    <n v="102.79"/>
    <n v="74.83"/>
    <n v="699.18"/>
    <n v="2"/>
    <n v="3.6"/>
  </r>
  <r>
    <n v="29424"/>
    <s v="Living Room"/>
    <s v="Coffee Table"/>
    <x v="5"/>
    <x v="3"/>
    <x v="0"/>
    <x v="1"/>
    <x v="0"/>
    <n v="2641"/>
    <n v="575.26"/>
    <n v="70.16"/>
    <n v="0"/>
    <n v="645.41999999999996"/>
    <n v="9"/>
    <n v="3.5"/>
  </r>
  <r>
    <n v="23845"/>
    <s v="Dining Room"/>
    <s v="Dining Table"/>
    <x v="2"/>
    <x v="1"/>
    <x v="0"/>
    <x v="1"/>
    <x v="1"/>
    <n v="2654"/>
    <n v="1882.88"/>
    <n v="0"/>
    <n v="0"/>
    <n v="1882.88"/>
    <n v="14"/>
    <m/>
  </r>
  <r>
    <n v="47498"/>
    <s v="Outdoor"/>
    <s v="Patio Set"/>
    <x v="6"/>
    <x v="0"/>
    <x v="0"/>
    <x v="1"/>
    <x v="5"/>
    <n v="9775"/>
    <n v="1123"/>
    <n v="115.22"/>
    <n v="0"/>
    <n v="1238.22"/>
    <n v="1"/>
    <n v="1.4"/>
  </r>
  <r>
    <n v="55071"/>
    <s v="Dining Room"/>
    <s v="China Cabinet"/>
    <x v="6"/>
    <x v="0"/>
    <x v="0"/>
    <x v="1"/>
    <x v="2"/>
    <n v="7732"/>
    <n v="1957.76"/>
    <n v="122.18"/>
    <n v="0"/>
    <n v="2079.94"/>
    <n v="2"/>
    <n v="2.1"/>
  </r>
  <r>
    <n v="44620"/>
    <s v="Kitchen"/>
    <s v="Kitchen Cabinet"/>
    <x v="9"/>
    <x v="3"/>
    <x v="0"/>
    <x v="0"/>
    <x v="0"/>
    <n v="7275"/>
    <n v="2208.14"/>
    <m/>
    <n v="97.91"/>
    <n v="2418.92"/>
    <n v="6"/>
    <n v="3.1"/>
  </r>
  <r>
    <n v="95824"/>
    <s v="Office"/>
    <s v="Desk"/>
    <x v="4"/>
    <x v="0"/>
    <x v="0"/>
    <x v="0"/>
    <x v="0"/>
    <n v="8955"/>
    <n v="872.52"/>
    <n v="133.71"/>
    <n v="170.64"/>
    <n v="1176.8699999999999"/>
    <n v="8"/>
    <n v="1.2"/>
  </r>
  <r>
    <n v="84976"/>
    <s v="Office"/>
    <s v="Office Chair"/>
    <x v="6"/>
    <x v="4"/>
    <x v="0"/>
    <x v="1"/>
    <x v="2"/>
    <n v="8750"/>
    <n v="685.99"/>
    <n v="101.2"/>
    <n v="0"/>
    <n v="787.19"/>
    <n v="14"/>
    <n v="4.5999999999999996"/>
  </r>
  <r>
    <n v="14910"/>
    <s v="Kitchen"/>
    <s v="Pantry Cabinet"/>
    <x v="3"/>
    <x v="4"/>
    <x v="0"/>
    <x v="0"/>
    <x v="2"/>
    <n v="3821"/>
    <n v="852.89"/>
    <n v="62.06"/>
    <n v="200.83"/>
    <n v="1115.78"/>
    <n v="4"/>
    <m/>
  </r>
  <r>
    <n v="46099"/>
    <s v="Living Room"/>
    <s v="Sofa"/>
    <x v="5"/>
    <x v="5"/>
    <x v="0"/>
    <x v="0"/>
    <x v="4"/>
    <n v="7602"/>
    <n v="618.74"/>
    <n v="0"/>
    <n v="178.44"/>
    <n v="797.18"/>
    <n v="8"/>
    <n v="3"/>
  </r>
  <r>
    <n v="28855"/>
    <s v="Dining Room"/>
    <s v="Bar Stool"/>
    <x v="0"/>
    <x v="3"/>
    <x v="0"/>
    <x v="0"/>
    <x v="2"/>
    <n v="7581"/>
    <n v="468.89"/>
    <n v="82.6"/>
    <n v="294.60000000000002"/>
    <n v="846.09"/>
    <n v="3"/>
    <n v="1.5"/>
  </r>
  <r>
    <n v="15083"/>
    <s v="Office"/>
    <s v="Computer Table"/>
    <x v="3"/>
    <x v="0"/>
    <x v="0"/>
    <x v="1"/>
    <x v="4"/>
    <n v="7484"/>
    <n v="1029.82"/>
    <n v="85.24"/>
    <n v="0"/>
    <n v="1115.06"/>
    <n v="5"/>
    <n v="2.9"/>
  </r>
  <r>
    <n v="53449"/>
    <s v="Outdoor"/>
    <s v="Outdoor Table"/>
    <x v="1"/>
    <x v="3"/>
    <x v="0"/>
    <x v="0"/>
    <x v="6"/>
    <n v="4892"/>
    <n v="259.38"/>
    <n v="71.48"/>
    <n v="78.900000000000006"/>
    <n v="409.76"/>
    <n v="6"/>
    <n v="4.8"/>
  </r>
  <r>
    <n v="16460"/>
    <s v="Living Room"/>
    <s v="Side Table"/>
    <x v="2"/>
    <x v="3"/>
    <x v="0"/>
    <x v="1"/>
    <x v="1"/>
    <n v="8785"/>
    <n v="465.51"/>
    <n v="55.49"/>
    <n v="0"/>
    <n v="521"/>
    <n v="14"/>
    <m/>
  </r>
  <r>
    <n v="45203"/>
    <s v="Living Room"/>
    <s v="Coffee Table"/>
    <x v="9"/>
    <x v="1"/>
    <x v="0"/>
    <x v="1"/>
    <x v="4"/>
    <n v="7102"/>
    <n v="654.54"/>
    <n v="0"/>
    <n v="0"/>
    <n v="654.54"/>
    <n v="13"/>
    <n v="4.4000000000000004"/>
  </r>
  <r>
    <n v="12651"/>
    <s v="Living Room"/>
    <s v="Ottoman"/>
    <x v="5"/>
    <x v="2"/>
    <x v="1"/>
    <x v="0"/>
    <x v="0"/>
    <n v="6535"/>
    <n v="1437.85"/>
    <n v="0"/>
    <n v="154.18"/>
    <n v="1592.03"/>
    <n v="5"/>
    <n v="1.9"/>
  </r>
  <r>
    <n v="49722"/>
    <s v="Outdoor"/>
    <s v="Lounge Chair"/>
    <x v="8"/>
    <x v="3"/>
    <x v="0"/>
    <x v="1"/>
    <x v="1"/>
    <n v="6094"/>
    <n v="1141.1300000000001"/>
    <n v="131.4"/>
    <n v="0"/>
    <n v="1272.53"/>
    <n v="14"/>
    <n v="1.6"/>
  </r>
  <r>
    <n v="46745"/>
    <s v="Office"/>
    <s v="Bookshelf"/>
    <x v="6"/>
    <x v="4"/>
    <x v="0"/>
    <x v="1"/>
    <x v="2"/>
    <n v="9054"/>
    <n v="1164.3800000000001"/>
    <n v="148.91999999999999"/>
    <n v="0"/>
    <n v="1313.3"/>
    <n v="7"/>
    <n v="2"/>
  </r>
  <r>
    <n v="99764"/>
    <s v="Dining Room"/>
    <s v="Dining Chair"/>
    <x v="10"/>
    <x v="0"/>
    <x v="0"/>
    <x v="0"/>
    <x v="6"/>
    <n v="2609"/>
    <n v="688.73"/>
    <m/>
    <n v="101.71"/>
    <n v="790.44"/>
    <n v="2"/>
    <n v="2.1"/>
  </r>
  <r>
    <n v="39878"/>
    <s v="Bedroom"/>
    <s v="Nightstand"/>
    <x v="2"/>
    <x v="5"/>
    <x v="0"/>
    <x v="0"/>
    <x v="3"/>
    <n v="3201"/>
    <n v="1590.86"/>
    <n v="128.72"/>
    <n v="147.25"/>
    <n v="1866.83"/>
    <n v="9"/>
    <n v="4"/>
  </r>
  <r>
    <n v="49384"/>
    <s v="Living Room"/>
    <s v="Armchair"/>
    <x v="11"/>
    <x v="5"/>
    <x v="0"/>
    <x v="0"/>
    <x v="1"/>
    <n v="8259"/>
    <n v="2287.5"/>
    <n v="59.85"/>
    <n v="176.51"/>
    <n v="2523.86"/>
    <n v="8"/>
    <n v="2.4"/>
  </r>
  <r>
    <n v="52056"/>
    <s v="Outdoor"/>
    <s v="Patio Set"/>
    <x v="9"/>
    <x v="2"/>
    <x v="1"/>
    <x v="0"/>
    <x v="2"/>
    <n v="5414"/>
    <n v="1408"/>
    <n v="96.19"/>
    <n v="152.83000000000001"/>
    <n v="1657.02"/>
    <n v="5"/>
    <n v="2.7"/>
  </r>
  <r>
    <n v="64627"/>
    <s v="Dining Room"/>
    <s v="Buffet"/>
    <x v="10"/>
    <x v="3"/>
    <x v="0"/>
    <x v="0"/>
    <x v="6"/>
    <n v="2462"/>
    <n v="1569.01"/>
    <n v="53.67"/>
    <n v="165.26"/>
    <n v="1787.94"/>
    <n v="8"/>
    <n v="4.3"/>
  </r>
  <r>
    <n v="34633"/>
    <s v="Office"/>
    <s v="Bookshelf"/>
    <x v="11"/>
    <x v="5"/>
    <x v="0"/>
    <x v="0"/>
    <x v="3"/>
    <n v="8237"/>
    <n v="1151.67"/>
    <n v="149.49"/>
    <n v="249.69"/>
    <n v="1550.85"/>
    <n v="1"/>
    <n v="2.9"/>
  </r>
  <r>
    <n v="37707"/>
    <s v="Living Room"/>
    <s v="Coffee Table"/>
    <x v="3"/>
    <x v="3"/>
    <x v="0"/>
    <x v="0"/>
    <x v="5"/>
    <n v="7671"/>
    <n v="2243.9299999999998"/>
    <n v="0"/>
    <n v="150.33000000000001"/>
    <n v="2394.2600000000002"/>
    <n v="6"/>
    <n v="3.7"/>
  </r>
  <r>
    <n v="73499"/>
    <s v="Kitchen"/>
    <s v="Bar Cart"/>
    <x v="7"/>
    <x v="2"/>
    <x v="1"/>
    <x v="1"/>
    <x v="0"/>
    <n v="9462"/>
    <n v="1031.1300000000001"/>
    <n v="89.44"/>
    <n v="0"/>
    <n v="1120.57"/>
    <n v="3"/>
    <n v="1.7"/>
  </r>
  <r>
    <n v="59009"/>
    <s v="Office"/>
    <s v="Filing Cabinet"/>
    <x v="1"/>
    <x v="0"/>
    <x v="0"/>
    <x v="1"/>
    <x v="0"/>
    <n v="1920"/>
    <n v="688.63"/>
    <n v="0"/>
    <n v="0"/>
    <n v="688.63"/>
    <n v="11"/>
    <n v="3.7"/>
  </r>
  <r>
    <n v="77537"/>
    <s v="Outdoor"/>
    <s v="Garden Chair"/>
    <x v="0"/>
    <x v="5"/>
    <x v="0"/>
    <x v="1"/>
    <x v="5"/>
    <n v="3604"/>
    <n v="1706.08"/>
    <n v="0"/>
    <n v="0"/>
    <n v="1706.08"/>
    <n v="8"/>
    <n v="1.6"/>
  </r>
  <r>
    <n v="18600"/>
    <s v="Kitchen"/>
    <s v="Pantry Cabinet"/>
    <x v="7"/>
    <x v="4"/>
    <x v="0"/>
    <x v="1"/>
    <x v="1"/>
    <n v="6097"/>
    <n v="1888.48"/>
    <m/>
    <n v="0"/>
    <n v="1999.22"/>
    <n v="11"/>
    <n v="4.2"/>
  </r>
  <r>
    <n v="76426"/>
    <s v="Kitchen"/>
    <s v="Bar Cart"/>
    <x v="7"/>
    <x v="4"/>
    <x v="0"/>
    <x v="0"/>
    <x v="2"/>
    <n v="7609"/>
    <n v="688"/>
    <m/>
    <n v="100.6"/>
    <n v="916.62"/>
    <n v="13"/>
    <m/>
  </r>
  <r>
    <n v="27779"/>
    <s v="Bedroom"/>
    <s v="Nightstand"/>
    <x v="11"/>
    <x v="3"/>
    <x v="0"/>
    <x v="1"/>
    <x v="6"/>
    <n v="9589"/>
    <n v="720.04"/>
    <n v="58.38"/>
    <n v="0"/>
    <n v="778.42"/>
    <n v="10"/>
    <n v="2.7"/>
  </r>
  <r>
    <n v="84537"/>
    <s v="Bedroom"/>
    <s v="Chest of Drawers"/>
    <x v="9"/>
    <x v="2"/>
    <x v="1"/>
    <x v="1"/>
    <x v="6"/>
    <n v="1474"/>
    <n v="2020.28"/>
    <n v="95.02"/>
    <n v="0"/>
    <n v="2115.3000000000002"/>
    <n v="9"/>
    <n v="2.9"/>
  </r>
  <r>
    <n v="32772"/>
    <s v="Dining Room"/>
    <s v="Dining Chair"/>
    <x v="10"/>
    <x v="5"/>
    <x v="0"/>
    <x v="0"/>
    <x v="2"/>
    <n v="4158"/>
    <n v="929.03"/>
    <n v="0"/>
    <n v="91.56"/>
    <n v="1020.59"/>
    <n v="9"/>
    <n v="4.4000000000000004"/>
  </r>
  <r>
    <n v="36309"/>
    <s v="Office"/>
    <s v="Desk"/>
    <x v="2"/>
    <x v="3"/>
    <x v="0"/>
    <x v="0"/>
    <x v="2"/>
    <n v="1944"/>
    <n v="726.73"/>
    <n v="0"/>
    <n v="58.77"/>
    <n v="785.5"/>
    <n v="11"/>
    <m/>
  </r>
  <r>
    <n v="42701"/>
    <s v="Living Room"/>
    <s v="Armchair"/>
    <x v="11"/>
    <x v="5"/>
    <x v="0"/>
    <x v="0"/>
    <x v="3"/>
    <n v="1541"/>
    <n v="2109.3000000000002"/>
    <m/>
    <m/>
    <n v="2374.3000000000002"/>
    <n v="3"/>
    <m/>
  </r>
  <r>
    <n v="69827"/>
    <s v="Kitchen"/>
    <s v="Kitchen Cabinet"/>
    <x v="1"/>
    <x v="3"/>
    <x v="0"/>
    <x v="1"/>
    <x v="2"/>
    <n v="1828"/>
    <n v="550.84"/>
    <n v="0"/>
    <n v="0"/>
    <n v="550.84"/>
    <n v="10"/>
    <n v="1.1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25E8DC-805F-455E-813B-808F0B85A1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0:D18" firstHeaderRow="1" firstDataRow="1" firstDataCol="1"/>
  <pivotFields count="15">
    <pivotField dataField="1" numFmtId="1" showAll="0"/>
    <pivotField showAll="0"/>
    <pivotField showAll="0"/>
    <pivotField showAll="0"/>
    <pivotField multipleItemSelectionAllowed="1" showAll="0">
      <items count="7">
        <item x="1"/>
        <item x="2"/>
        <item x="0"/>
        <item x="5"/>
        <item x="3"/>
        <item x="4"/>
        <item t="default"/>
      </items>
    </pivotField>
    <pivotField showAll="0">
      <items count="3">
        <item x="1"/>
        <item x="0"/>
        <item t="default"/>
      </items>
    </pivotField>
    <pivotField showAll="0"/>
    <pivotField axis="axisRow" showAll="0" sortType="ascending">
      <items count="8">
        <item x="1"/>
        <item x="4"/>
        <item x="2"/>
        <item x="0"/>
        <item x="5"/>
        <item x="3"/>
        <item x="6"/>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pivotField numFmtId="164" showAll="0"/>
    <pivotField numFmtId="1" showAll="0"/>
    <pivotField showAll="0"/>
  </pivotFields>
  <rowFields count="1">
    <field x="7"/>
  </rowFields>
  <rowItems count="8">
    <i>
      <x v="6"/>
    </i>
    <i>
      <x v="1"/>
    </i>
    <i>
      <x v="5"/>
    </i>
    <i>
      <x v="2"/>
    </i>
    <i>
      <x v="4"/>
    </i>
    <i>
      <x/>
    </i>
    <i>
      <x v="3"/>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BCED08-D55B-4A4F-9BC0-3E3F93F13196}"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I3:K11" firstHeaderRow="1" firstDataRow="2" firstDataCol="1"/>
  <pivotFields count="15">
    <pivotField dataField="1" numFmtId="1" showAll="0"/>
    <pivotField showAll="0"/>
    <pivotField showAll="0"/>
    <pivotField showAll="0"/>
    <pivotField axis="axisRow" showAll="0" sortType="descending">
      <items count="7">
        <item x="1"/>
        <item x="2"/>
        <item x="0"/>
        <item x="5"/>
        <item x="3"/>
        <item x="4"/>
        <item t="default"/>
      </items>
      <autoSortScope>
        <pivotArea dataOnly="0" outline="0" fieldPosition="0">
          <references count="2">
            <reference field="4294967294" count="1" selected="0">
              <x v="0"/>
            </reference>
            <reference field="6" count="1" selected="0">
              <x v="0"/>
            </reference>
          </references>
        </pivotArea>
      </autoSortScope>
    </pivotField>
    <pivotField showAll="0">
      <items count="3">
        <item x="1"/>
        <item x="0"/>
        <item t="default"/>
      </items>
    </pivotField>
    <pivotField axis="axisCol" showAll="0">
      <items count="3">
        <item x="0"/>
        <item x="1"/>
        <item t="default"/>
      </items>
    </pivotField>
    <pivotField showAll="0"/>
    <pivotField numFmtId="1" showAll="0"/>
    <pivotField numFmtId="164" showAll="0"/>
    <pivotField showAll="0"/>
    <pivotField showAll="0"/>
    <pivotField numFmtId="164" showAll="0"/>
    <pivotField numFmtId="1" showAll="0"/>
    <pivotField showAll="0"/>
  </pivotFields>
  <rowFields count="1">
    <field x="4"/>
  </rowFields>
  <rowItems count="7">
    <i>
      <x v="1"/>
    </i>
    <i>
      <x/>
    </i>
    <i>
      <x v="5"/>
    </i>
    <i>
      <x v="4"/>
    </i>
    <i>
      <x v="3"/>
    </i>
    <i>
      <x v="2"/>
    </i>
    <i t="grand">
      <x/>
    </i>
  </rowItems>
  <colFields count="1">
    <field x="6"/>
  </colFields>
  <colItems count="2">
    <i>
      <x/>
    </i>
    <i>
      <x v="1"/>
    </i>
  </colItems>
  <dataFields count="1">
    <dataField name="Count of Order ID" fld="0" subtotal="count" showDataAs="percentOfTotal" baseField="5" baseItem="0" numFmtId="1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2">
          <reference field="4294967294" count="1" selected="0">
            <x v="0"/>
          </reference>
          <reference field="6" count="1" selected="0">
            <x v="0"/>
          </reference>
        </references>
      </pivotArea>
    </chartFormat>
    <chartFormat chart="8"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DD5AA-C8FD-40F8-97F4-63CB55C4F4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G10" firstHeaderRow="1" firstDataRow="1" firstDataCol="1"/>
  <pivotFields count="15">
    <pivotField dataField="1" numFmtId="1" showAll="0"/>
    <pivotField showAll="0"/>
    <pivotField showAll="0"/>
    <pivotField showAll="0"/>
    <pivotField axis="axisRow" showAll="0" sortType="descending">
      <items count="7">
        <item x="4"/>
        <item x="3"/>
        <item x="5"/>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64" showAll="0"/>
    <pivotField showAll="0"/>
    <pivotField showAll="0"/>
    <pivotField numFmtId="164" showAll="0"/>
    <pivotField numFmtId="1" showAll="0"/>
    <pivotField showAll="0"/>
  </pivotFields>
  <rowFields count="1">
    <field x="4"/>
  </rowFields>
  <rowItems count="7">
    <i>
      <x v="4"/>
    </i>
    <i>
      <x v="3"/>
    </i>
    <i>
      <x v="5"/>
    </i>
    <i>
      <x v="1"/>
    </i>
    <i>
      <x v="2"/>
    </i>
    <i>
      <x/>
    </i>
    <i t="grand">
      <x/>
    </i>
  </rowItems>
  <colItems count="1">
    <i/>
  </colItems>
  <dataFields count="1">
    <dataField name="Count of Order ID" fld="0" subtotal="count" baseField="5"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 chart="3" format="4">
      <pivotArea type="data" outline="0" fieldPosition="0">
        <references count="2">
          <reference field="4294967294" count="1" selected="0">
            <x v="0"/>
          </reference>
          <reference field="4" count="1" selected="0">
            <x v="5"/>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2"/>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0DCAA-B628-44AB-9B46-93BEBD101D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D6" firstHeaderRow="1" firstDataRow="1" firstDataCol="1"/>
  <pivotFields count="15">
    <pivotField dataField="1" numFmtId="1" showAll="0"/>
    <pivotField showAll="0"/>
    <pivotField showAll="0"/>
    <pivotField showAll="0"/>
    <pivotField axis="axisRow" showAll="0">
      <items count="7">
        <item x="1"/>
        <item x="2"/>
        <item x="0"/>
        <item x="5"/>
        <item x="3"/>
        <item x="4"/>
        <item t="default"/>
      </items>
    </pivotField>
    <pivotField axis="axisRow" showAll="0">
      <items count="3">
        <item sd="0" x="1"/>
        <item n="Fulfilment Friction " sd="0" x="0"/>
        <item t="default" sd="0"/>
      </items>
    </pivotField>
    <pivotField showAll="0"/>
    <pivotField showAll="0"/>
    <pivotField numFmtId="1" showAll="0"/>
    <pivotField numFmtId="164" showAll="0"/>
    <pivotField showAll="0"/>
    <pivotField showAll="0"/>
    <pivotField numFmtId="164" showAll="0"/>
    <pivotField numFmtId="1" showAll="0"/>
    <pivotField showAll="0"/>
  </pivotFields>
  <rowFields count="2">
    <field x="5"/>
    <field x="4"/>
  </rowFields>
  <rowItems count="3">
    <i>
      <x/>
    </i>
    <i>
      <x v="1"/>
    </i>
    <i t="grand">
      <x/>
    </i>
  </rowItems>
  <colItems count="1">
    <i/>
  </colItems>
  <dataFields count="1">
    <dataField name="Count of Order ID" fld="0" subtotal="count" showDataAs="percentOfTotal" baseField="5" baseItem="0" numFmtId="1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AAA6CB-C4E3-423D-9A35-F90C287C638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F14:G19" firstHeaderRow="1" firstDataRow="1" firstDataCol="1"/>
  <pivotFields count="15">
    <pivotField dataField="1" numFmtId="1" showAll="0"/>
    <pivotField showAll="0"/>
    <pivotField showAll="0"/>
    <pivotField axis="axisRow" showAll="0" measureFilter="1" sortType="descending">
      <items count="14">
        <item x="2"/>
        <item x="4"/>
        <item x="7"/>
        <item x="3"/>
        <item x="5"/>
        <item x="9"/>
        <item x="10"/>
        <item x="8"/>
        <item x="6"/>
        <item x="11"/>
        <item x="1"/>
        <item x="0"/>
        <item x="12"/>
        <item t="default"/>
      </items>
      <autoSortScope>
        <pivotArea dataOnly="0" outline="0" fieldPosition="0">
          <references count="1">
            <reference field="4294967294" count="1" selected="0">
              <x v="0"/>
            </reference>
          </references>
        </pivotArea>
      </autoSortScope>
    </pivotField>
    <pivotField multipleItemSelectionAllowed="1" showAll="0">
      <items count="7">
        <item x="1"/>
        <item x="2"/>
        <item x="0"/>
        <item x="5"/>
        <item x="3"/>
        <item x="4"/>
        <item t="default"/>
      </items>
    </pivotField>
    <pivotField showAll="0">
      <items count="3">
        <item x="1"/>
        <item x="0"/>
        <item t="default"/>
      </items>
    </pivotField>
    <pivotField showAll="0"/>
    <pivotField showAll="0" sortType="ascending">
      <items count="8">
        <item x="1"/>
        <item x="4"/>
        <item x="2"/>
        <item x="0"/>
        <item x="5"/>
        <item x="3"/>
        <item x="6"/>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pivotField numFmtId="164" showAll="0"/>
    <pivotField numFmtId="1" showAll="0"/>
    <pivotField showAll="0"/>
  </pivotFields>
  <rowFields count="1">
    <field x="3"/>
  </rowFields>
  <rowItems count="5">
    <i>
      <x v="5"/>
    </i>
    <i>
      <x v="3"/>
    </i>
    <i>
      <x v="11"/>
    </i>
    <i>
      <x v="1"/>
    </i>
    <i>
      <x v="4"/>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69A11C8-2055-4D8D-BE3D-C974C49D1A89}" sourceName="Delivery Status">
  <pivotTables>
    <pivotTable tabId="4" name="PivotTable5"/>
    <pivotTable tabId="4" name="PivotTable6"/>
    <pivotTable tabId="4" name="PivotTable1"/>
    <pivotTable tabId="4" name="PivotTable2"/>
    <pivotTable tabId="4" name="PivotTable3"/>
  </pivotTables>
  <data>
    <tabular pivotCacheId="281269136">
      <items count="6">
        <i x="1" s="1"/>
        <i x="2"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1" xr10:uid="{4FA4863C-0B39-4112-A97A-A01A78067A23}" cache="Slicer_Delivery_Status" caption="Delivery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57D6257E-6F78-4913-B88E-47AA522DE100}" cache="Slicer_Delivery_Status" caption="Delivery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ADEA-26D7-4305-A128-31C63F5618C8}">
  <dimension ref="B4:AD38"/>
  <sheetViews>
    <sheetView showGridLines="0" tabSelected="1" zoomScale="98" zoomScaleNormal="98" workbookViewId="0">
      <selection activeCell="Z19" sqref="Z19"/>
    </sheetView>
  </sheetViews>
  <sheetFormatPr defaultRowHeight="15" x14ac:dyDescent="0.25"/>
  <sheetData>
    <row r="4" spans="3:30" x14ac:dyDescent="0.25">
      <c r="C4" s="14"/>
      <c r="D4" s="14"/>
      <c r="E4" s="14"/>
      <c r="F4" s="14"/>
      <c r="G4" s="14"/>
      <c r="H4" s="14"/>
      <c r="I4" s="14"/>
      <c r="J4" s="14"/>
      <c r="K4" s="14"/>
      <c r="L4" s="14"/>
      <c r="M4" s="14"/>
      <c r="N4" s="14"/>
      <c r="O4" s="14"/>
      <c r="P4" s="14"/>
      <c r="Q4" s="14"/>
      <c r="R4" s="14"/>
      <c r="S4" s="14"/>
      <c r="T4" s="14"/>
      <c r="U4" s="14"/>
      <c r="V4" s="14"/>
      <c r="W4" s="14"/>
      <c r="X4" s="14"/>
      <c r="Y4" s="14"/>
    </row>
    <row r="5" spans="3:30" x14ac:dyDescent="0.25">
      <c r="C5" s="14"/>
      <c r="D5" s="14"/>
      <c r="E5" s="14"/>
      <c r="F5" s="14"/>
      <c r="G5" s="14"/>
      <c r="H5" s="14"/>
      <c r="I5" s="14"/>
      <c r="J5" s="14"/>
      <c r="K5" s="14"/>
      <c r="L5" s="14"/>
      <c r="M5" s="14"/>
      <c r="N5" s="14"/>
      <c r="O5" s="14"/>
      <c r="P5" s="14"/>
      <c r="Q5" s="14"/>
      <c r="R5" s="14"/>
      <c r="S5" s="14"/>
      <c r="T5" s="14"/>
      <c r="U5" s="14"/>
      <c r="V5" s="14"/>
      <c r="W5" s="14"/>
      <c r="X5" s="14"/>
      <c r="Y5" s="14"/>
    </row>
    <row r="6" spans="3:30" x14ac:dyDescent="0.25">
      <c r="C6" s="14"/>
      <c r="D6" s="14"/>
      <c r="E6" s="14"/>
      <c r="F6" s="14"/>
      <c r="G6" s="14"/>
      <c r="H6" s="14"/>
      <c r="I6" s="14"/>
      <c r="J6" s="14"/>
      <c r="K6" s="14"/>
      <c r="L6" s="14"/>
      <c r="M6" s="14"/>
      <c r="N6" s="14"/>
      <c r="O6" s="14"/>
      <c r="P6" s="14"/>
      <c r="Q6" s="14"/>
      <c r="R6" s="14"/>
      <c r="S6" s="14"/>
      <c r="T6" s="14"/>
      <c r="U6" s="14"/>
      <c r="V6" s="14"/>
      <c r="W6" s="14"/>
      <c r="X6" s="14"/>
      <c r="Y6" s="14"/>
    </row>
    <row r="7" spans="3:30" x14ac:dyDescent="0.25">
      <c r="C7" s="14"/>
      <c r="D7" s="14"/>
      <c r="E7" s="14"/>
      <c r="F7" s="14"/>
      <c r="G7" s="14"/>
      <c r="H7" s="14"/>
      <c r="I7" s="14"/>
      <c r="J7" s="14"/>
      <c r="K7" s="14"/>
      <c r="L7" s="14"/>
      <c r="M7" s="14"/>
      <c r="N7" s="14"/>
      <c r="O7" s="14"/>
      <c r="P7" s="14"/>
      <c r="Q7" s="14"/>
      <c r="R7" s="14"/>
      <c r="S7" s="14"/>
      <c r="T7" s="14"/>
      <c r="U7" s="14"/>
      <c r="V7" s="14"/>
      <c r="W7" s="14"/>
      <c r="X7" s="14"/>
      <c r="Y7" s="14"/>
    </row>
    <row r="8" spans="3:30" x14ac:dyDescent="0.25">
      <c r="C8" s="14"/>
      <c r="D8" s="14"/>
      <c r="E8" s="14"/>
      <c r="F8" s="14"/>
      <c r="G8" s="14"/>
      <c r="H8" s="14"/>
      <c r="I8" s="14"/>
      <c r="J8" s="14"/>
      <c r="K8" s="14"/>
      <c r="L8" s="14"/>
      <c r="M8" s="14"/>
      <c r="N8" s="14"/>
      <c r="O8" s="14"/>
      <c r="P8" s="14"/>
      <c r="Q8" s="14"/>
      <c r="R8" s="14"/>
      <c r="S8" s="14"/>
      <c r="T8" s="14"/>
      <c r="U8" s="14"/>
      <c r="V8" s="14"/>
      <c r="W8" s="14"/>
      <c r="X8" s="14"/>
      <c r="Y8" s="14"/>
    </row>
    <row r="9" spans="3:30" x14ac:dyDescent="0.25">
      <c r="C9" s="14"/>
      <c r="D9" s="14"/>
      <c r="E9" s="14"/>
      <c r="F9" s="14"/>
      <c r="G9" s="14"/>
      <c r="H9" s="14"/>
      <c r="I9" s="14"/>
      <c r="J9" s="14"/>
      <c r="K9" s="14"/>
      <c r="L9" s="14"/>
      <c r="M9" s="14"/>
      <c r="N9" s="14"/>
      <c r="O9" s="14"/>
      <c r="P9" s="14"/>
      <c r="Q9" s="14"/>
      <c r="R9" s="14"/>
      <c r="S9" s="14"/>
      <c r="T9" s="14"/>
      <c r="U9" s="14"/>
      <c r="V9" s="14"/>
      <c r="W9" s="14"/>
      <c r="X9" s="14"/>
      <c r="Y9" s="14"/>
    </row>
    <row r="10" spans="3:30" x14ac:dyDescent="0.25">
      <c r="C10" s="14"/>
      <c r="D10" s="14"/>
      <c r="E10" s="14"/>
      <c r="F10" s="14"/>
      <c r="G10" s="14"/>
      <c r="H10" s="14"/>
      <c r="I10" s="14"/>
      <c r="J10" s="14"/>
      <c r="K10" s="14"/>
      <c r="L10" s="14"/>
      <c r="M10" s="14"/>
      <c r="N10" s="14"/>
      <c r="O10" s="14"/>
      <c r="P10" s="14"/>
      <c r="Q10" s="14"/>
      <c r="R10" s="14"/>
      <c r="S10" s="14"/>
      <c r="T10" s="14"/>
      <c r="U10" s="14"/>
      <c r="V10" s="14"/>
      <c r="W10" s="14"/>
      <c r="X10" s="14"/>
      <c r="Y10" s="14"/>
    </row>
    <row r="11" spans="3:30" x14ac:dyDescent="0.25">
      <c r="C11" s="14"/>
      <c r="D11" s="14"/>
      <c r="E11" s="14"/>
      <c r="F11" s="14"/>
      <c r="G11" s="14"/>
      <c r="H11" s="14"/>
      <c r="I11" s="14"/>
      <c r="J11" s="14"/>
      <c r="K11" s="14"/>
      <c r="L11" s="14"/>
      <c r="M11" s="14"/>
      <c r="N11" s="14"/>
      <c r="O11" s="14"/>
      <c r="P11" s="14"/>
      <c r="Q11" s="14"/>
      <c r="R11" s="14"/>
      <c r="S11" s="14"/>
      <c r="T11" s="14"/>
      <c r="U11" s="14"/>
      <c r="V11" s="14"/>
      <c r="W11" s="14"/>
      <c r="X11" s="14"/>
      <c r="Y11" s="14"/>
    </row>
    <row r="12" spans="3:30" x14ac:dyDescent="0.25">
      <c r="C12" s="14"/>
      <c r="D12" s="14"/>
      <c r="E12" s="14"/>
      <c r="F12" s="14"/>
      <c r="G12" s="14"/>
      <c r="H12" s="14"/>
      <c r="I12" s="14"/>
      <c r="J12" s="14"/>
      <c r="K12" s="14"/>
      <c r="L12" s="14"/>
      <c r="M12" s="14"/>
      <c r="N12" s="14"/>
      <c r="O12" s="14"/>
      <c r="P12" s="14"/>
      <c r="Q12" s="14"/>
      <c r="R12" s="14"/>
      <c r="S12" s="14"/>
      <c r="T12" s="14"/>
      <c r="U12" s="14"/>
      <c r="V12" s="14"/>
      <c r="W12" s="14"/>
      <c r="X12" s="14"/>
      <c r="Y12" s="14"/>
    </row>
    <row r="13" spans="3:30" x14ac:dyDescent="0.25">
      <c r="C13" s="14"/>
      <c r="D13" s="14"/>
      <c r="E13" s="14"/>
      <c r="F13" s="14"/>
      <c r="G13" s="14"/>
      <c r="H13" s="14"/>
      <c r="I13" s="14"/>
      <c r="J13" s="14"/>
      <c r="K13" s="14"/>
      <c r="L13" s="14"/>
      <c r="M13" s="14"/>
      <c r="N13" s="14"/>
      <c r="O13" s="14"/>
      <c r="P13" s="14"/>
      <c r="Q13" s="14"/>
      <c r="R13" s="14"/>
      <c r="S13" s="14"/>
      <c r="T13" s="14"/>
      <c r="U13" s="14"/>
      <c r="V13" s="14"/>
      <c r="W13" s="14"/>
      <c r="X13" s="14"/>
      <c r="Y13" s="14"/>
    </row>
    <row r="14" spans="3:30" x14ac:dyDescent="0.25">
      <c r="C14" s="14"/>
      <c r="D14" s="14"/>
      <c r="E14" s="14"/>
      <c r="F14" s="14"/>
      <c r="G14" s="14"/>
      <c r="H14" s="14"/>
      <c r="I14" s="14"/>
      <c r="J14" s="14"/>
      <c r="K14" s="14"/>
      <c r="L14" s="14"/>
      <c r="M14" s="14"/>
      <c r="N14" s="14"/>
      <c r="O14" s="14"/>
      <c r="P14" s="14"/>
      <c r="Q14" s="14"/>
      <c r="R14" s="14"/>
      <c r="S14" s="14"/>
      <c r="T14" s="14"/>
      <c r="U14" s="14"/>
      <c r="V14" s="14"/>
      <c r="W14" s="14"/>
      <c r="X14" s="14"/>
      <c r="Y14" s="14"/>
      <c r="AD14" t="s">
        <v>97</v>
      </c>
    </row>
    <row r="15" spans="3:30" x14ac:dyDescent="0.25">
      <c r="C15" s="14"/>
      <c r="D15" s="14"/>
      <c r="E15" s="14"/>
      <c r="F15" s="14"/>
      <c r="G15" s="14"/>
      <c r="H15" s="14"/>
      <c r="I15" s="14"/>
      <c r="J15" s="14"/>
      <c r="K15" s="14"/>
      <c r="L15" s="14"/>
      <c r="M15" s="14"/>
      <c r="N15" s="14"/>
      <c r="O15" s="14"/>
      <c r="P15" s="14"/>
      <c r="Q15" s="14"/>
      <c r="R15" s="14"/>
      <c r="S15" s="14"/>
      <c r="T15" s="14"/>
      <c r="U15" s="14"/>
      <c r="V15" s="14"/>
      <c r="W15" s="14"/>
      <c r="X15" s="14"/>
      <c r="Y15" s="14"/>
    </row>
    <row r="16" spans="3:30" x14ac:dyDescent="0.25">
      <c r="C16" s="14"/>
      <c r="D16" s="14"/>
      <c r="E16" s="14"/>
      <c r="F16" s="14"/>
      <c r="G16" s="14"/>
      <c r="H16" s="14"/>
      <c r="I16" s="14"/>
      <c r="J16" s="14"/>
      <c r="K16" s="14"/>
      <c r="L16" s="14"/>
      <c r="M16" s="14"/>
      <c r="N16" s="14"/>
      <c r="O16" s="14"/>
      <c r="P16" s="14"/>
      <c r="Q16" s="14"/>
      <c r="R16" s="14"/>
      <c r="S16" s="14"/>
      <c r="T16" s="14"/>
      <c r="U16" s="14"/>
      <c r="V16" s="14"/>
      <c r="W16" s="14"/>
      <c r="X16" s="14"/>
      <c r="Y16" s="14"/>
    </row>
    <row r="17" spans="2:25" x14ac:dyDescent="0.25">
      <c r="C17" s="14"/>
      <c r="D17" s="14"/>
      <c r="E17" s="14"/>
      <c r="F17" s="14"/>
      <c r="G17" s="14"/>
      <c r="H17" s="14"/>
      <c r="I17" s="14"/>
      <c r="J17" s="14"/>
      <c r="K17" s="14"/>
      <c r="L17" s="14"/>
      <c r="M17" s="14"/>
      <c r="N17" s="14"/>
      <c r="O17" s="14"/>
      <c r="P17" s="14"/>
      <c r="Q17" s="14"/>
      <c r="R17" s="14"/>
      <c r="S17" s="14"/>
      <c r="T17" s="14"/>
      <c r="U17" s="14"/>
      <c r="V17" s="14"/>
      <c r="W17" s="14"/>
      <c r="X17" s="14"/>
      <c r="Y17" s="14"/>
    </row>
    <row r="18" spans="2:25" x14ac:dyDescent="0.25">
      <c r="C18" s="14"/>
      <c r="D18" s="14"/>
      <c r="E18" s="14"/>
      <c r="F18" s="14"/>
      <c r="G18" s="14"/>
      <c r="H18" s="14"/>
      <c r="I18" s="14"/>
      <c r="J18" s="14"/>
      <c r="K18" s="14"/>
      <c r="L18" s="14"/>
      <c r="M18" s="14"/>
      <c r="N18" s="14"/>
      <c r="O18" s="14"/>
      <c r="P18" s="14"/>
      <c r="Q18" s="14"/>
      <c r="R18" s="14"/>
      <c r="S18" s="14"/>
      <c r="T18" s="14"/>
      <c r="U18" s="14"/>
      <c r="V18" s="14"/>
      <c r="W18" s="14"/>
      <c r="X18" s="14"/>
      <c r="Y18" s="14"/>
    </row>
    <row r="19" spans="2:25" x14ac:dyDescent="0.25">
      <c r="C19" s="14"/>
      <c r="D19" s="14"/>
      <c r="E19" s="14"/>
      <c r="F19" s="14"/>
      <c r="G19" s="14"/>
      <c r="H19" s="14"/>
      <c r="I19" s="14"/>
      <c r="J19" s="14"/>
      <c r="K19" s="14"/>
      <c r="L19" s="14"/>
      <c r="M19" s="14"/>
      <c r="N19" s="14"/>
      <c r="O19" s="14"/>
      <c r="P19" s="14"/>
      <c r="Q19" s="14"/>
      <c r="R19" s="14"/>
      <c r="S19" s="14"/>
      <c r="T19" s="14"/>
      <c r="U19" s="14"/>
      <c r="V19" s="14"/>
      <c r="W19" s="14"/>
      <c r="X19" s="14"/>
      <c r="Y19" s="14"/>
    </row>
    <row r="20" spans="2:25" x14ac:dyDescent="0.25">
      <c r="C20" s="14"/>
      <c r="D20" s="14"/>
      <c r="E20" s="14"/>
      <c r="F20" s="14"/>
      <c r="G20" s="14"/>
      <c r="H20" s="14"/>
      <c r="I20" s="14"/>
      <c r="J20" s="14"/>
      <c r="K20" s="14"/>
      <c r="L20" s="14"/>
      <c r="M20" s="14"/>
      <c r="N20" s="14"/>
      <c r="O20" s="14"/>
      <c r="P20" s="14"/>
      <c r="Q20" s="14"/>
      <c r="R20" s="14"/>
      <c r="S20" s="14"/>
      <c r="T20" s="14"/>
      <c r="U20" s="14"/>
      <c r="V20" s="14"/>
      <c r="W20" s="14"/>
      <c r="X20" s="14"/>
      <c r="Y20" s="14"/>
    </row>
    <row r="21" spans="2:25" x14ac:dyDescent="0.25">
      <c r="C21" s="14"/>
      <c r="D21" s="14"/>
      <c r="E21" s="14"/>
      <c r="F21" s="14"/>
      <c r="G21" s="14"/>
      <c r="H21" s="14"/>
      <c r="I21" s="14"/>
      <c r="J21" s="14"/>
      <c r="K21" s="14"/>
      <c r="L21" s="14"/>
      <c r="M21" s="14"/>
      <c r="N21" s="14"/>
      <c r="O21" s="14"/>
      <c r="P21" s="14"/>
      <c r="Q21" s="14"/>
      <c r="R21" s="14"/>
      <c r="S21" s="14"/>
      <c r="T21" s="14"/>
      <c r="U21" s="14"/>
      <c r="V21" s="14"/>
      <c r="W21" s="14"/>
      <c r="X21" s="14"/>
      <c r="Y21" s="14"/>
    </row>
    <row r="22" spans="2:25" x14ac:dyDescent="0.25">
      <c r="B22" t="s">
        <v>97</v>
      </c>
      <c r="C22" s="14"/>
      <c r="D22" s="14"/>
      <c r="E22" s="14"/>
      <c r="F22" s="14"/>
      <c r="G22" s="14"/>
      <c r="H22" s="14"/>
      <c r="I22" s="14"/>
      <c r="J22" s="14"/>
      <c r="K22" s="14"/>
      <c r="L22" s="14"/>
      <c r="M22" s="14"/>
      <c r="N22" s="14"/>
      <c r="O22" s="14"/>
      <c r="P22" s="14"/>
      <c r="Q22" s="14"/>
      <c r="R22" s="14"/>
      <c r="S22" s="14"/>
      <c r="T22" s="14"/>
      <c r="U22" s="14"/>
      <c r="V22" s="14"/>
      <c r="W22" s="14"/>
      <c r="X22" s="14"/>
      <c r="Y22" s="14"/>
    </row>
    <row r="23" spans="2:25" x14ac:dyDescent="0.25">
      <c r="C23" s="14"/>
      <c r="D23" s="14"/>
      <c r="E23" s="14"/>
      <c r="F23" s="14"/>
      <c r="G23" s="14"/>
      <c r="H23" s="14"/>
      <c r="I23" s="14"/>
      <c r="J23" s="14"/>
      <c r="K23" s="14"/>
      <c r="L23" s="14"/>
      <c r="M23" s="14"/>
      <c r="N23" s="14"/>
      <c r="O23" s="14"/>
      <c r="P23" s="14"/>
      <c r="Q23" s="14"/>
      <c r="R23" s="14"/>
      <c r="S23" s="14"/>
      <c r="T23" s="14"/>
      <c r="U23" s="14"/>
      <c r="V23" s="14"/>
      <c r="W23" s="14"/>
      <c r="X23" s="14"/>
      <c r="Y23" s="14"/>
    </row>
    <row r="24" spans="2:25" x14ac:dyDescent="0.25">
      <c r="C24" s="14"/>
      <c r="D24" s="14"/>
      <c r="E24" s="14"/>
      <c r="F24" s="14"/>
      <c r="G24" s="14"/>
      <c r="H24" s="14"/>
      <c r="I24" s="14"/>
      <c r="J24" s="14"/>
      <c r="K24" s="14"/>
      <c r="L24" s="14"/>
      <c r="M24" s="14"/>
      <c r="N24" s="14"/>
      <c r="O24" s="14"/>
      <c r="P24" s="14"/>
      <c r="Q24" s="14"/>
      <c r="R24" s="14"/>
      <c r="S24" s="14"/>
      <c r="T24" s="14"/>
      <c r="U24" s="14"/>
      <c r="V24" s="14"/>
      <c r="W24" s="14"/>
      <c r="X24" s="14"/>
      <c r="Y24" s="14"/>
    </row>
    <row r="25" spans="2:25" x14ac:dyDescent="0.25">
      <c r="C25" s="14"/>
      <c r="D25" s="14"/>
      <c r="E25" s="14"/>
      <c r="F25" s="14"/>
      <c r="G25" s="14"/>
      <c r="H25" s="14"/>
      <c r="I25" s="14"/>
      <c r="J25" s="14"/>
      <c r="K25" s="14"/>
      <c r="L25" s="14"/>
      <c r="M25" s="14"/>
      <c r="N25" s="14"/>
      <c r="O25" s="14"/>
      <c r="P25" s="14"/>
      <c r="Q25" s="14"/>
      <c r="R25" s="14"/>
      <c r="S25" s="14"/>
      <c r="T25" s="14"/>
      <c r="U25" s="14"/>
      <c r="V25" s="14"/>
      <c r="W25" s="14"/>
      <c r="X25" s="14"/>
      <c r="Y25" s="14"/>
    </row>
    <row r="26" spans="2:25" x14ac:dyDescent="0.25">
      <c r="C26" s="14"/>
      <c r="D26" s="14"/>
      <c r="E26" s="14"/>
      <c r="F26" s="14"/>
      <c r="G26" s="14"/>
      <c r="H26" s="14"/>
      <c r="I26" s="14"/>
      <c r="J26" s="14"/>
      <c r="K26" s="14"/>
      <c r="L26" s="14"/>
      <c r="M26" s="14"/>
      <c r="N26" s="14"/>
      <c r="O26" s="14"/>
      <c r="P26" s="14"/>
      <c r="Q26" s="14"/>
      <c r="R26" s="14"/>
      <c r="S26" s="14"/>
      <c r="T26" s="14"/>
      <c r="U26" s="14"/>
      <c r="V26" s="14"/>
      <c r="W26" s="14"/>
      <c r="X26" s="14"/>
      <c r="Y26" s="14"/>
    </row>
    <row r="27" spans="2:25" x14ac:dyDescent="0.25">
      <c r="C27" s="14"/>
      <c r="D27" s="14"/>
      <c r="E27" s="14"/>
      <c r="F27" s="14"/>
      <c r="G27" s="14"/>
      <c r="H27" s="14"/>
      <c r="I27" s="14"/>
      <c r="J27" s="14"/>
      <c r="K27" s="14"/>
      <c r="L27" s="14"/>
      <c r="M27" s="14"/>
      <c r="N27" s="14"/>
      <c r="O27" s="14"/>
      <c r="P27" s="14"/>
      <c r="Q27" s="14"/>
      <c r="R27" s="14"/>
      <c r="S27" s="14"/>
      <c r="T27" s="14"/>
      <c r="U27" s="14"/>
      <c r="V27" s="14"/>
      <c r="W27" s="14"/>
      <c r="X27" s="14"/>
      <c r="Y27" s="14"/>
    </row>
    <row r="28" spans="2:25" x14ac:dyDescent="0.25">
      <c r="C28" s="14"/>
      <c r="D28" s="14"/>
      <c r="E28" s="14"/>
      <c r="F28" s="14"/>
      <c r="G28" s="14"/>
      <c r="H28" s="14"/>
      <c r="I28" s="14"/>
      <c r="J28" s="14"/>
      <c r="K28" s="14"/>
      <c r="L28" s="14"/>
      <c r="M28" s="14"/>
      <c r="N28" s="14"/>
      <c r="O28" s="14"/>
      <c r="P28" s="14"/>
      <c r="Q28" s="14"/>
      <c r="R28" s="14"/>
      <c r="S28" s="14"/>
      <c r="T28" s="14"/>
      <c r="U28" s="14"/>
      <c r="V28" s="14"/>
      <c r="W28" s="14"/>
      <c r="X28" s="14"/>
      <c r="Y28" s="14"/>
    </row>
    <row r="29" spans="2:25" x14ac:dyDescent="0.25">
      <c r="C29" s="14"/>
      <c r="D29" s="14"/>
      <c r="E29" s="14"/>
      <c r="F29" s="14"/>
      <c r="G29" s="14"/>
      <c r="H29" s="14"/>
      <c r="I29" s="14"/>
      <c r="J29" s="14"/>
      <c r="K29" s="14"/>
      <c r="L29" s="14"/>
      <c r="M29" s="14"/>
      <c r="N29" s="14"/>
      <c r="O29" s="14"/>
      <c r="P29" s="14"/>
      <c r="Q29" s="14"/>
      <c r="R29" s="14"/>
      <c r="S29" s="14"/>
      <c r="T29" s="14"/>
      <c r="U29" s="14"/>
      <c r="V29" s="14"/>
      <c r="W29" s="14"/>
      <c r="X29" s="14"/>
      <c r="Y29" s="14"/>
    </row>
    <row r="30" spans="2:25" x14ac:dyDescent="0.25">
      <c r="C30" s="14"/>
      <c r="D30" s="14"/>
      <c r="E30" s="14"/>
      <c r="F30" s="14"/>
      <c r="G30" s="14"/>
      <c r="H30" s="14"/>
      <c r="I30" s="14"/>
      <c r="J30" s="14"/>
      <c r="K30" s="14"/>
      <c r="L30" s="14"/>
      <c r="M30" s="14"/>
      <c r="N30" s="14"/>
      <c r="O30" s="14"/>
      <c r="P30" s="14"/>
      <c r="Q30" s="14"/>
      <c r="R30" s="14"/>
      <c r="S30" s="14"/>
      <c r="T30" s="14"/>
      <c r="U30" s="14"/>
      <c r="V30" s="14"/>
      <c r="W30" s="14"/>
      <c r="X30" s="14"/>
      <c r="Y30" s="14"/>
    </row>
    <row r="31" spans="2:25" x14ac:dyDescent="0.25">
      <c r="C31" s="14"/>
      <c r="D31" s="14"/>
      <c r="E31" s="14"/>
      <c r="F31" s="14"/>
      <c r="G31" s="14"/>
      <c r="H31" s="14"/>
      <c r="I31" s="14"/>
      <c r="J31" s="14"/>
      <c r="K31" s="14"/>
      <c r="L31" s="14"/>
      <c r="M31" s="14"/>
      <c r="N31" s="14"/>
      <c r="O31" s="14"/>
      <c r="P31" s="14"/>
      <c r="Q31" s="14"/>
      <c r="R31" s="14"/>
      <c r="S31" s="14"/>
      <c r="T31" s="14"/>
      <c r="U31" s="14"/>
      <c r="V31" s="14"/>
      <c r="W31" s="14"/>
      <c r="X31" s="14"/>
      <c r="Y31" s="14"/>
    </row>
    <row r="32" spans="2:25" x14ac:dyDescent="0.25">
      <c r="C32" s="14"/>
      <c r="D32" s="14"/>
      <c r="E32" s="14"/>
      <c r="F32" s="14"/>
      <c r="G32" s="14"/>
      <c r="H32" s="14"/>
      <c r="I32" s="14"/>
      <c r="J32" s="14"/>
      <c r="K32" s="14"/>
      <c r="L32" s="14"/>
      <c r="M32" s="14"/>
      <c r="N32" s="14"/>
      <c r="O32" s="14"/>
      <c r="P32" s="14"/>
      <c r="Q32" s="14"/>
      <c r="R32" s="14"/>
      <c r="S32" s="14"/>
      <c r="T32" s="14"/>
      <c r="U32" s="14"/>
      <c r="V32" s="14"/>
      <c r="W32" s="14"/>
      <c r="X32" s="14"/>
      <c r="Y32" s="14"/>
    </row>
    <row r="33" spans="3:25" x14ac:dyDescent="0.25">
      <c r="C33" s="14"/>
      <c r="D33" s="14"/>
      <c r="E33" s="14"/>
      <c r="F33" s="14"/>
      <c r="G33" s="14"/>
      <c r="H33" s="14"/>
      <c r="I33" s="14"/>
      <c r="J33" s="14"/>
      <c r="K33" s="14"/>
      <c r="L33" s="14"/>
      <c r="M33" s="14"/>
      <c r="N33" s="14"/>
      <c r="O33" s="14"/>
      <c r="P33" s="14"/>
      <c r="Q33" s="14"/>
      <c r="R33" s="14"/>
      <c r="S33" s="14"/>
      <c r="T33" s="14"/>
      <c r="U33" s="14"/>
      <c r="V33" s="14"/>
      <c r="W33" s="14"/>
      <c r="X33" s="14"/>
      <c r="Y33" s="14"/>
    </row>
    <row r="34" spans="3:25" x14ac:dyDescent="0.25">
      <c r="C34" s="14"/>
      <c r="D34" s="14"/>
      <c r="E34" s="14"/>
      <c r="F34" s="14"/>
      <c r="G34" s="14"/>
      <c r="H34" s="14"/>
      <c r="I34" s="14"/>
      <c r="J34" s="14"/>
      <c r="K34" s="14"/>
      <c r="L34" s="14"/>
      <c r="M34" s="14"/>
      <c r="N34" s="14"/>
      <c r="O34" s="14"/>
      <c r="P34" s="14"/>
      <c r="Q34" s="14"/>
      <c r="R34" s="14"/>
      <c r="S34" s="14"/>
      <c r="T34" s="14"/>
      <c r="U34" s="14"/>
      <c r="V34" s="14"/>
      <c r="W34" s="14"/>
      <c r="X34" s="14"/>
      <c r="Y34" s="14"/>
    </row>
    <row r="35" spans="3:25" x14ac:dyDescent="0.25">
      <c r="C35" s="14"/>
      <c r="D35" s="14"/>
      <c r="E35" s="14"/>
      <c r="F35" s="14"/>
      <c r="G35" s="14"/>
      <c r="H35" s="14"/>
      <c r="I35" s="14"/>
      <c r="J35" s="14"/>
      <c r="K35" s="14"/>
      <c r="L35" s="14"/>
      <c r="M35" s="14"/>
      <c r="N35" s="14"/>
      <c r="O35" s="14"/>
      <c r="P35" s="14"/>
      <c r="Q35" s="14"/>
      <c r="R35" s="14"/>
      <c r="S35" s="14"/>
      <c r="T35" s="14"/>
      <c r="U35" s="14"/>
      <c r="V35" s="14"/>
      <c r="W35" s="14"/>
      <c r="X35" s="14"/>
      <c r="Y35" s="14"/>
    </row>
    <row r="36" spans="3:25" x14ac:dyDescent="0.25">
      <c r="C36" s="14"/>
      <c r="D36" s="14"/>
      <c r="E36" s="14"/>
      <c r="F36" s="14"/>
      <c r="G36" s="14"/>
      <c r="H36" s="14"/>
      <c r="I36" s="14"/>
      <c r="J36" s="14"/>
      <c r="K36" s="14"/>
      <c r="L36" s="14"/>
      <c r="M36" s="14"/>
      <c r="N36" s="14"/>
      <c r="O36" s="14"/>
      <c r="P36" s="14"/>
      <c r="Q36" s="14"/>
      <c r="R36" s="14"/>
      <c r="S36" s="14"/>
      <c r="T36" s="14"/>
      <c r="U36" s="14"/>
      <c r="V36" s="14"/>
      <c r="W36" s="14"/>
      <c r="X36" s="14"/>
      <c r="Y36" s="14"/>
    </row>
    <row r="37" spans="3:25" x14ac:dyDescent="0.25">
      <c r="C37" s="14"/>
      <c r="D37" s="14"/>
      <c r="E37" s="14"/>
      <c r="F37" s="14"/>
      <c r="G37" s="14"/>
      <c r="H37" s="14"/>
      <c r="I37" s="14"/>
      <c r="J37" s="14"/>
      <c r="K37" s="14"/>
      <c r="L37" s="14"/>
      <c r="M37" s="14"/>
      <c r="N37" s="14"/>
      <c r="O37" s="14"/>
      <c r="P37" s="14"/>
      <c r="Q37" s="14"/>
      <c r="R37" s="14"/>
      <c r="S37" s="14"/>
      <c r="T37" s="14"/>
      <c r="U37" s="14"/>
      <c r="V37" s="14"/>
      <c r="W37" s="14"/>
      <c r="X37" s="14"/>
      <c r="Y37" s="14"/>
    </row>
    <row r="38" spans="3:25" x14ac:dyDescent="0.25">
      <c r="C38" s="14"/>
      <c r="D38" s="14"/>
      <c r="E38" s="14"/>
      <c r="F38" s="14"/>
      <c r="G38" s="14"/>
      <c r="H38" s="14"/>
      <c r="I38" s="14"/>
      <c r="J38" s="14"/>
      <c r="K38" s="14"/>
      <c r="L38" s="14"/>
      <c r="M38" s="14"/>
      <c r="N38" s="14"/>
      <c r="O38" s="14"/>
      <c r="P38" s="14"/>
      <c r="Q38" s="14"/>
      <c r="R38" s="14"/>
      <c r="S38" s="14"/>
      <c r="T38" s="14"/>
      <c r="U38" s="14"/>
      <c r="V38" s="14"/>
      <c r="W38" s="14"/>
      <c r="X38" s="14"/>
      <c r="Y3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D0BC-5C87-45AC-A592-23049A818545}">
  <dimension ref="A1:O1939"/>
  <sheetViews>
    <sheetView workbookViewId="0"/>
  </sheetViews>
  <sheetFormatPr defaultRowHeight="15" x14ac:dyDescent="0.25"/>
  <cols>
    <col min="1" max="1" width="11.28515625" style="8" customWidth="1"/>
    <col min="2" max="2" width="16.5703125" style="9" bestFit="1" customWidth="1"/>
    <col min="3" max="3" width="19.85546875" style="9" bestFit="1" customWidth="1"/>
    <col min="4" max="4" width="15.85546875" style="9" bestFit="1" customWidth="1"/>
    <col min="5" max="5" width="14.7109375" style="9" bestFit="1" customWidth="1"/>
    <col min="6" max="6" width="25.28515625" style="9" bestFit="1" customWidth="1"/>
    <col min="7" max="7" width="27.28515625" style="9" bestFit="1" customWidth="1"/>
    <col min="8" max="8" width="17" style="9" bestFit="1" customWidth="1"/>
    <col min="9" max="9" width="12" style="8" bestFit="1" customWidth="1"/>
    <col min="10" max="10" width="13.42578125" style="10" bestFit="1" customWidth="1"/>
    <col min="11" max="11" width="13.28515625" style="10" bestFit="1" customWidth="1"/>
    <col min="12" max="12" width="14" style="10" bestFit="1" customWidth="1"/>
    <col min="13" max="13" width="13.140625" style="10" bestFit="1" customWidth="1"/>
    <col min="14" max="14" width="21.85546875" style="8" bestFit="1" customWidth="1"/>
    <col min="15" max="15" width="15.5703125" style="6" bestFit="1" customWidth="1"/>
  </cols>
  <sheetData>
    <row r="1" spans="1:15" x14ac:dyDescent="0.25">
      <c r="A1" s="8" t="s">
        <v>68</v>
      </c>
      <c r="B1" s="9" t="s">
        <v>62</v>
      </c>
      <c r="C1" s="9" t="s">
        <v>63</v>
      </c>
      <c r="D1" s="9" t="s">
        <v>64</v>
      </c>
      <c r="E1" s="9" t="s">
        <v>65</v>
      </c>
      <c r="F1" s="9" t="s">
        <v>89</v>
      </c>
      <c r="G1" s="9" t="s">
        <v>66</v>
      </c>
      <c r="H1" s="9" t="s">
        <v>67</v>
      </c>
      <c r="I1" s="8" t="s">
        <v>69</v>
      </c>
      <c r="J1" s="10" t="s">
        <v>70</v>
      </c>
      <c r="K1" s="10" t="s">
        <v>71</v>
      </c>
      <c r="L1" s="10" t="s">
        <v>72</v>
      </c>
      <c r="M1" s="10" t="s">
        <v>73</v>
      </c>
      <c r="N1" s="8" t="s">
        <v>74</v>
      </c>
      <c r="O1" s="6" t="s">
        <v>75</v>
      </c>
    </row>
    <row r="2" spans="1:15" x14ac:dyDescent="0.25">
      <c r="A2" s="8">
        <v>93810</v>
      </c>
      <c r="B2" s="9" t="s">
        <v>0</v>
      </c>
      <c r="C2" s="9" t="s">
        <v>1</v>
      </c>
      <c r="D2" s="9" t="s">
        <v>2</v>
      </c>
      <c r="E2" s="9" t="s">
        <v>3</v>
      </c>
      <c r="F2" s="9" t="str">
        <f>IF(OR(
E2="Failed Delivery",
E2="Cancelled",
E2="Pending",
E2="Rescheduled",
E2="In Transit"
),"Not Delivered","Delivered")</f>
        <v>Not Delivered</v>
      </c>
      <c r="G2" s="9" t="b">
        <v>1</v>
      </c>
      <c r="H2" s="9" t="s">
        <v>4</v>
      </c>
      <c r="I2" s="8">
        <v>2824</v>
      </c>
      <c r="J2" s="10">
        <v>191.27</v>
      </c>
      <c r="K2" s="10">
        <v>45.63</v>
      </c>
      <c r="L2" s="10">
        <v>86.82</v>
      </c>
      <c r="M2" s="10">
        <v>323.72000000000003</v>
      </c>
      <c r="N2" s="8">
        <v>11</v>
      </c>
      <c r="O2" s="6">
        <v>3.2</v>
      </c>
    </row>
    <row r="3" spans="1:15" x14ac:dyDescent="0.25">
      <c r="A3" s="8">
        <v>13278</v>
      </c>
      <c r="B3" s="9" t="s">
        <v>5</v>
      </c>
      <c r="C3" s="9" t="s">
        <v>6</v>
      </c>
      <c r="D3" s="9" t="s">
        <v>7</v>
      </c>
      <c r="E3" s="9" t="s">
        <v>8</v>
      </c>
      <c r="F3" s="9" t="str">
        <f t="shared" ref="F3:F66" si="0">IF(OR(
E3="Failed Delivery",
E3="Cancelled",
E3="Pending",
E3="Rescheduled",
E3="In Transit"
),"Not Delivered","Delivered")</f>
        <v>Not Delivered</v>
      </c>
      <c r="G3" s="9" t="b">
        <v>1</v>
      </c>
      <c r="H3" s="9" t="s">
        <v>9</v>
      </c>
      <c r="I3" s="8">
        <v>5506</v>
      </c>
      <c r="J3" s="10">
        <v>702.87</v>
      </c>
      <c r="K3" s="10">
        <v>52.65</v>
      </c>
      <c r="L3" s="10">
        <v>183.07</v>
      </c>
      <c r="M3" s="10">
        <v>938.59</v>
      </c>
      <c r="N3" s="8">
        <v>10</v>
      </c>
      <c r="O3" s="6">
        <v>4.5</v>
      </c>
    </row>
    <row r="4" spans="1:15" x14ac:dyDescent="0.25">
      <c r="A4" s="8">
        <v>42098</v>
      </c>
      <c r="B4" s="9" t="s">
        <v>10</v>
      </c>
      <c r="C4" s="9" t="s">
        <v>11</v>
      </c>
      <c r="D4" s="9" t="s">
        <v>12</v>
      </c>
      <c r="E4" s="9" t="s">
        <v>13</v>
      </c>
      <c r="F4" s="9" t="str">
        <f t="shared" si="0"/>
        <v>Delivered</v>
      </c>
      <c r="G4" s="9" t="b">
        <v>0</v>
      </c>
      <c r="H4" s="9" t="s">
        <v>14</v>
      </c>
      <c r="I4" s="8">
        <v>4657</v>
      </c>
      <c r="J4" s="10">
        <v>395.41</v>
      </c>
      <c r="K4" s="10">
        <v>96.79</v>
      </c>
      <c r="L4" s="10">
        <v>0</v>
      </c>
      <c r="M4" s="10">
        <v>492.2</v>
      </c>
      <c r="N4" s="8">
        <v>2</v>
      </c>
    </row>
    <row r="5" spans="1:15" x14ac:dyDescent="0.25">
      <c r="A5" s="8">
        <v>28289</v>
      </c>
      <c r="B5" s="9" t="s">
        <v>10</v>
      </c>
      <c r="C5" s="9" t="s">
        <v>15</v>
      </c>
      <c r="D5" s="9" t="s">
        <v>16</v>
      </c>
      <c r="E5" s="9" t="s">
        <v>13</v>
      </c>
      <c r="F5" s="9" t="str">
        <f t="shared" si="0"/>
        <v>Delivered</v>
      </c>
      <c r="G5" s="9" t="b">
        <v>0</v>
      </c>
      <c r="H5" s="9" t="s">
        <v>18</v>
      </c>
      <c r="I5" s="8">
        <v>2679</v>
      </c>
      <c r="J5" s="10">
        <v>602.59</v>
      </c>
      <c r="K5" s="10">
        <v>0</v>
      </c>
      <c r="L5" s="10">
        <v>0</v>
      </c>
      <c r="M5" s="10">
        <v>602.59</v>
      </c>
      <c r="N5" s="8">
        <v>9</v>
      </c>
    </row>
    <row r="6" spans="1:15" x14ac:dyDescent="0.25">
      <c r="A6" s="8">
        <v>98696</v>
      </c>
      <c r="B6" s="9" t="s">
        <v>10</v>
      </c>
      <c r="C6" s="9" t="s">
        <v>15</v>
      </c>
      <c r="D6" s="9" t="s">
        <v>19</v>
      </c>
      <c r="E6" s="9" t="s">
        <v>17</v>
      </c>
      <c r="F6" s="9" t="str">
        <f t="shared" si="0"/>
        <v>Not Delivered</v>
      </c>
      <c r="G6" s="9" t="b">
        <v>1</v>
      </c>
      <c r="H6" s="9" t="s">
        <v>9</v>
      </c>
      <c r="I6" s="8">
        <v>9935</v>
      </c>
      <c r="J6" s="10">
        <v>1782.36</v>
      </c>
      <c r="K6" s="10">
        <v>69.23</v>
      </c>
      <c r="L6" s="10">
        <v>41.53</v>
      </c>
      <c r="M6" s="10">
        <v>1893.12</v>
      </c>
      <c r="N6" s="8">
        <v>13</v>
      </c>
      <c r="O6" s="6">
        <v>1.3</v>
      </c>
    </row>
    <row r="7" spans="1:15" x14ac:dyDescent="0.25">
      <c r="A7" s="8">
        <v>21395</v>
      </c>
      <c r="B7" s="9" t="s">
        <v>10</v>
      </c>
      <c r="C7" s="9" t="s">
        <v>20</v>
      </c>
      <c r="D7" s="9" t="s">
        <v>7</v>
      </c>
      <c r="E7" s="9" t="s">
        <v>21</v>
      </c>
      <c r="F7" s="9" t="str">
        <f t="shared" si="0"/>
        <v>Not Delivered</v>
      </c>
      <c r="G7" s="9" t="b">
        <v>1</v>
      </c>
      <c r="H7" s="9" t="s">
        <v>22</v>
      </c>
      <c r="I7" s="8">
        <v>7912</v>
      </c>
      <c r="J7" s="10">
        <v>1307.8</v>
      </c>
      <c r="L7" s="10">
        <v>170.18</v>
      </c>
      <c r="M7" s="10">
        <v>1565</v>
      </c>
      <c r="N7" s="8">
        <v>11</v>
      </c>
      <c r="O7" s="6">
        <v>3.4</v>
      </c>
    </row>
    <row r="8" spans="1:15" x14ac:dyDescent="0.25">
      <c r="A8" s="8">
        <v>14165</v>
      </c>
      <c r="B8" s="9" t="s">
        <v>23</v>
      </c>
      <c r="C8" s="9" t="s">
        <v>24</v>
      </c>
      <c r="D8" s="9" t="s">
        <v>25</v>
      </c>
      <c r="E8" s="9" t="s">
        <v>13</v>
      </c>
      <c r="F8" s="9" t="str">
        <f t="shared" si="0"/>
        <v>Delivered</v>
      </c>
      <c r="G8" s="9" t="b">
        <v>1</v>
      </c>
      <c r="H8" s="9" t="s">
        <v>9</v>
      </c>
      <c r="I8" s="8">
        <v>1488</v>
      </c>
      <c r="J8" s="10">
        <v>1467.44</v>
      </c>
      <c r="K8" s="10">
        <v>0</v>
      </c>
      <c r="L8" s="10">
        <v>184.29</v>
      </c>
      <c r="M8" s="10">
        <v>1651.73</v>
      </c>
      <c r="N8" s="8">
        <v>13</v>
      </c>
    </row>
    <row r="9" spans="1:15" x14ac:dyDescent="0.25">
      <c r="A9" s="8">
        <v>22280</v>
      </c>
      <c r="B9" s="9" t="s">
        <v>10</v>
      </c>
      <c r="C9" s="9" t="s">
        <v>26</v>
      </c>
      <c r="D9" s="9" t="s">
        <v>27</v>
      </c>
      <c r="E9" s="9" t="s">
        <v>3</v>
      </c>
      <c r="F9" s="9" t="str">
        <f t="shared" si="0"/>
        <v>Not Delivered</v>
      </c>
      <c r="G9" s="9" t="b">
        <v>0</v>
      </c>
      <c r="H9" s="9" t="s">
        <v>28</v>
      </c>
      <c r="I9" s="8">
        <v>4582</v>
      </c>
      <c r="J9" s="10">
        <v>500.87</v>
      </c>
      <c r="K9" s="10">
        <v>137.63999999999999</v>
      </c>
      <c r="L9" s="10">
        <v>0</v>
      </c>
      <c r="M9" s="10">
        <v>638.51</v>
      </c>
      <c r="N9" s="8">
        <v>4</v>
      </c>
      <c r="O9" s="6">
        <v>2.6</v>
      </c>
    </row>
    <row r="10" spans="1:15" x14ac:dyDescent="0.25">
      <c r="A10" s="8">
        <v>40495</v>
      </c>
      <c r="B10" s="9" t="s">
        <v>10</v>
      </c>
      <c r="C10" s="9" t="s">
        <v>29</v>
      </c>
      <c r="D10" s="9" t="s">
        <v>7</v>
      </c>
      <c r="E10" s="9" t="s">
        <v>21</v>
      </c>
      <c r="F10" s="9" t="str">
        <f t="shared" si="0"/>
        <v>Not Delivered</v>
      </c>
      <c r="G10" s="9" t="b">
        <v>0</v>
      </c>
      <c r="H10" s="9" t="s">
        <v>9</v>
      </c>
      <c r="I10" s="8">
        <v>9279</v>
      </c>
      <c r="J10" s="10">
        <v>568.59</v>
      </c>
      <c r="K10" s="10">
        <v>76.27</v>
      </c>
      <c r="L10" s="10">
        <v>0</v>
      </c>
      <c r="M10" s="10">
        <v>644.86</v>
      </c>
      <c r="N10" s="8">
        <v>10</v>
      </c>
      <c r="O10" s="6">
        <v>1.9</v>
      </c>
    </row>
    <row r="11" spans="1:15" x14ac:dyDescent="0.25">
      <c r="A11" s="8">
        <v>88907</v>
      </c>
      <c r="B11" s="9" t="s">
        <v>5</v>
      </c>
      <c r="C11" s="9" t="s">
        <v>6</v>
      </c>
      <c r="D11" s="9" t="s">
        <v>30</v>
      </c>
      <c r="E11" s="9" t="s">
        <v>13</v>
      </c>
      <c r="F11" s="9" t="str">
        <f t="shared" si="0"/>
        <v>Delivered</v>
      </c>
      <c r="G11" s="9" t="b">
        <v>1</v>
      </c>
      <c r="H11" s="9" t="s">
        <v>18</v>
      </c>
      <c r="I11" s="8">
        <v>1434</v>
      </c>
      <c r="J11" s="10">
        <v>2180.54</v>
      </c>
      <c r="K11" s="10">
        <v>0</v>
      </c>
      <c r="L11" s="10">
        <v>239.46</v>
      </c>
      <c r="M11" s="10">
        <v>2420</v>
      </c>
      <c r="N11" s="8">
        <v>7</v>
      </c>
      <c r="O11" s="6">
        <v>5</v>
      </c>
    </row>
    <row r="12" spans="1:15" x14ac:dyDescent="0.25">
      <c r="A12" s="8">
        <v>83563</v>
      </c>
      <c r="B12" s="9" t="s">
        <v>5</v>
      </c>
      <c r="C12" s="9" t="s">
        <v>31</v>
      </c>
      <c r="D12" s="9" t="s">
        <v>16</v>
      </c>
      <c r="E12" s="9" t="s">
        <v>32</v>
      </c>
      <c r="F12" s="9" t="str">
        <f t="shared" si="0"/>
        <v>Not Delivered</v>
      </c>
      <c r="G12" s="9" t="b">
        <v>0</v>
      </c>
      <c r="H12" s="9" t="s">
        <v>9</v>
      </c>
      <c r="I12" s="8">
        <v>4257</v>
      </c>
      <c r="J12" s="10">
        <v>1857.66</v>
      </c>
      <c r="K12" s="10">
        <v>103.7</v>
      </c>
      <c r="L12" s="10">
        <v>0</v>
      </c>
      <c r="M12" s="10">
        <v>1961.36</v>
      </c>
      <c r="N12" s="8">
        <v>13</v>
      </c>
      <c r="O12" s="6">
        <v>1.4</v>
      </c>
    </row>
    <row r="13" spans="1:15" x14ac:dyDescent="0.25">
      <c r="A13" s="8">
        <v>95181</v>
      </c>
      <c r="B13" s="9" t="s">
        <v>5</v>
      </c>
      <c r="C13" s="9" t="s">
        <v>31</v>
      </c>
      <c r="D13" s="9" t="s">
        <v>19</v>
      </c>
      <c r="E13" s="9" t="s">
        <v>32</v>
      </c>
      <c r="F13" s="9" t="str">
        <f t="shared" si="0"/>
        <v>Not Delivered</v>
      </c>
      <c r="G13" s="9" t="b">
        <v>1</v>
      </c>
      <c r="H13" s="9" t="s">
        <v>33</v>
      </c>
      <c r="I13" s="8">
        <v>9928</v>
      </c>
      <c r="J13" s="10">
        <v>2214.46</v>
      </c>
      <c r="K13" s="10">
        <v>0</v>
      </c>
      <c r="L13" s="10">
        <v>46.76</v>
      </c>
      <c r="M13" s="10">
        <v>2261.2199999999998</v>
      </c>
      <c r="N13" s="8">
        <v>5</v>
      </c>
      <c r="O13" s="6">
        <v>3</v>
      </c>
    </row>
    <row r="14" spans="1:15" x14ac:dyDescent="0.25">
      <c r="A14" s="8">
        <v>64987</v>
      </c>
      <c r="B14" s="9" t="s">
        <v>23</v>
      </c>
      <c r="C14" s="9" t="s">
        <v>34</v>
      </c>
      <c r="D14" s="9" t="s">
        <v>35</v>
      </c>
      <c r="E14" s="9" t="s">
        <v>13</v>
      </c>
      <c r="F14" s="9" t="str">
        <f t="shared" si="0"/>
        <v>Delivered</v>
      </c>
      <c r="G14" s="9" t="b">
        <v>0</v>
      </c>
      <c r="H14" s="9" t="s">
        <v>28</v>
      </c>
      <c r="I14" s="8">
        <v>4611</v>
      </c>
      <c r="J14" s="10">
        <v>2867.47</v>
      </c>
      <c r="K14" s="10">
        <v>141.85</v>
      </c>
      <c r="L14" s="10">
        <v>0</v>
      </c>
      <c r="M14" s="10">
        <v>3009.32</v>
      </c>
      <c r="N14" s="8">
        <v>8</v>
      </c>
    </row>
    <row r="15" spans="1:15" x14ac:dyDescent="0.25">
      <c r="A15" s="8">
        <v>68878</v>
      </c>
      <c r="B15" s="9" t="s">
        <v>5</v>
      </c>
      <c r="C15" s="9" t="s">
        <v>36</v>
      </c>
      <c r="D15" s="9" t="s">
        <v>30</v>
      </c>
      <c r="E15" s="9" t="s">
        <v>32</v>
      </c>
      <c r="F15" s="9" t="str">
        <f t="shared" si="0"/>
        <v>Not Delivered</v>
      </c>
      <c r="G15" s="9" t="b">
        <v>0</v>
      </c>
      <c r="H15" s="9" t="s">
        <v>28</v>
      </c>
      <c r="I15" s="8">
        <v>5557</v>
      </c>
      <c r="J15" s="10">
        <v>2219.42</v>
      </c>
      <c r="K15" s="10">
        <v>58.57</v>
      </c>
      <c r="L15" s="10">
        <v>0</v>
      </c>
      <c r="M15" s="10">
        <v>2277.9899999999998</v>
      </c>
      <c r="N15" s="8">
        <v>14</v>
      </c>
    </row>
    <row r="16" spans="1:15" x14ac:dyDescent="0.25">
      <c r="A16" s="8">
        <v>10851</v>
      </c>
      <c r="B16" s="9" t="s">
        <v>0</v>
      </c>
      <c r="C16" s="9" t="s">
        <v>37</v>
      </c>
      <c r="D16" s="9" t="s">
        <v>38</v>
      </c>
      <c r="E16" s="9" t="s">
        <v>32</v>
      </c>
      <c r="F16" s="9" t="str">
        <f t="shared" si="0"/>
        <v>Not Delivered</v>
      </c>
      <c r="G16" s="9" t="b">
        <v>0</v>
      </c>
      <c r="H16" s="9" t="s">
        <v>22</v>
      </c>
      <c r="I16" s="8">
        <v>3615</v>
      </c>
      <c r="J16" s="10">
        <v>1712.3</v>
      </c>
      <c r="L16" s="10">
        <v>0</v>
      </c>
      <c r="M16" s="10">
        <v>1712.3</v>
      </c>
      <c r="N16" s="8">
        <v>4</v>
      </c>
      <c r="O16" s="6">
        <v>4</v>
      </c>
    </row>
    <row r="17" spans="1:15" x14ac:dyDescent="0.25">
      <c r="A17" s="8">
        <v>65392</v>
      </c>
      <c r="B17" s="9" t="s">
        <v>10</v>
      </c>
      <c r="C17" s="9" t="s">
        <v>20</v>
      </c>
      <c r="D17" s="9" t="s">
        <v>25</v>
      </c>
      <c r="E17" s="9" t="s">
        <v>21</v>
      </c>
      <c r="F17" s="9" t="str">
        <f t="shared" si="0"/>
        <v>Not Delivered</v>
      </c>
      <c r="G17" s="9" t="b">
        <v>0</v>
      </c>
      <c r="H17" s="9" t="s">
        <v>18</v>
      </c>
      <c r="I17" s="8">
        <v>6574</v>
      </c>
      <c r="J17" s="10">
        <v>1990.78</v>
      </c>
      <c r="K17" s="10">
        <v>93.81</v>
      </c>
      <c r="L17" s="10">
        <v>0</v>
      </c>
      <c r="M17" s="10">
        <v>2084.59</v>
      </c>
      <c r="N17" s="8">
        <v>2</v>
      </c>
      <c r="O17" s="6">
        <v>1.3</v>
      </c>
    </row>
    <row r="18" spans="1:15" x14ac:dyDescent="0.25">
      <c r="A18" s="8">
        <v>46421</v>
      </c>
      <c r="B18" s="9" t="s">
        <v>23</v>
      </c>
      <c r="C18" s="9" t="s">
        <v>34</v>
      </c>
      <c r="D18" s="9" t="s">
        <v>19</v>
      </c>
      <c r="E18" s="9" t="s">
        <v>13</v>
      </c>
      <c r="F18" s="9" t="str">
        <f t="shared" si="0"/>
        <v>Delivered</v>
      </c>
      <c r="G18" s="9" t="b">
        <v>1</v>
      </c>
      <c r="H18" s="9" t="s">
        <v>22</v>
      </c>
      <c r="I18" s="8">
        <v>3547</v>
      </c>
      <c r="J18" s="10">
        <v>777.62</v>
      </c>
      <c r="K18" s="10">
        <v>0</v>
      </c>
      <c r="L18" s="10">
        <v>53.37</v>
      </c>
      <c r="M18" s="10">
        <v>830.99</v>
      </c>
      <c r="N18" s="8">
        <v>1</v>
      </c>
      <c r="O18" s="6">
        <v>1.3</v>
      </c>
    </row>
    <row r="19" spans="1:15" x14ac:dyDescent="0.25">
      <c r="A19" s="8">
        <v>38221</v>
      </c>
      <c r="B19" s="9" t="s">
        <v>39</v>
      </c>
      <c r="C19" s="9" t="s">
        <v>40</v>
      </c>
      <c r="D19" s="9" t="s">
        <v>19</v>
      </c>
      <c r="E19" s="9" t="s">
        <v>17</v>
      </c>
      <c r="F19" s="9" t="str">
        <f t="shared" si="0"/>
        <v>Not Delivered</v>
      </c>
      <c r="G19" s="9" t="b">
        <v>0</v>
      </c>
      <c r="H19" s="9" t="s">
        <v>4</v>
      </c>
      <c r="I19" s="8">
        <v>6514</v>
      </c>
      <c r="J19" s="10">
        <v>845.71</v>
      </c>
      <c r="K19" s="10">
        <v>138.24</v>
      </c>
      <c r="L19" s="10">
        <v>0</v>
      </c>
      <c r="M19" s="10">
        <v>983.95</v>
      </c>
      <c r="N19" s="8">
        <v>4</v>
      </c>
      <c r="O19" s="6">
        <v>4.2</v>
      </c>
    </row>
    <row r="20" spans="1:15" x14ac:dyDescent="0.25">
      <c r="A20" s="8">
        <v>23396</v>
      </c>
      <c r="B20" s="9" t="s">
        <v>0</v>
      </c>
      <c r="C20" s="9" t="s">
        <v>37</v>
      </c>
      <c r="D20" s="9" t="s">
        <v>19</v>
      </c>
      <c r="E20" s="9" t="s">
        <v>32</v>
      </c>
      <c r="F20" s="9" t="str">
        <f t="shared" si="0"/>
        <v>Not Delivered</v>
      </c>
      <c r="G20" s="9" t="b">
        <v>1</v>
      </c>
      <c r="H20" s="9" t="s">
        <v>28</v>
      </c>
      <c r="I20" s="8">
        <v>2519</v>
      </c>
      <c r="J20" s="10">
        <v>734.59</v>
      </c>
      <c r="K20" s="10">
        <v>136.38</v>
      </c>
      <c r="L20" s="10">
        <v>26.52</v>
      </c>
      <c r="M20" s="10">
        <v>897.49</v>
      </c>
      <c r="N20" s="8">
        <v>12</v>
      </c>
      <c r="O20" s="6">
        <v>4.4000000000000004</v>
      </c>
    </row>
    <row r="21" spans="1:15" x14ac:dyDescent="0.25">
      <c r="A21" s="8">
        <v>59797</v>
      </c>
      <c r="B21" s="9" t="s">
        <v>41</v>
      </c>
      <c r="C21" s="9" t="s">
        <v>42</v>
      </c>
      <c r="D21" s="9" t="s">
        <v>30</v>
      </c>
      <c r="E21" s="9" t="s">
        <v>17</v>
      </c>
      <c r="F21" s="9" t="str">
        <f t="shared" si="0"/>
        <v>Not Delivered</v>
      </c>
      <c r="G21" s="9" t="b">
        <v>0</v>
      </c>
      <c r="H21" s="9" t="s">
        <v>4</v>
      </c>
      <c r="I21" s="8">
        <v>2584</v>
      </c>
      <c r="J21" s="10">
        <v>608.4</v>
      </c>
      <c r="K21" s="10">
        <v>0</v>
      </c>
      <c r="L21" s="10">
        <v>0</v>
      </c>
      <c r="M21" s="10">
        <v>608.4</v>
      </c>
      <c r="N21" s="8">
        <v>4</v>
      </c>
      <c r="O21" s="6">
        <v>1.3</v>
      </c>
    </row>
    <row r="22" spans="1:15" x14ac:dyDescent="0.25">
      <c r="A22" s="8">
        <v>57052</v>
      </c>
      <c r="B22" s="9" t="s">
        <v>0</v>
      </c>
      <c r="C22" s="9" t="s">
        <v>43</v>
      </c>
      <c r="D22" s="9" t="s">
        <v>25</v>
      </c>
      <c r="E22" s="9" t="s">
        <v>32</v>
      </c>
      <c r="F22" s="9" t="str">
        <f t="shared" si="0"/>
        <v>Not Delivered</v>
      </c>
      <c r="G22" s="9" t="b">
        <v>1</v>
      </c>
      <c r="H22" s="9" t="s">
        <v>9</v>
      </c>
      <c r="I22" s="8">
        <v>6635</v>
      </c>
      <c r="J22" s="10">
        <v>1529.45</v>
      </c>
      <c r="K22" s="10">
        <v>142.63999999999999</v>
      </c>
      <c r="L22" s="10">
        <v>70.319999999999993</v>
      </c>
      <c r="M22" s="10">
        <v>1742.41</v>
      </c>
      <c r="N22" s="8">
        <v>8</v>
      </c>
      <c r="O22" s="6">
        <v>2.6</v>
      </c>
    </row>
    <row r="23" spans="1:15" x14ac:dyDescent="0.25">
      <c r="A23" s="8">
        <v>89131</v>
      </c>
      <c r="B23" s="9" t="s">
        <v>5</v>
      </c>
      <c r="C23" s="9" t="s">
        <v>44</v>
      </c>
      <c r="D23" s="9" t="s">
        <v>30</v>
      </c>
      <c r="E23" s="9" t="s">
        <v>8</v>
      </c>
      <c r="F23" s="9" t="str">
        <f t="shared" si="0"/>
        <v>Not Delivered</v>
      </c>
      <c r="G23" s="9" t="b">
        <v>0</v>
      </c>
      <c r="H23" s="9" t="s">
        <v>22</v>
      </c>
      <c r="I23" s="8">
        <v>5333</v>
      </c>
      <c r="J23" s="10">
        <v>809.97</v>
      </c>
      <c r="K23" s="10">
        <v>95.5</v>
      </c>
      <c r="L23" s="10">
        <v>0</v>
      </c>
      <c r="M23" s="10">
        <v>905.47</v>
      </c>
      <c r="N23" s="8">
        <v>12</v>
      </c>
      <c r="O23" s="6">
        <v>5</v>
      </c>
    </row>
    <row r="24" spans="1:15" x14ac:dyDescent="0.25">
      <c r="A24" s="8">
        <v>15695</v>
      </c>
      <c r="B24" s="9" t="s">
        <v>39</v>
      </c>
      <c r="C24" s="9" t="s">
        <v>40</v>
      </c>
      <c r="D24" s="9" t="s">
        <v>45</v>
      </c>
      <c r="E24" s="9" t="s">
        <v>21</v>
      </c>
      <c r="F24" s="9" t="str">
        <f t="shared" si="0"/>
        <v>Not Delivered</v>
      </c>
      <c r="G24" s="9" t="b">
        <v>1</v>
      </c>
      <c r="H24" s="9" t="s">
        <v>14</v>
      </c>
      <c r="I24" s="8">
        <v>8527</v>
      </c>
      <c r="J24" s="10">
        <v>349.65</v>
      </c>
      <c r="K24" s="10">
        <v>41.33</v>
      </c>
      <c r="L24" s="10">
        <v>43.7</v>
      </c>
      <c r="M24" s="10">
        <v>434.68</v>
      </c>
      <c r="N24" s="8">
        <v>1</v>
      </c>
    </row>
    <row r="25" spans="1:15" x14ac:dyDescent="0.25">
      <c r="A25" s="8">
        <v>80284</v>
      </c>
      <c r="B25" s="9" t="s">
        <v>41</v>
      </c>
      <c r="C25" s="9" t="s">
        <v>46</v>
      </c>
      <c r="D25" s="9" t="s">
        <v>2</v>
      </c>
      <c r="E25" s="9" t="s">
        <v>32</v>
      </c>
      <c r="F25" s="9" t="str">
        <f t="shared" si="0"/>
        <v>Not Delivered</v>
      </c>
      <c r="G25" s="9" t="b">
        <v>1</v>
      </c>
      <c r="H25" s="9" t="s">
        <v>18</v>
      </c>
      <c r="I25" s="8">
        <v>3045</v>
      </c>
      <c r="J25" s="10">
        <v>425.14</v>
      </c>
      <c r="K25" s="10">
        <v>63.09</v>
      </c>
      <c r="L25" s="10">
        <v>39.880000000000003</v>
      </c>
      <c r="M25" s="10">
        <v>528.11</v>
      </c>
      <c r="N25" s="8">
        <v>11</v>
      </c>
      <c r="O25" s="6">
        <v>2.6</v>
      </c>
    </row>
    <row r="26" spans="1:15" x14ac:dyDescent="0.25">
      <c r="A26" s="8">
        <v>59615</v>
      </c>
      <c r="B26" s="9" t="s">
        <v>41</v>
      </c>
      <c r="C26" s="9" t="s">
        <v>47</v>
      </c>
      <c r="D26" s="9" t="s">
        <v>19</v>
      </c>
      <c r="E26" s="9" t="s">
        <v>13</v>
      </c>
      <c r="F26" s="9" t="str">
        <f t="shared" si="0"/>
        <v>Delivered</v>
      </c>
      <c r="G26" s="9" t="b">
        <v>0</v>
      </c>
      <c r="H26" s="9" t="s">
        <v>9</v>
      </c>
      <c r="I26" s="8">
        <v>2291</v>
      </c>
      <c r="J26" s="10">
        <v>1662.64</v>
      </c>
      <c r="K26" s="10">
        <v>108.37</v>
      </c>
      <c r="L26" s="10">
        <v>0</v>
      </c>
      <c r="M26" s="10">
        <v>1771.01</v>
      </c>
      <c r="N26" s="8">
        <v>5</v>
      </c>
      <c r="O26" s="6">
        <v>3.9</v>
      </c>
    </row>
    <row r="27" spans="1:15" x14ac:dyDescent="0.25">
      <c r="A27" s="8">
        <v>82357</v>
      </c>
      <c r="B27" s="9" t="s">
        <v>23</v>
      </c>
      <c r="C27" s="9" t="s">
        <v>48</v>
      </c>
      <c r="D27" s="9" t="s">
        <v>19</v>
      </c>
      <c r="E27" s="9" t="s">
        <v>21</v>
      </c>
      <c r="F27" s="9" t="str">
        <f t="shared" si="0"/>
        <v>Not Delivered</v>
      </c>
      <c r="G27" s="9" t="b">
        <v>1</v>
      </c>
      <c r="H27" s="9" t="s">
        <v>33</v>
      </c>
      <c r="I27" s="8">
        <v>5803</v>
      </c>
      <c r="J27" s="10">
        <v>1989.68</v>
      </c>
      <c r="K27" s="10">
        <v>142.9</v>
      </c>
      <c r="L27" s="10">
        <v>36.46</v>
      </c>
      <c r="M27" s="10">
        <v>2169.04</v>
      </c>
      <c r="N27" s="8">
        <v>10</v>
      </c>
      <c r="O27" s="6">
        <v>1.3</v>
      </c>
    </row>
    <row r="28" spans="1:15" x14ac:dyDescent="0.25">
      <c r="A28" s="8">
        <v>92397</v>
      </c>
      <c r="B28" s="9" t="s">
        <v>23</v>
      </c>
      <c r="C28" s="9" t="s">
        <v>49</v>
      </c>
      <c r="D28" s="9" t="s">
        <v>27</v>
      </c>
      <c r="E28" s="9" t="s">
        <v>21</v>
      </c>
      <c r="F28" s="9" t="str">
        <f t="shared" si="0"/>
        <v>Not Delivered</v>
      </c>
      <c r="G28" s="9" t="b">
        <v>1</v>
      </c>
      <c r="H28" s="9" t="s">
        <v>4</v>
      </c>
      <c r="I28" s="8">
        <v>6925</v>
      </c>
      <c r="J28" s="10">
        <v>2660.46</v>
      </c>
      <c r="K28" s="10">
        <v>86.95</v>
      </c>
      <c r="L28" s="10">
        <v>275.06</v>
      </c>
      <c r="M28" s="10">
        <v>3022.47</v>
      </c>
      <c r="N28" s="8">
        <v>12</v>
      </c>
      <c r="O28" s="6">
        <v>4.9000000000000004</v>
      </c>
    </row>
    <row r="29" spans="1:15" x14ac:dyDescent="0.25">
      <c r="A29" s="8">
        <v>85674</v>
      </c>
      <c r="B29" s="9" t="s">
        <v>0</v>
      </c>
      <c r="C29" s="9" t="s">
        <v>43</v>
      </c>
      <c r="D29" s="9" t="s">
        <v>50</v>
      </c>
      <c r="E29" s="9" t="s">
        <v>21</v>
      </c>
      <c r="F29" s="9" t="str">
        <f t="shared" si="0"/>
        <v>Not Delivered</v>
      </c>
      <c r="G29" s="9" t="b">
        <v>1</v>
      </c>
      <c r="H29" s="9" t="s">
        <v>28</v>
      </c>
      <c r="I29" s="8">
        <v>4150</v>
      </c>
      <c r="J29" s="10">
        <v>643.97</v>
      </c>
      <c r="K29" s="10">
        <v>143.88999999999999</v>
      </c>
      <c r="L29" s="10">
        <v>111.54</v>
      </c>
      <c r="M29" s="10">
        <v>899.4</v>
      </c>
      <c r="N29" s="8">
        <v>2</v>
      </c>
      <c r="O29" s="6">
        <v>1.6</v>
      </c>
    </row>
    <row r="30" spans="1:15" x14ac:dyDescent="0.25">
      <c r="A30" s="8">
        <v>19116</v>
      </c>
      <c r="B30" s="9" t="s">
        <v>0</v>
      </c>
      <c r="C30" s="9" t="s">
        <v>51</v>
      </c>
      <c r="D30" s="9" t="s">
        <v>25</v>
      </c>
      <c r="E30" s="9" t="s">
        <v>17</v>
      </c>
      <c r="F30" s="9" t="str">
        <f t="shared" si="0"/>
        <v>Not Delivered</v>
      </c>
      <c r="G30" s="9" t="b">
        <v>0</v>
      </c>
      <c r="H30" s="9" t="s">
        <v>22</v>
      </c>
      <c r="I30" s="8">
        <v>1750</v>
      </c>
      <c r="J30" s="10">
        <v>485.94</v>
      </c>
      <c r="K30" s="10">
        <v>72.569999999999993</v>
      </c>
      <c r="L30" s="10">
        <v>0</v>
      </c>
      <c r="M30" s="10">
        <v>558.51</v>
      </c>
      <c r="N30" s="8">
        <v>9</v>
      </c>
      <c r="O30" s="6">
        <v>4.5999999999999996</v>
      </c>
    </row>
    <row r="31" spans="1:15" x14ac:dyDescent="0.25">
      <c r="A31" s="8">
        <v>96673</v>
      </c>
      <c r="B31" s="9" t="s">
        <v>39</v>
      </c>
      <c r="C31" s="9" t="s">
        <v>52</v>
      </c>
      <c r="E31" s="9" t="s">
        <v>17</v>
      </c>
      <c r="F31" s="9" t="str">
        <f t="shared" si="0"/>
        <v>Not Delivered</v>
      </c>
      <c r="G31" s="9" t="b">
        <v>1</v>
      </c>
      <c r="H31" s="9" t="s">
        <v>4</v>
      </c>
      <c r="I31" s="8">
        <v>4733</v>
      </c>
      <c r="J31" s="10">
        <v>142.6</v>
      </c>
      <c r="K31" s="10">
        <v>50.02</v>
      </c>
      <c r="L31" s="10">
        <v>116.16</v>
      </c>
      <c r="M31" s="10">
        <v>308.77999999999997</v>
      </c>
      <c r="N31" s="8">
        <v>8</v>
      </c>
      <c r="O31" s="6">
        <v>2.7</v>
      </c>
    </row>
    <row r="32" spans="1:15" x14ac:dyDescent="0.25">
      <c r="A32" s="8">
        <v>47930</v>
      </c>
      <c r="B32" s="9" t="s">
        <v>0</v>
      </c>
      <c r="C32" s="9" t="s">
        <v>53</v>
      </c>
      <c r="D32" s="9" t="s">
        <v>25</v>
      </c>
      <c r="E32" s="9" t="s">
        <v>13</v>
      </c>
      <c r="F32" s="9" t="str">
        <f t="shared" si="0"/>
        <v>Delivered</v>
      </c>
      <c r="G32" s="9" t="b">
        <v>1</v>
      </c>
      <c r="H32" s="9" t="s">
        <v>28</v>
      </c>
      <c r="I32" s="8">
        <v>2307</v>
      </c>
      <c r="J32" s="10">
        <v>1050.22</v>
      </c>
      <c r="K32" s="10">
        <v>108.25</v>
      </c>
      <c r="L32" s="10">
        <v>169.12</v>
      </c>
      <c r="M32" s="10">
        <v>1327.59</v>
      </c>
      <c r="N32" s="8">
        <v>5</v>
      </c>
      <c r="O32" s="6">
        <v>4.7</v>
      </c>
    </row>
    <row r="33" spans="1:15" x14ac:dyDescent="0.25">
      <c r="A33" s="8">
        <v>40512</v>
      </c>
      <c r="B33" s="9" t="s">
        <v>0</v>
      </c>
      <c r="C33" s="9" t="s">
        <v>53</v>
      </c>
      <c r="D33" s="9" t="s">
        <v>19</v>
      </c>
      <c r="E33" s="9" t="s">
        <v>32</v>
      </c>
      <c r="F33" s="9" t="str">
        <f t="shared" si="0"/>
        <v>Not Delivered</v>
      </c>
      <c r="G33" s="9" t="b">
        <v>0</v>
      </c>
      <c r="H33" s="9" t="s">
        <v>14</v>
      </c>
      <c r="I33" s="8">
        <v>2654</v>
      </c>
      <c r="J33" s="10">
        <v>1250.44</v>
      </c>
      <c r="K33" s="10">
        <v>105.99</v>
      </c>
      <c r="L33" s="10">
        <v>0</v>
      </c>
      <c r="M33" s="10">
        <v>1356.43</v>
      </c>
      <c r="N33" s="8">
        <v>10</v>
      </c>
      <c r="O33" s="6">
        <v>4.7</v>
      </c>
    </row>
    <row r="34" spans="1:15" x14ac:dyDescent="0.25">
      <c r="A34" s="8">
        <v>59823</v>
      </c>
      <c r="B34" s="9" t="s">
        <v>23</v>
      </c>
      <c r="C34" s="9" t="s">
        <v>54</v>
      </c>
      <c r="D34" s="9" t="s">
        <v>38</v>
      </c>
      <c r="E34" s="9" t="s">
        <v>32</v>
      </c>
      <c r="F34" s="9" t="str">
        <f t="shared" si="0"/>
        <v>Not Delivered</v>
      </c>
      <c r="G34" s="9" t="b">
        <v>0</v>
      </c>
      <c r="H34" s="9" t="s">
        <v>33</v>
      </c>
      <c r="I34" s="8">
        <v>5554</v>
      </c>
      <c r="J34" s="10">
        <v>220.64</v>
      </c>
      <c r="K34" s="10">
        <v>80.239999999999995</v>
      </c>
      <c r="L34" s="10">
        <v>0</v>
      </c>
      <c r="M34" s="10">
        <v>300.88</v>
      </c>
      <c r="N34" s="8">
        <v>13</v>
      </c>
      <c r="O34" s="6">
        <v>4.2</v>
      </c>
    </row>
    <row r="35" spans="1:15" x14ac:dyDescent="0.25">
      <c r="A35" s="8">
        <v>69429</v>
      </c>
      <c r="B35" s="9" t="s">
        <v>23</v>
      </c>
      <c r="C35" s="9" t="s">
        <v>48</v>
      </c>
      <c r="D35" s="9" t="s">
        <v>35</v>
      </c>
      <c r="E35" s="9" t="s">
        <v>13</v>
      </c>
      <c r="F35" s="9" t="str">
        <f t="shared" si="0"/>
        <v>Delivered</v>
      </c>
      <c r="G35" s="9" t="b">
        <v>0</v>
      </c>
      <c r="H35" s="9" t="s">
        <v>14</v>
      </c>
      <c r="I35" s="8">
        <v>6977</v>
      </c>
      <c r="J35" s="10">
        <v>458.07</v>
      </c>
      <c r="K35" s="10">
        <v>90.41</v>
      </c>
      <c r="L35" s="10">
        <v>0</v>
      </c>
      <c r="M35" s="10">
        <v>548.48</v>
      </c>
      <c r="N35" s="8">
        <v>4</v>
      </c>
      <c r="O35" s="6">
        <v>4.7</v>
      </c>
    </row>
    <row r="36" spans="1:15" x14ac:dyDescent="0.25">
      <c r="A36" s="8">
        <v>31319</v>
      </c>
      <c r="B36" s="9" t="s">
        <v>23</v>
      </c>
      <c r="C36" s="9" t="s">
        <v>24</v>
      </c>
      <c r="D36" s="9" t="s">
        <v>50</v>
      </c>
      <c r="E36" s="9" t="s">
        <v>13</v>
      </c>
      <c r="F36" s="9" t="str">
        <f t="shared" si="0"/>
        <v>Delivered</v>
      </c>
      <c r="G36" s="9" t="b">
        <v>0</v>
      </c>
      <c r="H36" s="9" t="s">
        <v>22</v>
      </c>
      <c r="I36" s="8">
        <v>7065</v>
      </c>
      <c r="J36" s="10">
        <v>217.44</v>
      </c>
      <c r="K36" s="10">
        <v>39.479999999999997</v>
      </c>
      <c r="L36" s="10">
        <v>0</v>
      </c>
      <c r="M36" s="10">
        <v>256.92</v>
      </c>
      <c r="N36" s="8">
        <v>5</v>
      </c>
      <c r="O36" s="6">
        <v>4.9000000000000004</v>
      </c>
    </row>
    <row r="37" spans="1:15" x14ac:dyDescent="0.25">
      <c r="A37" s="8">
        <v>56566</v>
      </c>
      <c r="B37" s="9" t="s">
        <v>41</v>
      </c>
      <c r="C37" s="9" t="s">
        <v>42</v>
      </c>
      <c r="D37" s="9" t="s">
        <v>50</v>
      </c>
      <c r="E37" s="9" t="s">
        <v>17</v>
      </c>
      <c r="F37" s="9" t="str">
        <f t="shared" si="0"/>
        <v>Not Delivered</v>
      </c>
      <c r="G37" s="9" t="b">
        <v>1</v>
      </c>
      <c r="H37" s="9" t="s">
        <v>4</v>
      </c>
      <c r="I37" s="8">
        <v>4432</v>
      </c>
      <c r="J37" s="10">
        <v>1794.94</v>
      </c>
      <c r="K37" s="10">
        <v>83.11</v>
      </c>
      <c r="L37" s="10">
        <v>46.93</v>
      </c>
      <c r="M37" s="10">
        <v>1924.98</v>
      </c>
      <c r="N37" s="8">
        <v>5</v>
      </c>
      <c r="O37" s="6">
        <v>4.9000000000000004</v>
      </c>
    </row>
    <row r="38" spans="1:15" x14ac:dyDescent="0.25">
      <c r="A38" s="8">
        <v>97841</v>
      </c>
      <c r="B38" s="9" t="s">
        <v>41</v>
      </c>
      <c r="C38" s="9" t="s">
        <v>42</v>
      </c>
      <c r="D38" s="9" t="s">
        <v>25</v>
      </c>
      <c r="E38" s="9" t="s">
        <v>21</v>
      </c>
      <c r="F38" s="9" t="str">
        <f t="shared" si="0"/>
        <v>Not Delivered</v>
      </c>
      <c r="G38" s="9" t="b">
        <v>1</v>
      </c>
      <c r="H38" s="9" t="s">
        <v>14</v>
      </c>
      <c r="I38" s="8">
        <v>5374</v>
      </c>
      <c r="J38" s="10">
        <v>1060.51</v>
      </c>
      <c r="K38" s="10">
        <v>93.64</v>
      </c>
      <c r="L38" s="10">
        <v>284.93</v>
      </c>
      <c r="M38" s="10">
        <v>1439.08</v>
      </c>
      <c r="N38" s="8">
        <v>4</v>
      </c>
      <c r="O38" s="6">
        <v>3.8</v>
      </c>
    </row>
    <row r="39" spans="1:15" x14ac:dyDescent="0.25">
      <c r="A39" s="8">
        <v>99593</v>
      </c>
      <c r="B39" s="9" t="s">
        <v>41</v>
      </c>
      <c r="C39" s="9" t="s">
        <v>46</v>
      </c>
      <c r="D39" s="9" t="s">
        <v>38</v>
      </c>
      <c r="E39" s="9" t="s">
        <v>13</v>
      </c>
      <c r="F39" s="9" t="str">
        <f t="shared" si="0"/>
        <v>Delivered</v>
      </c>
      <c r="G39" s="9" t="b">
        <v>0</v>
      </c>
      <c r="H39" s="9" t="s">
        <v>18</v>
      </c>
      <c r="I39" s="8">
        <v>2169</v>
      </c>
      <c r="J39" s="10">
        <v>1101.29</v>
      </c>
      <c r="K39" s="10">
        <v>0</v>
      </c>
      <c r="L39" s="10">
        <v>0</v>
      </c>
      <c r="M39" s="10">
        <v>1101.29</v>
      </c>
      <c r="N39" s="8">
        <v>10</v>
      </c>
      <c r="O39" s="6">
        <v>4.4000000000000004</v>
      </c>
    </row>
    <row r="40" spans="1:15" x14ac:dyDescent="0.25">
      <c r="A40" s="8">
        <v>89840</v>
      </c>
      <c r="B40" s="9" t="s">
        <v>10</v>
      </c>
      <c r="C40" s="9" t="s">
        <v>20</v>
      </c>
      <c r="D40" s="9" t="s">
        <v>2</v>
      </c>
      <c r="E40" s="9" t="s">
        <v>21</v>
      </c>
      <c r="F40" s="9" t="str">
        <f t="shared" si="0"/>
        <v>Not Delivered</v>
      </c>
      <c r="G40" s="9" t="b">
        <v>1</v>
      </c>
      <c r="H40" s="9" t="s">
        <v>33</v>
      </c>
      <c r="I40" s="8">
        <v>3803</v>
      </c>
      <c r="J40" s="10">
        <v>719.75</v>
      </c>
      <c r="K40" s="10">
        <v>105.44</v>
      </c>
      <c r="L40" s="10">
        <v>249.74</v>
      </c>
      <c r="M40" s="10">
        <v>1074.93</v>
      </c>
      <c r="N40" s="8">
        <v>7</v>
      </c>
      <c r="O40" s="6">
        <v>4.5999999999999996</v>
      </c>
    </row>
    <row r="41" spans="1:15" x14ac:dyDescent="0.25">
      <c r="A41" s="8">
        <v>80010</v>
      </c>
      <c r="B41" s="9" t="s">
        <v>39</v>
      </c>
      <c r="C41" s="9" t="s">
        <v>55</v>
      </c>
      <c r="D41" s="9" t="s">
        <v>30</v>
      </c>
      <c r="E41" s="9" t="s">
        <v>3</v>
      </c>
      <c r="F41" s="9" t="str">
        <f t="shared" si="0"/>
        <v>Not Delivered</v>
      </c>
      <c r="G41" s="9" t="b">
        <v>0</v>
      </c>
      <c r="H41" s="9" t="s">
        <v>14</v>
      </c>
      <c r="I41" s="8">
        <v>5010</v>
      </c>
      <c r="J41" s="10">
        <v>1263.8900000000001</v>
      </c>
      <c r="K41" s="10">
        <v>71.02</v>
      </c>
      <c r="L41" s="10">
        <v>0</v>
      </c>
      <c r="M41" s="10">
        <v>1334.91</v>
      </c>
      <c r="N41" s="8">
        <v>8</v>
      </c>
      <c r="O41" s="6">
        <v>3.7</v>
      </c>
    </row>
    <row r="42" spans="1:15" x14ac:dyDescent="0.25">
      <c r="A42" s="8">
        <v>31417</v>
      </c>
      <c r="B42" s="9" t="s">
        <v>0</v>
      </c>
      <c r="C42" s="9" t="s">
        <v>53</v>
      </c>
      <c r="D42" s="9" t="s">
        <v>27</v>
      </c>
      <c r="E42" s="9" t="s">
        <v>13</v>
      </c>
      <c r="F42" s="9" t="str">
        <f t="shared" si="0"/>
        <v>Delivered</v>
      </c>
      <c r="G42" s="9" t="b">
        <v>0</v>
      </c>
      <c r="H42" s="9" t="s">
        <v>28</v>
      </c>
      <c r="I42" s="8">
        <v>8573</v>
      </c>
      <c r="J42" s="10">
        <v>1237.0999999999999</v>
      </c>
      <c r="K42" s="10">
        <v>0</v>
      </c>
      <c r="L42" s="10">
        <v>0</v>
      </c>
      <c r="M42" s="10">
        <v>1237.0999999999999</v>
      </c>
      <c r="N42" s="8">
        <v>2</v>
      </c>
      <c r="O42" s="6">
        <v>4</v>
      </c>
    </row>
    <row r="43" spans="1:15" x14ac:dyDescent="0.25">
      <c r="A43" s="8">
        <v>59735</v>
      </c>
      <c r="B43" s="9" t="s">
        <v>23</v>
      </c>
      <c r="C43" s="9" t="s">
        <v>24</v>
      </c>
      <c r="D43" s="9" t="s">
        <v>16</v>
      </c>
      <c r="E43" s="9" t="s">
        <v>8</v>
      </c>
      <c r="F43" s="9" t="str">
        <f t="shared" si="0"/>
        <v>Not Delivered</v>
      </c>
      <c r="G43" s="9" t="b">
        <v>0</v>
      </c>
      <c r="H43" s="9" t="s">
        <v>18</v>
      </c>
      <c r="I43" s="8">
        <v>5422</v>
      </c>
      <c r="J43" s="10">
        <v>219.61</v>
      </c>
      <c r="K43" s="10">
        <v>43.36</v>
      </c>
      <c r="L43" s="10">
        <v>0</v>
      </c>
      <c r="M43" s="10">
        <v>262.97000000000003</v>
      </c>
      <c r="N43" s="8">
        <v>10</v>
      </c>
      <c r="O43" s="6">
        <v>1.3</v>
      </c>
    </row>
    <row r="44" spans="1:15" x14ac:dyDescent="0.25">
      <c r="A44" s="8">
        <v>93886</v>
      </c>
      <c r="B44" s="9" t="s">
        <v>23</v>
      </c>
      <c r="C44" s="9" t="s">
        <v>48</v>
      </c>
      <c r="D44" s="9" t="s">
        <v>30</v>
      </c>
      <c r="E44" s="9" t="s">
        <v>3</v>
      </c>
      <c r="F44" s="9" t="str">
        <f t="shared" si="0"/>
        <v>Not Delivered</v>
      </c>
      <c r="G44" s="9" t="b">
        <v>1</v>
      </c>
      <c r="H44" s="9" t="s">
        <v>4</v>
      </c>
      <c r="I44" s="8">
        <v>4598</v>
      </c>
      <c r="J44" s="10">
        <v>2134.61</v>
      </c>
      <c r="K44" s="10">
        <v>74.400000000000006</v>
      </c>
      <c r="L44" s="10">
        <v>44.46</v>
      </c>
      <c r="M44" s="10">
        <v>2253.4699999999998</v>
      </c>
      <c r="N44" s="8">
        <v>4</v>
      </c>
      <c r="O44" s="6">
        <v>4.8</v>
      </c>
    </row>
    <row r="45" spans="1:15" x14ac:dyDescent="0.25">
      <c r="A45" s="8">
        <v>99733</v>
      </c>
      <c r="B45" s="9" t="s">
        <v>41</v>
      </c>
      <c r="C45" s="9" t="s">
        <v>46</v>
      </c>
      <c r="D45" s="9" t="s">
        <v>45</v>
      </c>
      <c r="E45" s="9" t="s">
        <v>21</v>
      </c>
      <c r="F45" s="9" t="str">
        <f t="shared" si="0"/>
        <v>Not Delivered</v>
      </c>
      <c r="G45" s="9" t="b">
        <v>1</v>
      </c>
      <c r="H45" s="9" t="s">
        <v>14</v>
      </c>
      <c r="I45" s="8">
        <v>6313</v>
      </c>
      <c r="J45" s="10">
        <v>2318.4299999999998</v>
      </c>
      <c r="K45" s="10">
        <v>0</v>
      </c>
      <c r="L45" s="10">
        <v>250.14</v>
      </c>
      <c r="M45" s="10">
        <v>2568.5700000000002</v>
      </c>
      <c r="N45" s="8">
        <v>9</v>
      </c>
      <c r="O45" s="6">
        <v>4.8</v>
      </c>
    </row>
    <row r="46" spans="1:15" x14ac:dyDescent="0.25">
      <c r="A46" s="8">
        <v>17331</v>
      </c>
      <c r="B46" s="9" t="s">
        <v>0</v>
      </c>
      <c r="C46" s="9" t="s">
        <v>43</v>
      </c>
      <c r="D46" s="9" t="s">
        <v>30</v>
      </c>
      <c r="E46" s="9" t="s">
        <v>3</v>
      </c>
      <c r="F46" s="9" t="str">
        <f t="shared" si="0"/>
        <v>Not Delivered</v>
      </c>
      <c r="G46" s="9" t="b">
        <v>1</v>
      </c>
      <c r="H46" s="9" t="s">
        <v>22</v>
      </c>
      <c r="I46" s="8">
        <v>4752</v>
      </c>
      <c r="J46" s="10">
        <v>854.12</v>
      </c>
      <c r="K46" s="10">
        <v>94.59</v>
      </c>
      <c r="L46" s="10">
        <v>217.51</v>
      </c>
      <c r="M46" s="10">
        <v>1166.22</v>
      </c>
      <c r="N46" s="8">
        <v>13</v>
      </c>
      <c r="O46" s="6">
        <v>3.6</v>
      </c>
    </row>
    <row r="47" spans="1:15" x14ac:dyDescent="0.25">
      <c r="A47" s="8">
        <v>14207</v>
      </c>
      <c r="B47" s="9" t="s">
        <v>23</v>
      </c>
      <c r="C47" s="9" t="s">
        <v>49</v>
      </c>
      <c r="D47" s="9" t="s">
        <v>7</v>
      </c>
      <c r="E47" s="9" t="s">
        <v>32</v>
      </c>
      <c r="F47" s="9" t="str">
        <f t="shared" si="0"/>
        <v>Not Delivered</v>
      </c>
      <c r="G47" s="9" t="b">
        <v>0</v>
      </c>
      <c r="H47" s="9" t="s">
        <v>9</v>
      </c>
      <c r="I47" s="8">
        <v>6168</v>
      </c>
      <c r="J47" s="10">
        <v>1403.64</v>
      </c>
      <c r="K47" s="10">
        <v>73.45</v>
      </c>
      <c r="L47" s="10">
        <v>0</v>
      </c>
      <c r="M47" s="10">
        <v>1477.09</v>
      </c>
      <c r="N47" s="8">
        <v>6</v>
      </c>
      <c r="O47" s="6">
        <v>1.3</v>
      </c>
    </row>
    <row r="48" spans="1:15" x14ac:dyDescent="0.25">
      <c r="A48" s="8">
        <v>62581</v>
      </c>
      <c r="B48" s="9" t="s">
        <v>0</v>
      </c>
      <c r="C48" s="9" t="s">
        <v>53</v>
      </c>
      <c r="D48" s="9" t="s">
        <v>19</v>
      </c>
      <c r="E48" s="9" t="s">
        <v>3</v>
      </c>
      <c r="F48" s="9" t="str">
        <f t="shared" si="0"/>
        <v>Not Delivered</v>
      </c>
      <c r="G48" s="9" t="b">
        <v>0</v>
      </c>
      <c r="H48" s="9" t="s">
        <v>9</v>
      </c>
      <c r="I48" s="8">
        <v>5386</v>
      </c>
      <c r="J48" s="10">
        <v>1315.59</v>
      </c>
      <c r="K48" s="10">
        <v>0</v>
      </c>
      <c r="L48" s="10">
        <v>0</v>
      </c>
      <c r="M48" s="10">
        <v>1315.59</v>
      </c>
      <c r="N48" s="8">
        <v>6</v>
      </c>
      <c r="O48" s="6">
        <v>2.7</v>
      </c>
    </row>
    <row r="49" spans="1:15" x14ac:dyDescent="0.25">
      <c r="A49" s="8">
        <v>18675</v>
      </c>
      <c r="B49" s="9" t="s">
        <v>41</v>
      </c>
      <c r="C49" s="9" t="s">
        <v>47</v>
      </c>
      <c r="D49" s="9" t="s">
        <v>16</v>
      </c>
      <c r="E49" s="9" t="s">
        <v>21</v>
      </c>
      <c r="F49" s="9" t="str">
        <f t="shared" si="0"/>
        <v>Not Delivered</v>
      </c>
      <c r="G49" s="9" t="b">
        <v>1</v>
      </c>
      <c r="H49" s="9" t="s">
        <v>22</v>
      </c>
      <c r="I49" s="8">
        <v>4456</v>
      </c>
      <c r="J49" s="10">
        <v>2184.81</v>
      </c>
      <c r="K49" s="10">
        <v>88.04</v>
      </c>
      <c r="L49" s="10">
        <v>129.86000000000001</v>
      </c>
      <c r="M49" s="10">
        <v>2402.71</v>
      </c>
      <c r="N49" s="8">
        <v>7</v>
      </c>
      <c r="O49" s="6">
        <v>4.8</v>
      </c>
    </row>
    <row r="50" spans="1:15" x14ac:dyDescent="0.25">
      <c r="A50" s="8">
        <v>84341</v>
      </c>
      <c r="B50" s="9" t="s">
        <v>0</v>
      </c>
      <c r="C50" s="9" t="s">
        <v>43</v>
      </c>
      <c r="D50" s="9" t="s">
        <v>27</v>
      </c>
      <c r="E50" s="9" t="s">
        <v>8</v>
      </c>
      <c r="F50" s="9" t="str">
        <f t="shared" si="0"/>
        <v>Not Delivered</v>
      </c>
      <c r="G50" s="9" t="b">
        <v>0</v>
      </c>
      <c r="H50" s="9" t="s">
        <v>14</v>
      </c>
      <c r="I50" s="8">
        <v>6155</v>
      </c>
      <c r="J50" s="10">
        <v>1469.78</v>
      </c>
      <c r="K50" s="10">
        <v>98.82</v>
      </c>
      <c r="L50" s="10">
        <v>0</v>
      </c>
      <c r="M50" s="10">
        <v>1568.6</v>
      </c>
      <c r="N50" s="8">
        <v>7</v>
      </c>
      <c r="O50" s="6">
        <v>2.6</v>
      </c>
    </row>
    <row r="51" spans="1:15" x14ac:dyDescent="0.25">
      <c r="A51" s="8">
        <v>37869</v>
      </c>
      <c r="B51" s="9" t="s">
        <v>39</v>
      </c>
      <c r="C51" s="9" t="s">
        <v>40</v>
      </c>
      <c r="D51" s="9" t="s">
        <v>27</v>
      </c>
      <c r="E51" s="9" t="s">
        <v>3</v>
      </c>
      <c r="F51" s="9" t="str">
        <f t="shared" si="0"/>
        <v>Not Delivered</v>
      </c>
      <c r="G51" s="9" t="b">
        <v>1</v>
      </c>
      <c r="H51" s="9" t="s">
        <v>28</v>
      </c>
      <c r="I51" s="8">
        <v>9179</v>
      </c>
      <c r="J51" s="10">
        <v>1273.52</v>
      </c>
      <c r="K51" s="10">
        <v>148.07</v>
      </c>
      <c r="L51" s="10">
        <v>238.78</v>
      </c>
      <c r="M51" s="10">
        <v>1660.37</v>
      </c>
      <c r="N51" s="8">
        <v>11</v>
      </c>
    </row>
    <row r="52" spans="1:15" x14ac:dyDescent="0.25">
      <c r="A52" s="8">
        <v>61856</v>
      </c>
      <c r="B52" s="9" t="s">
        <v>39</v>
      </c>
      <c r="C52" s="9" t="s">
        <v>40</v>
      </c>
      <c r="D52" s="9" t="s">
        <v>16</v>
      </c>
      <c r="E52" s="9" t="s">
        <v>13</v>
      </c>
      <c r="F52" s="9" t="str">
        <f t="shared" si="0"/>
        <v>Delivered</v>
      </c>
      <c r="G52" s="9" t="b">
        <v>1</v>
      </c>
      <c r="H52" s="9" t="s">
        <v>14</v>
      </c>
      <c r="I52" s="8">
        <v>8517</v>
      </c>
      <c r="J52" s="10">
        <v>151.4</v>
      </c>
      <c r="K52" s="10">
        <v>53.43</v>
      </c>
      <c r="M52" s="10">
        <v>403.86</v>
      </c>
      <c r="N52" s="8">
        <v>13</v>
      </c>
      <c r="O52" s="6">
        <v>2.1</v>
      </c>
    </row>
    <row r="53" spans="1:15" x14ac:dyDescent="0.25">
      <c r="A53" s="8">
        <v>28726</v>
      </c>
      <c r="B53" s="9" t="s">
        <v>5</v>
      </c>
      <c r="C53" s="9" t="s">
        <v>44</v>
      </c>
      <c r="D53" s="9" t="s">
        <v>27</v>
      </c>
      <c r="E53" s="9" t="s">
        <v>17</v>
      </c>
      <c r="F53" s="9" t="str">
        <f t="shared" si="0"/>
        <v>Not Delivered</v>
      </c>
      <c r="G53" s="9" t="b">
        <v>0</v>
      </c>
      <c r="H53" s="9" t="s">
        <v>14</v>
      </c>
      <c r="I53" s="8">
        <v>5339</v>
      </c>
      <c r="J53" s="10">
        <v>244.58</v>
      </c>
      <c r="K53" s="10">
        <v>65.459999999999994</v>
      </c>
      <c r="L53" s="10">
        <v>0</v>
      </c>
      <c r="M53" s="10">
        <v>310.04000000000002</v>
      </c>
      <c r="N53" s="8">
        <v>4</v>
      </c>
      <c r="O53" s="6">
        <v>4.0999999999999996</v>
      </c>
    </row>
    <row r="54" spans="1:15" x14ac:dyDescent="0.25">
      <c r="A54" s="8">
        <v>28301</v>
      </c>
      <c r="B54" s="9" t="s">
        <v>5</v>
      </c>
      <c r="C54" s="9" t="s">
        <v>36</v>
      </c>
      <c r="D54" s="9" t="s">
        <v>19</v>
      </c>
      <c r="E54" s="9" t="s">
        <v>3</v>
      </c>
      <c r="F54" s="9" t="str">
        <f t="shared" si="0"/>
        <v>Not Delivered</v>
      </c>
      <c r="G54" s="9" t="b">
        <v>1</v>
      </c>
      <c r="H54" s="9" t="s">
        <v>22</v>
      </c>
      <c r="I54" s="8">
        <v>5040</v>
      </c>
      <c r="J54" s="10">
        <v>658.53</v>
      </c>
      <c r="K54" s="10">
        <v>0</v>
      </c>
      <c r="L54" s="10">
        <v>56.31</v>
      </c>
      <c r="M54" s="10">
        <v>714.84</v>
      </c>
      <c r="N54" s="8">
        <v>11</v>
      </c>
    </row>
    <row r="55" spans="1:15" x14ac:dyDescent="0.25">
      <c r="A55" s="8">
        <v>83579</v>
      </c>
      <c r="B55" s="9" t="s">
        <v>10</v>
      </c>
      <c r="C55" s="9" t="s">
        <v>11</v>
      </c>
      <c r="D55" s="9" t="s">
        <v>2</v>
      </c>
      <c r="E55" s="9" t="s">
        <v>8</v>
      </c>
      <c r="F55" s="9" t="str">
        <f t="shared" si="0"/>
        <v>Not Delivered</v>
      </c>
      <c r="G55" s="9" t="b">
        <v>1</v>
      </c>
      <c r="H55" s="9" t="s">
        <v>9</v>
      </c>
      <c r="I55" s="8">
        <v>9830</v>
      </c>
      <c r="J55" s="10">
        <v>418.8</v>
      </c>
      <c r="K55" s="10">
        <v>70.540000000000006</v>
      </c>
      <c r="L55" s="10">
        <v>98.24</v>
      </c>
      <c r="M55" s="10">
        <v>587.58000000000004</v>
      </c>
      <c r="N55" s="8">
        <v>2</v>
      </c>
      <c r="O55" s="6">
        <v>4.7</v>
      </c>
    </row>
    <row r="56" spans="1:15" x14ac:dyDescent="0.25">
      <c r="A56" s="8">
        <v>44438</v>
      </c>
      <c r="B56" s="9" t="s">
        <v>39</v>
      </c>
      <c r="C56" s="9" t="s">
        <v>40</v>
      </c>
      <c r="D56" s="9" t="s">
        <v>12</v>
      </c>
      <c r="E56" s="9" t="s">
        <v>21</v>
      </c>
      <c r="F56" s="9" t="str">
        <f t="shared" si="0"/>
        <v>Not Delivered</v>
      </c>
      <c r="G56" s="9" t="b">
        <v>1</v>
      </c>
      <c r="H56" s="9" t="s">
        <v>14</v>
      </c>
      <c r="I56" s="8">
        <v>8019</v>
      </c>
      <c r="J56" s="10">
        <v>187.91</v>
      </c>
      <c r="K56" s="10">
        <v>76.8</v>
      </c>
      <c r="L56" s="10">
        <v>42.43</v>
      </c>
      <c r="M56" s="10">
        <v>307.14</v>
      </c>
      <c r="N56" s="8">
        <v>5</v>
      </c>
      <c r="O56" s="6">
        <v>3.4</v>
      </c>
    </row>
    <row r="57" spans="1:15" x14ac:dyDescent="0.25">
      <c r="A57" s="8">
        <v>86484</v>
      </c>
      <c r="B57" s="9" t="s">
        <v>5</v>
      </c>
      <c r="C57" s="9" t="s">
        <v>56</v>
      </c>
      <c r="D57" s="9" t="s">
        <v>12</v>
      </c>
      <c r="E57" s="9" t="s">
        <v>3</v>
      </c>
      <c r="F57" s="9" t="str">
        <f t="shared" si="0"/>
        <v>Not Delivered</v>
      </c>
      <c r="G57" s="9" t="b">
        <v>0</v>
      </c>
      <c r="H57" s="9" t="s">
        <v>33</v>
      </c>
      <c r="I57" s="8">
        <v>7543</v>
      </c>
      <c r="J57" s="10">
        <v>1425.31</v>
      </c>
      <c r="K57" s="10">
        <v>56.9</v>
      </c>
      <c r="L57" s="10">
        <v>0</v>
      </c>
      <c r="M57" s="10">
        <v>1482.21</v>
      </c>
      <c r="N57" s="8">
        <v>1</v>
      </c>
      <c r="O57" s="6">
        <v>4.3</v>
      </c>
    </row>
    <row r="58" spans="1:15" x14ac:dyDescent="0.25">
      <c r="A58" s="8">
        <v>57447</v>
      </c>
      <c r="B58" s="9" t="s">
        <v>0</v>
      </c>
      <c r="C58" s="9" t="s">
        <v>37</v>
      </c>
      <c r="D58" s="9" t="s">
        <v>45</v>
      </c>
      <c r="E58" s="9" t="s">
        <v>3</v>
      </c>
      <c r="F58" s="9" t="str">
        <f t="shared" si="0"/>
        <v>Not Delivered</v>
      </c>
      <c r="G58" s="9" t="b">
        <v>0</v>
      </c>
      <c r="H58" s="9" t="s">
        <v>9</v>
      </c>
      <c r="I58" s="8">
        <v>4593</v>
      </c>
      <c r="J58" s="10">
        <v>1317.06</v>
      </c>
      <c r="K58" s="10">
        <v>123.38</v>
      </c>
      <c r="L58" s="10">
        <v>0</v>
      </c>
      <c r="M58" s="10">
        <v>1440.44</v>
      </c>
      <c r="N58" s="8">
        <v>10</v>
      </c>
      <c r="O58" s="6">
        <v>3.2</v>
      </c>
    </row>
    <row r="59" spans="1:15" x14ac:dyDescent="0.25">
      <c r="A59" s="8">
        <v>28131</v>
      </c>
      <c r="B59" s="9" t="s">
        <v>0</v>
      </c>
      <c r="C59" s="9" t="s">
        <v>43</v>
      </c>
      <c r="D59" s="9" t="s">
        <v>27</v>
      </c>
      <c r="E59" s="9" t="s">
        <v>3</v>
      </c>
      <c r="F59" s="9" t="str">
        <f t="shared" si="0"/>
        <v>Not Delivered</v>
      </c>
      <c r="G59" s="9" t="b">
        <v>1</v>
      </c>
      <c r="H59" s="9" t="s">
        <v>33</v>
      </c>
      <c r="I59" s="8">
        <v>9348</v>
      </c>
      <c r="J59" s="10">
        <v>592.85</v>
      </c>
      <c r="K59" s="10">
        <v>133.07</v>
      </c>
      <c r="L59" s="10">
        <v>188.16</v>
      </c>
      <c r="M59" s="10">
        <v>914.08</v>
      </c>
      <c r="N59" s="8">
        <v>4</v>
      </c>
      <c r="O59" s="6">
        <v>3.3</v>
      </c>
    </row>
    <row r="60" spans="1:15" x14ac:dyDescent="0.25">
      <c r="A60" s="8">
        <v>74686</v>
      </c>
      <c r="B60" s="9" t="s">
        <v>5</v>
      </c>
      <c r="C60" s="9" t="s">
        <v>44</v>
      </c>
      <c r="D60" s="9" t="s">
        <v>50</v>
      </c>
      <c r="E60" s="9" t="s">
        <v>21</v>
      </c>
      <c r="F60" s="9" t="str">
        <f t="shared" si="0"/>
        <v>Not Delivered</v>
      </c>
      <c r="G60" s="9" t="b">
        <v>1</v>
      </c>
      <c r="H60" s="9" t="s">
        <v>4</v>
      </c>
      <c r="I60" s="8">
        <v>2489</v>
      </c>
      <c r="J60" s="10">
        <v>2157.19</v>
      </c>
      <c r="K60" s="10">
        <v>0</v>
      </c>
      <c r="L60" s="10">
        <v>179.78</v>
      </c>
      <c r="M60" s="10">
        <v>2336.9699999999998</v>
      </c>
      <c r="N60" s="8">
        <v>6</v>
      </c>
      <c r="O60" s="6">
        <v>3.4</v>
      </c>
    </row>
    <row r="61" spans="1:15" x14ac:dyDescent="0.25">
      <c r="A61" s="8">
        <v>16175</v>
      </c>
      <c r="B61" s="9" t="s">
        <v>41</v>
      </c>
      <c r="C61" s="9" t="s">
        <v>46</v>
      </c>
      <c r="D61" s="9" t="s">
        <v>27</v>
      </c>
      <c r="E61" s="9" t="s">
        <v>8</v>
      </c>
      <c r="F61" s="9" t="str">
        <f t="shared" si="0"/>
        <v>Not Delivered</v>
      </c>
      <c r="G61" s="9" t="b">
        <v>0</v>
      </c>
      <c r="H61" s="9" t="s">
        <v>9</v>
      </c>
      <c r="I61" s="8">
        <v>2796</v>
      </c>
      <c r="J61" s="10">
        <v>488.35</v>
      </c>
      <c r="K61" s="10">
        <v>79.010000000000005</v>
      </c>
      <c r="L61" s="10">
        <v>0</v>
      </c>
      <c r="M61" s="10">
        <v>567.36</v>
      </c>
      <c r="N61" s="8">
        <v>9</v>
      </c>
      <c r="O61" s="6">
        <v>3.8</v>
      </c>
    </row>
    <row r="62" spans="1:15" x14ac:dyDescent="0.25">
      <c r="A62" s="8">
        <v>30033</v>
      </c>
      <c r="B62" s="9" t="s">
        <v>39</v>
      </c>
      <c r="C62" s="9" t="s">
        <v>57</v>
      </c>
      <c r="D62" s="9" t="s">
        <v>16</v>
      </c>
      <c r="E62" s="9" t="s">
        <v>8</v>
      </c>
      <c r="F62" s="9" t="str">
        <f t="shared" si="0"/>
        <v>Not Delivered</v>
      </c>
      <c r="G62" s="9" t="b">
        <v>1</v>
      </c>
      <c r="H62" s="9" t="s">
        <v>18</v>
      </c>
      <c r="I62" s="8">
        <v>3621</v>
      </c>
      <c r="J62" s="10">
        <v>212.14</v>
      </c>
      <c r="K62" s="10">
        <v>41.62</v>
      </c>
      <c r="L62" s="10">
        <v>166.4</v>
      </c>
      <c r="M62" s="10">
        <v>420.16</v>
      </c>
      <c r="N62" s="8">
        <v>6</v>
      </c>
      <c r="O62" s="6">
        <v>3.1</v>
      </c>
    </row>
    <row r="63" spans="1:15" x14ac:dyDescent="0.25">
      <c r="A63" s="8">
        <v>99192</v>
      </c>
      <c r="B63" s="9" t="s">
        <v>10</v>
      </c>
      <c r="C63" s="9" t="s">
        <v>11</v>
      </c>
      <c r="D63" s="9" t="s">
        <v>19</v>
      </c>
      <c r="E63" s="9" t="s">
        <v>13</v>
      </c>
      <c r="F63" s="9" t="str">
        <f t="shared" si="0"/>
        <v>Delivered</v>
      </c>
      <c r="G63" s="9" t="b">
        <v>0</v>
      </c>
      <c r="H63" s="9" t="s">
        <v>4</v>
      </c>
      <c r="I63" s="8">
        <v>7916</v>
      </c>
      <c r="J63" s="10">
        <v>1435.42</v>
      </c>
      <c r="K63" s="10">
        <v>0</v>
      </c>
      <c r="L63" s="10">
        <v>0</v>
      </c>
      <c r="M63" s="10">
        <v>1435.42</v>
      </c>
      <c r="N63" s="8">
        <v>4</v>
      </c>
    </row>
    <row r="64" spans="1:15" x14ac:dyDescent="0.25">
      <c r="A64" s="8">
        <v>88172</v>
      </c>
      <c r="B64" s="9" t="s">
        <v>0</v>
      </c>
      <c r="C64" s="9" t="s">
        <v>43</v>
      </c>
      <c r="D64" s="9" t="s">
        <v>30</v>
      </c>
      <c r="E64" s="9" t="s">
        <v>21</v>
      </c>
      <c r="F64" s="9" t="str">
        <f t="shared" si="0"/>
        <v>Not Delivered</v>
      </c>
      <c r="G64" s="9" t="b">
        <v>0</v>
      </c>
      <c r="H64" s="9" t="s">
        <v>33</v>
      </c>
      <c r="I64" s="8">
        <v>2040</v>
      </c>
      <c r="J64" s="10">
        <v>1718.95</v>
      </c>
      <c r="K64" s="10">
        <v>69.150000000000006</v>
      </c>
      <c r="L64" s="10">
        <v>0</v>
      </c>
      <c r="M64" s="10">
        <v>1788.1</v>
      </c>
      <c r="N64" s="8">
        <v>5</v>
      </c>
      <c r="O64" s="6">
        <v>4.9000000000000004</v>
      </c>
    </row>
    <row r="65" spans="1:15" x14ac:dyDescent="0.25">
      <c r="A65" s="8">
        <v>60432</v>
      </c>
      <c r="B65" s="9" t="s">
        <v>5</v>
      </c>
      <c r="C65" s="9" t="s">
        <v>36</v>
      </c>
      <c r="D65" s="9" t="s">
        <v>7</v>
      </c>
      <c r="E65" s="9" t="s">
        <v>8</v>
      </c>
      <c r="F65" s="9" t="str">
        <f t="shared" si="0"/>
        <v>Not Delivered</v>
      </c>
      <c r="G65" s="9" t="b">
        <v>1</v>
      </c>
      <c r="H65" s="9" t="s">
        <v>14</v>
      </c>
      <c r="I65" s="8">
        <v>7252</v>
      </c>
      <c r="J65" s="10">
        <v>881.37</v>
      </c>
      <c r="K65" s="10">
        <v>80.23</v>
      </c>
      <c r="L65" s="10">
        <v>104.55</v>
      </c>
      <c r="M65" s="10">
        <v>1066.1500000000001</v>
      </c>
      <c r="N65" s="8">
        <v>1</v>
      </c>
      <c r="O65" s="6">
        <v>3.8</v>
      </c>
    </row>
    <row r="66" spans="1:15" x14ac:dyDescent="0.25">
      <c r="A66" s="8">
        <v>88104</v>
      </c>
      <c r="B66" s="9" t="s">
        <v>39</v>
      </c>
      <c r="C66" s="9" t="s">
        <v>57</v>
      </c>
      <c r="D66" s="9" t="s">
        <v>45</v>
      </c>
      <c r="E66" s="9" t="s">
        <v>17</v>
      </c>
      <c r="F66" s="9" t="str">
        <f t="shared" si="0"/>
        <v>Not Delivered</v>
      </c>
      <c r="G66" s="9" t="b">
        <v>0</v>
      </c>
      <c r="H66" s="9" t="s">
        <v>14</v>
      </c>
      <c r="I66" s="8">
        <v>8668</v>
      </c>
      <c r="J66" s="10">
        <v>1319.26</v>
      </c>
      <c r="K66" s="10">
        <v>96.94</v>
      </c>
      <c r="L66" s="10">
        <v>0</v>
      </c>
      <c r="M66" s="10">
        <v>1416.2</v>
      </c>
      <c r="N66" s="8">
        <v>6</v>
      </c>
      <c r="O66" s="6">
        <v>1.2</v>
      </c>
    </row>
    <row r="67" spans="1:15" x14ac:dyDescent="0.25">
      <c r="A67" s="8">
        <v>79352</v>
      </c>
      <c r="B67" s="9" t="s">
        <v>5</v>
      </c>
      <c r="C67" s="9" t="s">
        <v>44</v>
      </c>
      <c r="E67" s="9" t="s">
        <v>17</v>
      </c>
      <c r="F67" s="9" t="str">
        <f t="shared" ref="F67:F130" si="1">IF(OR(
E67="Failed Delivery",
E67="Cancelled",
E67="Pending",
E67="Rescheduled",
E67="In Transit"
),"Not Delivered","Delivered")</f>
        <v>Not Delivered</v>
      </c>
      <c r="G67" s="9" t="b">
        <v>1</v>
      </c>
      <c r="H67" s="9" t="s">
        <v>18</v>
      </c>
      <c r="I67" s="8">
        <v>5119</v>
      </c>
      <c r="J67" s="10">
        <v>1331.02</v>
      </c>
      <c r="K67" s="10">
        <v>118.65</v>
      </c>
      <c r="L67" s="10">
        <v>90.56</v>
      </c>
      <c r="M67" s="10">
        <v>1540.23</v>
      </c>
      <c r="N67" s="8">
        <v>5</v>
      </c>
    </row>
    <row r="68" spans="1:15" x14ac:dyDescent="0.25">
      <c r="A68" s="8">
        <v>82512</v>
      </c>
      <c r="B68" s="9" t="s">
        <v>39</v>
      </c>
      <c r="C68" s="9" t="s">
        <v>55</v>
      </c>
      <c r="D68" s="9" t="s">
        <v>2</v>
      </c>
      <c r="E68" s="9" t="s">
        <v>3</v>
      </c>
      <c r="F68" s="9" t="str">
        <f t="shared" si="1"/>
        <v>Not Delivered</v>
      </c>
      <c r="G68" s="9" t="b">
        <v>0</v>
      </c>
      <c r="H68" s="9" t="s">
        <v>33</v>
      </c>
      <c r="I68" s="8">
        <v>1188</v>
      </c>
      <c r="J68" s="10">
        <v>926.5</v>
      </c>
      <c r="K68" s="10">
        <v>127.57</v>
      </c>
      <c r="L68" s="10">
        <v>0</v>
      </c>
      <c r="M68" s="10">
        <v>1054.07</v>
      </c>
      <c r="N68" s="8">
        <v>8</v>
      </c>
      <c r="O68" s="6">
        <v>2.2000000000000002</v>
      </c>
    </row>
    <row r="69" spans="1:15" x14ac:dyDescent="0.25">
      <c r="A69" s="8">
        <v>99166</v>
      </c>
      <c r="B69" s="9" t="s">
        <v>41</v>
      </c>
      <c r="C69" s="9" t="s">
        <v>47</v>
      </c>
      <c r="D69" s="9" t="s">
        <v>12</v>
      </c>
      <c r="E69" s="9" t="s">
        <v>32</v>
      </c>
      <c r="F69" s="9" t="str">
        <f t="shared" si="1"/>
        <v>Not Delivered</v>
      </c>
      <c r="G69" s="9" t="b">
        <v>1</v>
      </c>
      <c r="H69" s="9" t="s">
        <v>4</v>
      </c>
      <c r="I69" s="8">
        <v>2876</v>
      </c>
      <c r="J69" s="10">
        <v>1641.19</v>
      </c>
      <c r="K69" s="10">
        <v>144.76</v>
      </c>
      <c r="L69" s="10">
        <v>63.23</v>
      </c>
      <c r="M69" s="10">
        <v>1849.18</v>
      </c>
      <c r="N69" s="8">
        <v>2</v>
      </c>
      <c r="O69" s="6">
        <v>1.7</v>
      </c>
    </row>
    <row r="70" spans="1:15" x14ac:dyDescent="0.25">
      <c r="A70" s="8">
        <v>99353</v>
      </c>
      <c r="B70" s="9" t="s">
        <v>39</v>
      </c>
      <c r="C70" s="9" t="s">
        <v>58</v>
      </c>
      <c r="D70" s="9" t="s">
        <v>12</v>
      </c>
      <c r="E70" s="9" t="s">
        <v>8</v>
      </c>
      <c r="F70" s="9" t="str">
        <f t="shared" si="1"/>
        <v>Not Delivered</v>
      </c>
      <c r="G70" s="9" t="b">
        <v>0</v>
      </c>
      <c r="H70" s="9" t="s">
        <v>28</v>
      </c>
      <c r="I70" s="8">
        <v>9797</v>
      </c>
      <c r="J70" s="10">
        <v>1058.9100000000001</v>
      </c>
      <c r="K70" s="10">
        <v>53.26</v>
      </c>
      <c r="L70" s="10">
        <v>0</v>
      </c>
      <c r="M70" s="10">
        <v>1112.17</v>
      </c>
      <c r="N70" s="8">
        <v>12</v>
      </c>
      <c r="O70" s="6">
        <v>4.4000000000000004</v>
      </c>
    </row>
    <row r="71" spans="1:15" x14ac:dyDescent="0.25">
      <c r="A71" s="8">
        <v>44973</v>
      </c>
      <c r="B71" s="9" t="s">
        <v>10</v>
      </c>
      <c r="C71" s="9" t="s">
        <v>15</v>
      </c>
      <c r="D71" s="9" t="s">
        <v>25</v>
      </c>
      <c r="E71" s="9" t="s">
        <v>32</v>
      </c>
      <c r="F71" s="9" t="str">
        <f t="shared" si="1"/>
        <v>Not Delivered</v>
      </c>
      <c r="G71" s="9" t="b">
        <v>1</v>
      </c>
      <c r="H71" s="9" t="s">
        <v>14</v>
      </c>
      <c r="I71" s="8">
        <v>6573</v>
      </c>
      <c r="J71" s="10">
        <v>1356.25</v>
      </c>
      <c r="K71" s="10">
        <v>92.51</v>
      </c>
      <c r="L71" s="10">
        <v>95.42</v>
      </c>
      <c r="M71" s="10">
        <v>1544.18</v>
      </c>
      <c r="N71" s="8">
        <v>14</v>
      </c>
    </row>
    <row r="72" spans="1:15" x14ac:dyDescent="0.25">
      <c r="A72" s="8">
        <v>24621</v>
      </c>
      <c r="B72" s="9" t="s">
        <v>10</v>
      </c>
      <c r="C72" s="9" t="s">
        <v>15</v>
      </c>
      <c r="E72" s="9" t="s">
        <v>3</v>
      </c>
      <c r="F72" s="9" t="str">
        <f t="shared" si="1"/>
        <v>Not Delivered</v>
      </c>
      <c r="G72" s="9" t="b">
        <v>1</v>
      </c>
      <c r="H72" s="9" t="s">
        <v>9</v>
      </c>
      <c r="I72" s="8">
        <v>5808</v>
      </c>
      <c r="J72" s="10">
        <v>1523.02</v>
      </c>
      <c r="K72" s="10">
        <v>78.86</v>
      </c>
      <c r="L72" s="10">
        <v>253.3</v>
      </c>
      <c r="M72" s="10">
        <v>1855.18</v>
      </c>
      <c r="N72" s="8">
        <v>12</v>
      </c>
      <c r="O72" s="6">
        <v>2.1</v>
      </c>
    </row>
    <row r="73" spans="1:15" x14ac:dyDescent="0.25">
      <c r="A73" s="8">
        <v>66985</v>
      </c>
      <c r="B73" s="9" t="s">
        <v>5</v>
      </c>
      <c r="C73" s="9" t="s">
        <v>59</v>
      </c>
      <c r="D73" s="9" t="s">
        <v>27</v>
      </c>
      <c r="E73" s="9" t="s">
        <v>21</v>
      </c>
      <c r="F73" s="9" t="str">
        <f t="shared" si="1"/>
        <v>Not Delivered</v>
      </c>
      <c r="G73" s="9" t="b">
        <v>0</v>
      </c>
      <c r="H73" s="9" t="s">
        <v>18</v>
      </c>
      <c r="I73" s="8">
        <v>3591</v>
      </c>
      <c r="J73" s="10">
        <v>291.68</v>
      </c>
      <c r="K73" s="10">
        <v>57.4</v>
      </c>
      <c r="L73" s="10">
        <v>0</v>
      </c>
      <c r="M73" s="10">
        <v>349.08</v>
      </c>
      <c r="N73" s="8">
        <v>10</v>
      </c>
      <c r="O73" s="6">
        <v>1.4</v>
      </c>
    </row>
    <row r="74" spans="1:15" x14ac:dyDescent="0.25">
      <c r="A74" s="8">
        <v>69470</v>
      </c>
      <c r="B74" s="9" t="s">
        <v>5</v>
      </c>
      <c r="C74" s="9" t="s">
        <v>31</v>
      </c>
      <c r="D74" s="9" t="s">
        <v>2</v>
      </c>
      <c r="E74" s="9" t="s">
        <v>3</v>
      </c>
      <c r="F74" s="9" t="str">
        <f t="shared" si="1"/>
        <v>Not Delivered</v>
      </c>
      <c r="G74" s="9" t="b">
        <v>1</v>
      </c>
      <c r="H74" s="9" t="s">
        <v>22</v>
      </c>
      <c r="I74" s="8">
        <v>1053</v>
      </c>
      <c r="J74" s="10">
        <v>2089.27</v>
      </c>
      <c r="K74" s="10">
        <v>126.31</v>
      </c>
      <c r="L74" s="10">
        <v>227.84</v>
      </c>
      <c r="M74" s="10">
        <v>2443.42</v>
      </c>
      <c r="N74" s="8">
        <v>8</v>
      </c>
      <c r="O74" s="6">
        <v>1.7</v>
      </c>
    </row>
    <row r="75" spans="1:15" x14ac:dyDescent="0.25">
      <c r="A75" s="8">
        <v>44522</v>
      </c>
      <c r="B75" s="9" t="s">
        <v>39</v>
      </c>
      <c r="C75" s="9" t="s">
        <v>57</v>
      </c>
      <c r="D75" s="9" t="s">
        <v>16</v>
      </c>
      <c r="E75" s="9" t="s">
        <v>21</v>
      </c>
      <c r="F75" s="9" t="str">
        <f t="shared" si="1"/>
        <v>Not Delivered</v>
      </c>
      <c r="G75" s="9" t="b">
        <v>1</v>
      </c>
      <c r="H75" s="9" t="s">
        <v>4</v>
      </c>
      <c r="I75" s="8">
        <v>9201</v>
      </c>
      <c r="J75" s="10">
        <v>747.41</v>
      </c>
      <c r="K75" s="10">
        <v>82.11</v>
      </c>
      <c r="L75" s="10">
        <v>66.489999999999995</v>
      </c>
      <c r="M75" s="10">
        <v>896.01</v>
      </c>
      <c r="N75" s="8">
        <v>12</v>
      </c>
      <c r="O75" s="6">
        <v>3.7</v>
      </c>
    </row>
    <row r="76" spans="1:15" x14ac:dyDescent="0.25">
      <c r="A76" s="8">
        <v>33416</v>
      </c>
      <c r="B76" s="9" t="s">
        <v>39</v>
      </c>
      <c r="C76" s="9" t="s">
        <v>57</v>
      </c>
      <c r="D76" s="9" t="s">
        <v>27</v>
      </c>
      <c r="E76" s="9" t="s">
        <v>21</v>
      </c>
      <c r="F76" s="9" t="str">
        <f t="shared" si="1"/>
        <v>Not Delivered</v>
      </c>
      <c r="G76" s="9" t="b">
        <v>0</v>
      </c>
      <c r="H76" s="9" t="s">
        <v>9</v>
      </c>
      <c r="I76" s="8">
        <v>9317</v>
      </c>
      <c r="J76" s="10">
        <v>526.61</v>
      </c>
      <c r="K76" s="10">
        <v>147.02000000000001</v>
      </c>
      <c r="L76" s="10">
        <v>0</v>
      </c>
      <c r="M76" s="10">
        <v>673.63</v>
      </c>
      <c r="N76" s="8">
        <v>14</v>
      </c>
      <c r="O76" s="6">
        <v>5</v>
      </c>
    </row>
    <row r="77" spans="1:15" x14ac:dyDescent="0.25">
      <c r="A77" s="8">
        <v>23947</v>
      </c>
      <c r="B77" s="9" t="s">
        <v>39</v>
      </c>
      <c r="C77" s="9" t="s">
        <v>57</v>
      </c>
      <c r="D77" s="9" t="s">
        <v>50</v>
      </c>
      <c r="E77" s="9" t="s">
        <v>21</v>
      </c>
      <c r="F77" s="9" t="str">
        <f t="shared" si="1"/>
        <v>Not Delivered</v>
      </c>
      <c r="G77" s="9" t="b">
        <v>0</v>
      </c>
      <c r="H77" s="9" t="s">
        <v>28</v>
      </c>
      <c r="I77" s="8">
        <v>5889</v>
      </c>
      <c r="J77" s="10">
        <v>346.37</v>
      </c>
      <c r="K77" s="10">
        <v>52.13</v>
      </c>
      <c r="L77" s="10">
        <v>0</v>
      </c>
      <c r="M77" s="10">
        <v>398.5</v>
      </c>
      <c r="N77" s="8">
        <v>11</v>
      </c>
      <c r="O77" s="6">
        <v>1.2</v>
      </c>
    </row>
    <row r="78" spans="1:15" x14ac:dyDescent="0.25">
      <c r="A78" s="8">
        <v>93748</v>
      </c>
      <c r="B78" s="9" t="s">
        <v>10</v>
      </c>
      <c r="C78" s="9" t="s">
        <v>20</v>
      </c>
      <c r="D78" s="9" t="s">
        <v>12</v>
      </c>
      <c r="E78" s="9" t="s">
        <v>3</v>
      </c>
      <c r="F78" s="9" t="str">
        <f t="shared" si="1"/>
        <v>Not Delivered</v>
      </c>
      <c r="G78" s="9" t="b">
        <v>1</v>
      </c>
      <c r="H78" s="9" t="s">
        <v>4</v>
      </c>
      <c r="I78" s="8">
        <v>9317</v>
      </c>
      <c r="J78" s="10">
        <v>1773.61</v>
      </c>
      <c r="K78" s="10">
        <v>52.89</v>
      </c>
      <c r="L78" s="10">
        <v>65.540000000000006</v>
      </c>
      <c r="M78" s="10">
        <v>1892.04</v>
      </c>
      <c r="N78" s="8">
        <v>1</v>
      </c>
      <c r="O78" s="6">
        <v>1.4</v>
      </c>
    </row>
    <row r="79" spans="1:15" x14ac:dyDescent="0.25">
      <c r="A79" s="8">
        <v>89818</v>
      </c>
      <c r="B79" s="9" t="s">
        <v>0</v>
      </c>
      <c r="C79" s="9" t="s">
        <v>53</v>
      </c>
      <c r="D79" s="9" t="s">
        <v>19</v>
      </c>
      <c r="E79" s="9" t="s">
        <v>3</v>
      </c>
      <c r="F79" s="9" t="str">
        <f t="shared" si="1"/>
        <v>Not Delivered</v>
      </c>
      <c r="G79" s="9" t="b">
        <v>0</v>
      </c>
      <c r="H79" s="9" t="s">
        <v>18</v>
      </c>
      <c r="I79" s="8">
        <v>4258</v>
      </c>
      <c r="J79" s="10">
        <v>972.32</v>
      </c>
      <c r="K79" s="10">
        <v>100.89</v>
      </c>
      <c r="L79" s="10">
        <v>0</v>
      </c>
      <c r="M79" s="10">
        <v>1073.21</v>
      </c>
      <c r="N79" s="8">
        <v>7</v>
      </c>
      <c r="O79" s="6">
        <v>4.9000000000000004</v>
      </c>
    </row>
    <row r="80" spans="1:15" x14ac:dyDescent="0.25">
      <c r="A80" s="8">
        <v>30032</v>
      </c>
      <c r="B80" s="9" t="s">
        <v>23</v>
      </c>
      <c r="C80" s="9" t="s">
        <v>54</v>
      </c>
      <c r="D80" s="9" t="s">
        <v>30</v>
      </c>
      <c r="E80" s="9" t="s">
        <v>13</v>
      </c>
      <c r="F80" s="9" t="str">
        <f t="shared" si="1"/>
        <v>Delivered</v>
      </c>
      <c r="G80" s="9" t="b">
        <v>1</v>
      </c>
      <c r="H80" s="9" t="s">
        <v>14</v>
      </c>
      <c r="I80" s="8">
        <v>7126</v>
      </c>
      <c r="J80" s="10">
        <v>693.24</v>
      </c>
      <c r="K80" s="10">
        <v>124.63</v>
      </c>
      <c r="L80" s="10">
        <v>31.91</v>
      </c>
      <c r="M80" s="10">
        <v>849.78</v>
      </c>
      <c r="N80" s="8">
        <v>13</v>
      </c>
      <c r="O80" s="6">
        <v>2.4</v>
      </c>
    </row>
    <row r="81" spans="1:15" x14ac:dyDescent="0.25">
      <c r="A81" s="8">
        <v>31174</v>
      </c>
      <c r="B81" s="9" t="s">
        <v>5</v>
      </c>
      <c r="C81" s="9" t="s">
        <v>56</v>
      </c>
      <c r="D81" s="9" t="s">
        <v>30</v>
      </c>
      <c r="E81" s="9" t="s">
        <v>3</v>
      </c>
      <c r="F81" s="9" t="str">
        <f t="shared" si="1"/>
        <v>Not Delivered</v>
      </c>
      <c r="G81" s="9" t="b">
        <v>0</v>
      </c>
      <c r="H81" s="9" t="s">
        <v>33</v>
      </c>
      <c r="I81" s="8">
        <v>9837</v>
      </c>
      <c r="J81" s="10">
        <v>1869.92</v>
      </c>
      <c r="M81" s="10">
        <v>1977.91</v>
      </c>
      <c r="N81" s="8">
        <v>14</v>
      </c>
    </row>
    <row r="82" spans="1:15" x14ac:dyDescent="0.25">
      <c r="A82" s="8">
        <v>79514</v>
      </c>
      <c r="B82" s="9" t="s">
        <v>10</v>
      </c>
      <c r="C82" s="9" t="s">
        <v>15</v>
      </c>
      <c r="D82" s="9" t="s">
        <v>35</v>
      </c>
      <c r="E82" s="9" t="s">
        <v>8</v>
      </c>
      <c r="F82" s="9" t="str">
        <f t="shared" si="1"/>
        <v>Not Delivered</v>
      </c>
      <c r="G82" s="9" t="b">
        <v>1</v>
      </c>
      <c r="H82" s="9" t="s">
        <v>9</v>
      </c>
      <c r="I82" s="8">
        <v>1009</v>
      </c>
      <c r="J82" s="10">
        <v>1549.46</v>
      </c>
      <c r="K82" s="10">
        <v>143.29</v>
      </c>
      <c r="L82" s="10">
        <v>78.59</v>
      </c>
      <c r="M82" s="10">
        <v>1771.34</v>
      </c>
      <c r="N82" s="8">
        <v>4</v>
      </c>
      <c r="O82" s="6">
        <v>2.6</v>
      </c>
    </row>
    <row r="83" spans="1:15" x14ac:dyDescent="0.25">
      <c r="A83" s="8">
        <v>88504</v>
      </c>
      <c r="B83" s="9" t="s">
        <v>0</v>
      </c>
      <c r="C83" s="9" t="s">
        <v>37</v>
      </c>
      <c r="D83" s="9" t="s">
        <v>12</v>
      </c>
      <c r="E83" s="9" t="s">
        <v>3</v>
      </c>
      <c r="F83" s="9" t="str">
        <f t="shared" si="1"/>
        <v>Not Delivered</v>
      </c>
      <c r="G83" s="9" t="b">
        <v>1</v>
      </c>
      <c r="H83" s="9" t="s">
        <v>4</v>
      </c>
      <c r="I83" s="8">
        <v>6310</v>
      </c>
      <c r="J83" s="10">
        <v>787.03</v>
      </c>
      <c r="K83" s="10">
        <v>132.07</v>
      </c>
      <c r="L83" s="10">
        <v>294.72000000000003</v>
      </c>
      <c r="M83" s="10">
        <v>1213.82</v>
      </c>
      <c r="N83" s="8">
        <v>3</v>
      </c>
      <c r="O83" s="6">
        <v>3.4</v>
      </c>
    </row>
    <row r="84" spans="1:15" x14ac:dyDescent="0.25">
      <c r="A84" s="8">
        <v>74042</v>
      </c>
      <c r="B84" s="9" t="s">
        <v>41</v>
      </c>
      <c r="C84" s="9" t="s">
        <v>42</v>
      </c>
      <c r="D84" s="9" t="s">
        <v>27</v>
      </c>
      <c r="E84" s="9" t="s">
        <v>17</v>
      </c>
      <c r="F84" s="9" t="str">
        <f t="shared" si="1"/>
        <v>Not Delivered</v>
      </c>
      <c r="G84" s="9" t="b">
        <v>1</v>
      </c>
      <c r="H84" s="9" t="s">
        <v>14</v>
      </c>
      <c r="I84" s="8">
        <v>1319</v>
      </c>
      <c r="J84" s="10">
        <v>333.76</v>
      </c>
      <c r="K84" s="10">
        <v>35.81</v>
      </c>
      <c r="L84" s="10">
        <v>36.74</v>
      </c>
      <c r="M84" s="10">
        <v>406.31</v>
      </c>
      <c r="N84" s="8">
        <v>5</v>
      </c>
      <c r="O84" s="6">
        <v>3.8</v>
      </c>
    </row>
    <row r="85" spans="1:15" x14ac:dyDescent="0.25">
      <c r="A85" s="8">
        <v>24662</v>
      </c>
      <c r="B85" s="9" t="s">
        <v>10</v>
      </c>
      <c r="C85" s="9" t="s">
        <v>15</v>
      </c>
      <c r="D85" s="9" t="s">
        <v>19</v>
      </c>
      <c r="E85" s="9" t="s">
        <v>8</v>
      </c>
      <c r="F85" s="9" t="str">
        <f t="shared" si="1"/>
        <v>Not Delivered</v>
      </c>
      <c r="G85" s="9" t="b">
        <v>0</v>
      </c>
      <c r="H85" s="9" t="s">
        <v>22</v>
      </c>
      <c r="I85" s="8">
        <v>6947</v>
      </c>
      <c r="J85" s="10">
        <v>822.02</v>
      </c>
      <c r="K85" s="10">
        <v>121.87</v>
      </c>
      <c r="L85" s="10">
        <v>0</v>
      </c>
      <c r="M85" s="10">
        <v>943.89</v>
      </c>
      <c r="N85" s="8">
        <v>14</v>
      </c>
      <c r="O85" s="6">
        <v>3.5</v>
      </c>
    </row>
    <row r="86" spans="1:15" x14ac:dyDescent="0.25">
      <c r="A86" s="8">
        <v>50306</v>
      </c>
      <c r="B86" s="9" t="s">
        <v>10</v>
      </c>
      <c r="C86" s="9" t="s">
        <v>29</v>
      </c>
      <c r="D86" s="9" t="s">
        <v>25</v>
      </c>
      <c r="E86" s="9" t="s">
        <v>13</v>
      </c>
      <c r="F86" s="9" t="str">
        <f t="shared" si="1"/>
        <v>Delivered</v>
      </c>
      <c r="G86" s="9" t="b">
        <v>1</v>
      </c>
      <c r="H86" s="9" t="s">
        <v>33</v>
      </c>
      <c r="I86" s="8">
        <v>4923</v>
      </c>
      <c r="J86" s="10">
        <v>1518.86</v>
      </c>
      <c r="K86" s="10">
        <v>59.84</v>
      </c>
      <c r="L86" s="10">
        <v>174.95</v>
      </c>
      <c r="M86" s="10">
        <v>1753.65</v>
      </c>
      <c r="N86" s="8">
        <v>5</v>
      </c>
      <c r="O86" s="6">
        <v>1.2</v>
      </c>
    </row>
    <row r="87" spans="1:15" x14ac:dyDescent="0.25">
      <c r="A87" s="8">
        <v>17592</v>
      </c>
      <c r="B87" s="9" t="s">
        <v>10</v>
      </c>
      <c r="C87" s="9" t="s">
        <v>20</v>
      </c>
      <c r="D87" s="9" t="s">
        <v>19</v>
      </c>
      <c r="E87" s="9" t="s">
        <v>3</v>
      </c>
      <c r="F87" s="9" t="str">
        <f t="shared" si="1"/>
        <v>Not Delivered</v>
      </c>
      <c r="G87" s="9" t="b">
        <v>1</v>
      </c>
      <c r="H87" s="9" t="s">
        <v>18</v>
      </c>
      <c r="I87" s="8">
        <v>4946</v>
      </c>
      <c r="J87" s="10">
        <v>376.58</v>
      </c>
      <c r="K87" s="10">
        <v>64.84</v>
      </c>
      <c r="L87" s="10">
        <v>58.75</v>
      </c>
      <c r="M87" s="10">
        <v>500.17</v>
      </c>
      <c r="N87" s="8">
        <v>10</v>
      </c>
      <c r="O87" s="6">
        <v>3.5</v>
      </c>
    </row>
    <row r="88" spans="1:15" x14ac:dyDescent="0.25">
      <c r="A88" s="8">
        <v>84364</v>
      </c>
      <c r="B88" s="9" t="s">
        <v>23</v>
      </c>
      <c r="C88" s="9" t="s">
        <v>24</v>
      </c>
      <c r="D88" s="9" t="s">
        <v>45</v>
      </c>
      <c r="E88" s="9" t="s">
        <v>13</v>
      </c>
      <c r="F88" s="9" t="str">
        <f t="shared" si="1"/>
        <v>Delivered</v>
      </c>
      <c r="G88" s="9" t="b">
        <v>0</v>
      </c>
      <c r="H88" s="9" t="s">
        <v>22</v>
      </c>
      <c r="I88" s="8">
        <v>2290</v>
      </c>
      <c r="J88" s="10">
        <v>1464.28</v>
      </c>
      <c r="K88" s="10">
        <v>0</v>
      </c>
      <c r="L88" s="10">
        <v>0</v>
      </c>
      <c r="M88" s="10">
        <v>1464.28</v>
      </c>
      <c r="N88" s="8">
        <v>11</v>
      </c>
    </row>
    <row r="89" spans="1:15" x14ac:dyDescent="0.25">
      <c r="A89" s="8">
        <v>21226</v>
      </c>
      <c r="B89" s="9" t="s">
        <v>41</v>
      </c>
      <c r="C89" s="9" t="s">
        <v>46</v>
      </c>
      <c r="D89" s="9" t="s">
        <v>45</v>
      </c>
      <c r="E89" s="9" t="s">
        <v>13</v>
      </c>
      <c r="F89" s="9" t="str">
        <f t="shared" si="1"/>
        <v>Delivered</v>
      </c>
      <c r="G89" s="9" t="b">
        <v>0</v>
      </c>
      <c r="H89" s="9" t="s">
        <v>28</v>
      </c>
      <c r="I89" s="8">
        <v>8962</v>
      </c>
      <c r="J89" s="10">
        <v>462.5</v>
      </c>
      <c r="K89" s="10">
        <v>95.89</v>
      </c>
      <c r="L89" s="10">
        <v>0</v>
      </c>
      <c r="M89" s="10">
        <v>558.39</v>
      </c>
      <c r="N89" s="8">
        <v>11</v>
      </c>
      <c r="O89" s="6">
        <v>3.8</v>
      </c>
    </row>
    <row r="90" spans="1:15" x14ac:dyDescent="0.25">
      <c r="A90" s="8">
        <v>19071</v>
      </c>
      <c r="B90" s="9" t="s">
        <v>39</v>
      </c>
      <c r="C90" s="9" t="s">
        <v>58</v>
      </c>
      <c r="D90" s="9" t="s">
        <v>25</v>
      </c>
      <c r="E90" s="9" t="s">
        <v>8</v>
      </c>
      <c r="F90" s="9" t="str">
        <f t="shared" si="1"/>
        <v>Not Delivered</v>
      </c>
      <c r="G90" s="9" t="b">
        <v>0</v>
      </c>
      <c r="H90" s="9" t="s">
        <v>9</v>
      </c>
      <c r="I90" s="8">
        <v>9727</v>
      </c>
      <c r="J90" s="10">
        <v>231.45</v>
      </c>
      <c r="K90" s="10">
        <v>53.6</v>
      </c>
      <c r="L90" s="10">
        <v>0</v>
      </c>
      <c r="M90" s="10">
        <v>285.05</v>
      </c>
      <c r="N90" s="8">
        <v>10</v>
      </c>
      <c r="O90" s="6">
        <v>3.8</v>
      </c>
    </row>
    <row r="91" spans="1:15" x14ac:dyDescent="0.25">
      <c r="A91" s="8">
        <v>26483</v>
      </c>
      <c r="B91" s="9" t="s">
        <v>10</v>
      </c>
      <c r="C91" s="9" t="s">
        <v>26</v>
      </c>
      <c r="D91" s="9" t="s">
        <v>35</v>
      </c>
      <c r="E91" s="9" t="s">
        <v>32</v>
      </c>
      <c r="F91" s="9" t="str">
        <f t="shared" si="1"/>
        <v>Not Delivered</v>
      </c>
      <c r="G91" s="9" t="b">
        <v>1</v>
      </c>
      <c r="H91" s="9" t="s">
        <v>22</v>
      </c>
      <c r="I91" s="8">
        <v>3103</v>
      </c>
      <c r="J91" s="10">
        <v>1175.27</v>
      </c>
      <c r="K91" s="10">
        <v>124.47</v>
      </c>
      <c r="L91" s="10">
        <v>274.93</v>
      </c>
      <c r="M91" s="10">
        <v>1574.67</v>
      </c>
      <c r="N91" s="8">
        <v>5</v>
      </c>
      <c r="O91" s="6">
        <v>1.9</v>
      </c>
    </row>
    <row r="92" spans="1:15" x14ac:dyDescent="0.25">
      <c r="A92" s="8">
        <v>96474</v>
      </c>
      <c r="B92" s="9" t="s">
        <v>23</v>
      </c>
      <c r="C92" s="9" t="s">
        <v>34</v>
      </c>
      <c r="D92" s="9" t="s">
        <v>45</v>
      </c>
      <c r="E92" s="9" t="s">
        <v>17</v>
      </c>
      <c r="F92" s="9" t="str">
        <f t="shared" si="1"/>
        <v>Not Delivered</v>
      </c>
      <c r="G92" s="9" t="b">
        <v>1</v>
      </c>
      <c r="H92" s="9" t="s">
        <v>18</v>
      </c>
      <c r="I92" s="8">
        <v>8787</v>
      </c>
      <c r="J92" s="10">
        <v>864.29</v>
      </c>
      <c r="K92" s="10">
        <v>126.75</v>
      </c>
      <c r="L92" s="10">
        <v>47.59</v>
      </c>
      <c r="M92" s="10">
        <v>1038.6300000000001</v>
      </c>
      <c r="N92" s="8">
        <v>11</v>
      </c>
    </row>
    <row r="93" spans="1:15" x14ac:dyDescent="0.25">
      <c r="A93" s="8">
        <v>82063</v>
      </c>
      <c r="B93" s="9" t="s">
        <v>10</v>
      </c>
      <c r="C93" s="9" t="s">
        <v>29</v>
      </c>
      <c r="D93" s="9" t="s">
        <v>35</v>
      </c>
      <c r="E93" s="9" t="s">
        <v>21</v>
      </c>
      <c r="F93" s="9" t="str">
        <f t="shared" si="1"/>
        <v>Not Delivered</v>
      </c>
      <c r="G93" s="9" t="b">
        <v>0</v>
      </c>
      <c r="H93" s="9" t="s">
        <v>18</v>
      </c>
      <c r="I93" s="8">
        <v>3705</v>
      </c>
      <c r="J93" s="10">
        <v>271.25</v>
      </c>
      <c r="K93" s="10">
        <v>47.13</v>
      </c>
      <c r="L93" s="10">
        <v>0</v>
      </c>
      <c r="M93" s="10">
        <v>318.38</v>
      </c>
      <c r="N93" s="8">
        <v>3</v>
      </c>
      <c r="O93" s="6">
        <v>4.0999999999999996</v>
      </c>
    </row>
    <row r="94" spans="1:15" x14ac:dyDescent="0.25">
      <c r="A94" s="8">
        <v>44741</v>
      </c>
      <c r="B94" s="9" t="s">
        <v>10</v>
      </c>
      <c r="C94" s="9" t="s">
        <v>29</v>
      </c>
      <c r="D94" s="9" t="s">
        <v>45</v>
      </c>
      <c r="E94" s="9" t="s">
        <v>17</v>
      </c>
      <c r="F94" s="9" t="str">
        <f t="shared" si="1"/>
        <v>Not Delivered</v>
      </c>
      <c r="G94" s="9" t="b">
        <v>0</v>
      </c>
      <c r="H94" s="9" t="s">
        <v>28</v>
      </c>
      <c r="I94" s="8">
        <v>9645</v>
      </c>
      <c r="J94" s="10">
        <v>588.24</v>
      </c>
      <c r="K94" s="10">
        <v>98.18</v>
      </c>
      <c r="L94" s="10">
        <v>0</v>
      </c>
      <c r="M94" s="10">
        <v>686.42</v>
      </c>
      <c r="N94" s="8">
        <v>12</v>
      </c>
      <c r="O94" s="6">
        <v>4.2</v>
      </c>
    </row>
    <row r="95" spans="1:15" x14ac:dyDescent="0.25">
      <c r="A95" s="8">
        <v>89507</v>
      </c>
      <c r="B95" s="9" t="s">
        <v>23</v>
      </c>
      <c r="C95" s="9" t="s">
        <v>48</v>
      </c>
      <c r="D95" s="9" t="s">
        <v>30</v>
      </c>
      <c r="E95" s="9" t="s">
        <v>17</v>
      </c>
      <c r="F95" s="9" t="str">
        <f t="shared" si="1"/>
        <v>Not Delivered</v>
      </c>
      <c r="G95" s="9" t="b">
        <v>0</v>
      </c>
      <c r="H95" s="9" t="s">
        <v>9</v>
      </c>
      <c r="I95" s="8">
        <v>7932</v>
      </c>
      <c r="J95" s="10">
        <v>2214.02</v>
      </c>
      <c r="K95" s="10">
        <v>146.72999999999999</v>
      </c>
      <c r="L95" s="10">
        <v>0</v>
      </c>
      <c r="M95" s="10">
        <v>2360.75</v>
      </c>
      <c r="N95" s="8">
        <v>2</v>
      </c>
      <c r="O95" s="6">
        <v>1.1000000000000001</v>
      </c>
    </row>
    <row r="96" spans="1:15" x14ac:dyDescent="0.25">
      <c r="A96" s="8">
        <v>37760</v>
      </c>
      <c r="B96" s="9" t="s">
        <v>10</v>
      </c>
      <c r="C96" s="9" t="s">
        <v>11</v>
      </c>
      <c r="D96" s="9" t="s">
        <v>2</v>
      </c>
      <c r="E96" s="9" t="s">
        <v>32</v>
      </c>
      <c r="F96" s="9" t="str">
        <f t="shared" si="1"/>
        <v>Not Delivered</v>
      </c>
      <c r="G96" s="9" t="b">
        <v>1</v>
      </c>
      <c r="H96" s="9" t="s">
        <v>22</v>
      </c>
      <c r="I96" s="8">
        <v>9835</v>
      </c>
      <c r="J96" s="10">
        <v>1210.6600000000001</v>
      </c>
      <c r="K96" s="10">
        <v>144.03</v>
      </c>
      <c r="L96" s="10">
        <v>73.569999999999993</v>
      </c>
      <c r="M96" s="10">
        <v>1428.26</v>
      </c>
      <c r="N96" s="8">
        <v>10</v>
      </c>
      <c r="O96" s="6">
        <v>3.2</v>
      </c>
    </row>
    <row r="97" spans="1:15" x14ac:dyDescent="0.25">
      <c r="A97" s="8">
        <v>36365</v>
      </c>
      <c r="B97" s="9" t="s">
        <v>5</v>
      </c>
      <c r="C97" s="9" t="s">
        <v>31</v>
      </c>
      <c r="D97" s="9" t="s">
        <v>25</v>
      </c>
      <c r="E97" s="9" t="s">
        <v>13</v>
      </c>
      <c r="F97" s="9" t="str">
        <f t="shared" si="1"/>
        <v>Delivered</v>
      </c>
      <c r="G97" s="9" t="b">
        <v>0</v>
      </c>
      <c r="H97" s="9" t="s">
        <v>9</v>
      </c>
      <c r="I97" s="8">
        <v>6107</v>
      </c>
      <c r="J97" s="10">
        <v>2094.87</v>
      </c>
      <c r="K97" s="10">
        <v>80.22</v>
      </c>
      <c r="L97" s="10">
        <v>0</v>
      </c>
      <c r="M97" s="10">
        <v>2175.09</v>
      </c>
      <c r="N97" s="8">
        <v>2</v>
      </c>
    </row>
    <row r="98" spans="1:15" x14ac:dyDescent="0.25">
      <c r="A98" s="8">
        <v>62296</v>
      </c>
      <c r="B98" s="9" t="s">
        <v>5</v>
      </c>
      <c r="C98" s="9" t="s">
        <v>6</v>
      </c>
      <c r="D98" s="9" t="s">
        <v>30</v>
      </c>
      <c r="E98" s="9" t="s">
        <v>3</v>
      </c>
      <c r="F98" s="9" t="str">
        <f t="shared" si="1"/>
        <v>Not Delivered</v>
      </c>
      <c r="G98" s="9" t="b">
        <v>0</v>
      </c>
      <c r="H98" s="9" t="s">
        <v>18</v>
      </c>
      <c r="I98" s="8">
        <v>7118</v>
      </c>
      <c r="J98" s="10">
        <v>740.04</v>
      </c>
      <c r="K98" s="10">
        <v>88.86</v>
      </c>
      <c r="L98" s="10">
        <v>0</v>
      </c>
      <c r="M98" s="10">
        <v>828.9</v>
      </c>
      <c r="N98" s="8">
        <v>11</v>
      </c>
      <c r="O98" s="6">
        <v>3.8</v>
      </c>
    </row>
    <row r="99" spans="1:15" x14ac:dyDescent="0.25">
      <c r="A99" s="8">
        <v>67422</v>
      </c>
      <c r="B99" s="9" t="s">
        <v>0</v>
      </c>
      <c r="C99" s="9" t="s">
        <v>53</v>
      </c>
      <c r="D99" s="9" t="s">
        <v>35</v>
      </c>
      <c r="E99" s="9" t="s">
        <v>32</v>
      </c>
      <c r="F99" s="9" t="str">
        <f t="shared" si="1"/>
        <v>Not Delivered</v>
      </c>
      <c r="G99" s="9" t="b">
        <v>0</v>
      </c>
      <c r="H99" s="9" t="s">
        <v>9</v>
      </c>
      <c r="I99" s="8">
        <v>9479</v>
      </c>
      <c r="J99" s="10">
        <v>1610.93</v>
      </c>
      <c r="K99" s="10">
        <v>133.37</v>
      </c>
      <c r="L99" s="10">
        <v>0</v>
      </c>
      <c r="M99" s="10">
        <v>1744.3</v>
      </c>
      <c r="N99" s="8">
        <v>5</v>
      </c>
    </row>
    <row r="100" spans="1:15" x14ac:dyDescent="0.25">
      <c r="A100" s="8">
        <v>69177</v>
      </c>
      <c r="B100" s="9" t="s">
        <v>39</v>
      </c>
      <c r="C100" s="9" t="s">
        <v>40</v>
      </c>
      <c r="D100" s="9" t="s">
        <v>25</v>
      </c>
      <c r="E100" s="9" t="s">
        <v>3</v>
      </c>
      <c r="F100" s="9" t="str">
        <f t="shared" si="1"/>
        <v>Not Delivered</v>
      </c>
      <c r="G100" s="9" t="b">
        <v>0</v>
      </c>
      <c r="H100" s="9" t="s">
        <v>33</v>
      </c>
      <c r="I100" s="8">
        <v>2982</v>
      </c>
      <c r="J100" s="10">
        <v>1294.74</v>
      </c>
      <c r="K100" s="10">
        <v>0</v>
      </c>
      <c r="L100" s="10">
        <v>0</v>
      </c>
      <c r="M100" s="10">
        <v>1294.74</v>
      </c>
      <c r="N100" s="8">
        <v>9</v>
      </c>
      <c r="O100" s="6">
        <v>3.6</v>
      </c>
    </row>
    <row r="101" spans="1:15" x14ac:dyDescent="0.25">
      <c r="A101" s="8">
        <v>42493</v>
      </c>
      <c r="B101" s="9" t="s">
        <v>23</v>
      </c>
      <c r="C101" s="9" t="s">
        <v>60</v>
      </c>
      <c r="E101" s="9" t="s">
        <v>32</v>
      </c>
      <c r="F101" s="9" t="str">
        <f t="shared" si="1"/>
        <v>Not Delivered</v>
      </c>
      <c r="G101" s="9" t="b">
        <v>1</v>
      </c>
      <c r="H101" s="9" t="s">
        <v>4</v>
      </c>
      <c r="I101" s="8">
        <v>4681</v>
      </c>
      <c r="J101" s="10">
        <v>2854.68</v>
      </c>
      <c r="K101" s="10">
        <v>59.17</v>
      </c>
      <c r="L101" s="10">
        <v>26.26</v>
      </c>
      <c r="M101" s="10">
        <v>2940.11</v>
      </c>
      <c r="N101" s="8">
        <v>6</v>
      </c>
      <c r="O101" s="6">
        <v>1.5</v>
      </c>
    </row>
    <row r="102" spans="1:15" x14ac:dyDescent="0.25">
      <c r="A102" s="8">
        <v>18392</v>
      </c>
      <c r="B102" s="9" t="s">
        <v>41</v>
      </c>
      <c r="C102" s="9" t="s">
        <v>46</v>
      </c>
      <c r="D102" s="9" t="s">
        <v>7</v>
      </c>
      <c r="E102" s="9" t="s">
        <v>17</v>
      </c>
      <c r="F102" s="9" t="str">
        <f t="shared" si="1"/>
        <v>Not Delivered</v>
      </c>
      <c r="G102" s="9" t="b">
        <v>1</v>
      </c>
      <c r="H102" s="9" t="s">
        <v>22</v>
      </c>
      <c r="I102" s="8">
        <v>6539</v>
      </c>
      <c r="J102" s="10">
        <v>1590.04</v>
      </c>
      <c r="K102" s="10">
        <v>73.3</v>
      </c>
      <c r="L102" s="10">
        <v>31.93</v>
      </c>
      <c r="M102" s="10">
        <v>1695.27</v>
      </c>
      <c r="N102" s="8">
        <v>3</v>
      </c>
      <c r="O102" s="6">
        <v>3.2</v>
      </c>
    </row>
    <row r="103" spans="1:15" x14ac:dyDescent="0.25">
      <c r="A103" s="8">
        <v>12757</v>
      </c>
      <c r="B103" s="9" t="s">
        <v>5</v>
      </c>
      <c r="C103" s="9" t="s">
        <v>36</v>
      </c>
      <c r="D103" s="9" t="s">
        <v>38</v>
      </c>
      <c r="E103" s="9" t="s">
        <v>3</v>
      </c>
      <c r="F103" s="9" t="str">
        <f t="shared" si="1"/>
        <v>Not Delivered</v>
      </c>
      <c r="G103" s="9" t="b">
        <v>1</v>
      </c>
      <c r="H103" s="9" t="s">
        <v>18</v>
      </c>
      <c r="I103" s="8">
        <v>4770</v>
      </c>
      <c r="J103" s="10">
        <v>234.18</v>
      </c>
      <c r="K103" s="10">
        <v>84.25</v>
      </c>
      <c r="M103" s="10">
        <v>420.01</v>
      </c>
      <c r="N103" s="8">
        <v>5</v>
      </c>
    </row>
    <row r="104" spans="1:15" x14ac:dyDescent="0.25">
      <c r="A104" s="8">
        <v>87128</v>
      </c>
      <c r="B104" s="9" t="s">
        <v>5</v>
      </c>
      <c r="C104" s="9" t="s">
        <v>31</v>
      </c>
      <c r="D104" s="9" t="s">
        <v>19</v>
      </c>
      <c r="E104" s="9" t="s">
        <v>21</v>
      </c>
      <c r="F104" s="9" t="str">
        <f t="shared" si="1"/>
        <v>Not Delivered</v>
      </c>
      <c r="G104" s="9" t="b">
        <v>0</v>
      </c>
      <c r="H104" s="9" t="s">
        <v>4</v>
      </c>
      <c r="I104" s="8">
        <v>4608</v>
      </c>
      <c r="J104" s="10">
        <v>346.18</v>
      </c>
      <c r="K104" s="10">
        <v>58.62</v>
      </c>
      <c r="L104" s="10">
        <v>0</v>
      </c>
      <c r="M104" s="10">
        <v>404.8</v>
      </c>
      <c r="N104" s="8">
        <v>9</v>
      </c>
      <c r="O104" s="6">
        <v>2.8</v>
      </c>
    </row>
    <row r="105" spans="1:15" x14ac:dyDescent="0.25">
      <c r="A105" s="8">
        <v>10942</v>
      </c>
      <c r="B105" s="9" t="s">
        <v>0</v>
      </c>
      <c r="C105" s="9" t="s">
        <v>43</v>
      </c>
      <c r="D105" s="9" t="s">
        <v>45</v>
      </c>
      <c r="E105" s="9" t="s">
        <v>8</v>
      </c>
      <c r="F105" s="9" t="str">
        <f t="shared" si="1"/>
        <v>Not Delivered</v>
      </c>
      <c r="G105" s="9" t="b">
        <v>0</v>
      </c>
      <c r="H105" s="9" t="s">
        <v>9</v>
      </c>
      <c r="I105" s="8">
        <v>2163</v>
      </c>
      <c r="J105" s="10">
        <v>647.69000000000005</v>
      </c>
      <c r="K105" s="10">
        <v>53.12</v>
      </c>
      <c r="L105" s="10">
        <v>0</v>
      </c>
      <c r="M105" s="10">
        <v>700.81</v>
      </c>
      <c r="N105" s="8">
        <v>14</v>
      </c>
      <c r="O105" s="6">
        <v>3.7</v>
      </c>
    </row>
    <row r="106" spans="1:15" x14ac:dyDescent="0.25">
      <c r="A106" s="8">
        <v>92719</v>
      </c>
      <c r="B106" s="9" t="s">
        <v>5</v>
      </c>
      <c r="C106" s="9" t="s">
        <v>6</v>
      </c>
      <c r="D106" s="9" t="s">
        <v>2</v>
      </c>
      <c r="E106" s="9" t="s">
        <v>21</v>
      </c>
      <c r="F106" s="9" t="str">
        <f t="shared" si="1"/>
        <v>Not Delivered</v>
      </c>
      <c r="G106" s="9" t="b">
        <v>1</v>
      </c>
      <c r="H106" s="9" t="s">
        <v>33</v>
      </c>
      <c r="I106" s="8">
        <v>1964</v>
      </c>
      <c r="J106" s="10">
        <v>940.86</v>
      </c>
      <c r="K106" s="10">
        <v>0</v>
      </c>
      <c r="L106" s="10">
        <v>162.43</v>
      </c>
      <c r="M106" s="10">
        <v>1103.29</v>
      </c>
      <c r="N106" s="8">
        <v>10</v>
      </c>
      <c r="O106" s="6">
        <v>2.2999999999999998</v>
      </c>
    </row>
    <row r="107" spans="1:15" x14ac:dyDescent="0.25">
      <c r="A107" s="8">
        <v>40007</v>
      </c>
      <c r="B107" s="9" t="s">
        <v>39</v>
      </c>
      <c r="C107" s="9" t="s">
        <v>55</v>
      </c>
      <c r="D107" s="9" t="s">
        <v>16</v>
      </c>
      <c r="E107" s="9" t="s">
        <v>3</v>
      </c>
      <c r="F107" s="9" t="str">
        <f t="shared" si="1"/>
        <v>Not Delivered</v>
      </c>
      <c r="G107" s="9" t="b">
        <v>1</v>
      </c>
      <c r="H107" s="9" t="s">
        <v>22</v>
      </c>
      <c r="I107" s="8">
        <v>2104</v>
      </c>
      <c r="J107" s="10">
        <v>939.71</v>
      </c>
      <c r="K107" s="10">
        <v>0</v>
      </c>
      <c r="L107" s="10">
        <v>71.5</v>
      </c>
      <c r="M107" s="10">
        <v>1011.21</v>
      </c>
      <c r="N107" s="8">
        <v>4</v>
      </c>
      <c r="O107" s="6">
        <v>4.3</v>
      </c>
    </row>
    <row r="108" spans="1:15" x14ac:dyDescent="0.25">
      <c r="A108" s="8">
        <v>14117</v>
      </c>
      <c r="B108" s="9" t="s">
        <v>5</v>
      </c>
      <c r="C108" s="9" t="s">
        <v>56</v>
      </c>
      <c r="D108" s="9" t="s">
        <v>16</v>
      </c>
      <c r="E108" s="9" t="s">
        <v>17</v>
      </c>
      <c r="F108" s="9" t="str">
        <f t="shared" si="1"/>
        <v>Not Delivered</v>
      </c>
      <c r="G108" s="9" t="b">
        <v>1</v>
      </c>
      <c r="H108" s="9" t="s">
        <v>22</v>
      </c>
      <c r="I108" s="8">
        <v>6413</v>
      </c>
      <c r="J108" s="10">
        <v>1181.56</v>
      </c>
      <c r="K108" s="10">
        <v>87.43</v>
      </c>
      <c r="L108" s="10">
        <v>160.07</v>
      </c>
      <c r="M108" s="10">
        <v>1429.06</v>
      </c>
      <c r="N108" s="8">
        <v>14</v>
      </c>
    </row>
    <row r="109" spans="1:15" x14ac:dyDescent="0.25">
      <c r="A109" s="8">
        <v>19287</v>
      </c>
      <c r="B109" s="9" t="s">
        <v>0</v>
      </c>
      <c r="C109" s="9" t="s">
        <v>51</v>
      </c>
      <c r="D109" s="9" t="s">
        <v>35</v>
      </c>
      <c r="E109" s="9" t="s">
        <v>8</v>
      </c>
      <c r="F109" s="9" t="str">
        <f t="shared" si="1"/>
        <v>Not Delivered</v>
      </c>
      <c r="G109" s="9" t="b">
        <v>0</v>
      </c>
      <c r="H109" s="9" t="s">
        <v>14</v>
      </c>
      <c r="I109" s="8">
        <v>9423</v>
      </c>
      <c r="J109" s="10">
        <v>1489.42</v>
      </c>
      <c r="K109" s="10">
        <v>108.65</v>
      </c>
      <c r="L109" s="10">
        <v>0</v>
      </c>
      <c r="M109" s="10">
        <v>1598.07</v>
      </c>
      <c r="N109" s="8">
        <v>11</v>
      </c>
    </row>
    <row r="110" spans="1:15" x14ac:dyDescent="0.25">
      <c r="A110" s="8">
        <v>41195</v>
      </c>
      <c r="B110" s="9" t="s">
        <v>39</v>
      </c>
      <c r="C110" s="9" t="s">
        <v>57</v>
      </c>
      <c r="D110" s="9" t="s">
        <v>30</v>
      </c>
      <c r="E110" s="9" t="s">
        <v>13</v>
      </c>
      <c r="F110" s="9" t="str">
        <f t="shared" si="1"/>
        <v>Delivered</v>
      </c>
      <c r="G110" s="9" t="b">
        <v>1</v>
      </c>
      <c r="H110" s="9" t="s">
        <v>4</v>
      </c>
      <c r="I110" s="8">
        <v>5562</v>
      </c>
      <c r="J110" s="10">
        <v>1455.13</v>
      </c>
      <c r="K110" s="10">
        <v>85.16</v>
      </c>
      <c r="L110" s="10">
        <v>82.84</v>
      </c>
      <c r="M110" s="10">
        <v>1623.13</v>
      </c>
      <c r="N110" s="8">
        <v>4</v>
      </c>
      <c r="O110" s="6">
        <v>2.4</v>
      </c>
    </row>
    <row r="111" spans="1:15" x14ac:dyDescent="0.25">
      <c r="A111" s="8">
        <v>97684</v>
      </c>
      <c r="B111" s="9" t="s">
        <v>10</v>
      </c>
      <c r="C111" s="9" t="s">
        <v>15</v>
      </c>
      <c r="D111" s="9" t="s">
        <v>35</v>
      </c>
      <c r="E111" s="9" t="s">
        <v>13</v>
      </c>
      <c r="F111" s="9" t="str">
        <f t="shared" si="1"/>
        <v>Delivered</v>
      </c>
      <c r="G111" s="9" t="b">
        <v>1</v>
      </c>
      <c r="H111" s="9" t="s">
        <v>4</v>
      </c>
      <c r="I111" s="8">
        <v>8953</v>
      </c>
      <c r="J111" s="10">
        <v>529.70000000000005</v>
      </c>
      <c r="K111" s="10">
        <v>106.1</v>
      </c>
      <c r="L111" s="10">
        <v>102.9</v>
      </c>
      <c r="M111" s="10">
        <v>738.7</v>
      </c>
      <c r="N111" s="8">
        <v>5</v>
      </c>
      <c r="O111" s="6">
        <v>2.2000000000000002</v>
      </c>
    </row>
    <row r="112" spans="1:15" x14ac:dyDescent="0.25">
      <c r="A112" s="8">
        <v>38080</v>
      </c>
      <c r="B112" s="9" t="s">
        <v>23</v>
      </c>
      <c r="C112" s="9" t="s">
        <v>24</v>
      </c>
      <c r="D112" s="9" t="s">
        <v>7</v>
      </c>
      <c r="E112" s="9" t="s">
        <v>13</v>
      </c>
      <c r="F112" s="9" t="str">
        <f t="shared" si="1"/>
        <v>Delivered</v>
      </c>
      <c r="G112" s="9" t="b">
        <v>1</v>
      </c>
      <c r="H112" s="9" t="s">
        <v>33</v>
      </c>
      <c r="I112" s="8">
        <v>9834</v>
      </c>
      <c r="J112" s="10">
        <v>1764.02</v>
      </c>
      <c r="K112" s="10">
        <v>64.19</v>
      </c>
      <c r="L112" s="10">
        <v>43.65</v>
      </c>
      <c r="M112" s="10">
        <v>1871.86</v>
      </c>
      <c r="N112" s="8">
        <v>4</v>
      </c>
      <c r="O112" s="6">
        <v>2.8</v>
      </c>
    </row>
    <row r="113" spans="1:15" x14ac:dyDescent="0.25">
      <c r="A113" s="8">
        <v>27342</v>
      </c>
      <c r="B113" s="9" t="s">
        <v>0</v>
      </c>
      <c r="C113" s="9" t="s">
        <v>51</v>
      </c>
      <c r="E113" s="9" t="s">
        <v>13</v>
      </c>
      <c r="F113" s="9" t="str">
        <f t="shared" si="1"/>
        <v>Delivered</v>
      </c>
      <c r="G113" s="9" t="b">
        <v>1</v>
      </c>
      <c r="H113" s="9" t="s">
        <v>9</v>
      </c>
      <c r="I113" s="8">
        <v>8744</v>
      </c>
      <c r="J113" s="10">
        <v>1431.78</v>
      </c>
      <c r="K113" s="10">
        <v>58.5</v>
      </c>
      <c r="L113" s="10">
        <v>57.87</v>
      </c>
      <c r="M113" s="10">
        <v>1548.15</v>
      </c>
      <c r="N113" s="8">
        <v>10</v>
      </c>
    </row>
    <row r="114" spans="1:15" x14ac:dyDescent="0.25">
      <c r="A114" s="8">
        <v>41850</v>
      </c>
      <c r="B114" s="9" t="s">
        <v>0</v>
      </c>
      <c r="C114" s="9" t="s">
        <v>37</v>
      </c>
      <c r="D114" s="9" t="s">
        <v>30</v>
      </c>
      <c r="E114" s="9" t="s">
        <v>8</v>
      </c>
      <c r="F114" s="9" t="str">
        <f t="shared" si="1"/>
        <v>Not Delivered</v>
      </c>
      <c r="G114" s="9" t="b">
        <v>1</v>
      </c>
      <c r="H114" s="9" t="s">
        <v>33</v>
      </c>
      <c r="I114" s="8">
        <v>8749</v>
      </c>
      <c r="J114" s="10">
        <v>951.34</v>
      </c>
      <c r="K114" s="10">
        <v>77.319999999999993</v>
      </c>
      <c r="L114" s="10">
        <v>142.99</v>
      </c>
      <c r="M114" s="10">
        <v>1171.6500000000001</v>
      </c>
      <c r="N114" s="8">
        <v>5</v>
      </c>
      <c r="O114" s="6">
        <v>3.4</v>
      </c>
    </row>
    <row r="115" spans="1:15" x14ac:dyDescent="0.25">
      <c r="A115" s="8">
        <v>63354</v>
      </c>
      <c r="B115" s="9" t="s">
        <v>5</v>
      </c>
      <c r="C115" s="9" t="s">
        <v>36</v>
      </c>
      <c r="D115" s="9" t="s">
        <v>50</v>
      </c>
      <c r="E115" s="9" t="s">
        <v>13</v>
      </c>
      <c r="F115" s="9" t="str">
        <f t="shared" si="1"/>
        <v>Delivered</v>
      </c>
      <c r="G115" s="9" t="b">
        <v>0</v>
      </c>
      <c r="H115" s="9" t="s">
        <v>4</v>
      </c>
      <c r="I115" s="8">
        <v>4119</v>
      </c>
      <c r="J115" s="10">
        <v>1109.1099999999999</v>
      </c>
      <c r="K115" s="10">
        <v>50.77</v>
      </c>
      <c r="L115" s="10">
        <v>0</v>
      </c>
      <c r="M115" s="10">
        <v>1159.8800000000001</v>
      </c>
      <c r="N115" s="8">
        <v>4</v>
      </c>
      <c r="O115" s="6">
        <v>4.0999999999999996</v>
      </c>
    </row>
    <row r="116" spans="1:15" x14ac:dyDescent="0.25">
      <c r="A116" s="8">
        <v>22363</v>
      </c>
      <c r="B116" s="9" t="s">
        <v>5</v>
      </c>
      <c r="C116" s="9" t="s">
        <v>44</v>
      </c>
      <c r="D116" s="9" t="s">
        <v>27</v>
      </c>
      <c r="E116" s="9" t="s">
        <v>13</v>
      </c>
      <c r="F116" s="9" t="str">
        <f t="shared" si="1"/>
        <v>Delivered</v>
      </c>
      <c r="G116" s="9" t="b">
        <v>0</v>
      </c>
      <c r="H116" s="9" t="s">
        <v>4</v>
      </c>
      <c r="I116" s="8">
        <v>2588</v>
      </c>
      <c r="J116" s="10">
        <v>1918.13</v>
      </c>
      <c r="K116" s="10">
        <v>0</v>
      </c>
      <c r="L116" s="10">
        <v>0</v>
      </c>
      <c r="M116" s="10">
        <v>1918.13</v>
      </c>
      <c r="N116" s="8">
        <v>9</v>
      </c>
      <c r="O116" s="6">
        <v>3</v>
      </c>
    </row>
    <row r="117" spans="1:15" x14ac:dyDescent="0.25">
      <c r="A117" s="8">
        <v>96374</v>
      </c>
      <c r="B117" s="9" t="s">
        <v>39</v>
      </c>
      <c r="C117" s="9" t="s">
        <v>57</v>
      </c>
      <c r="D117" s="9" t="s">
        <v>27</v>
      </c>
      <c r="E117" s="9" t="s">
        <v>3</v>
      </c>
      <c r="F117" s="9" t="str">
        <f t="shared" si="1"/>
        <v>Not Delivered</v>
      </c>
      <c r="G117" s="9" t="b">
        <v>0</v>
      </c>
      <c r="H117" s="9" t="s">
        <v>33</v>
      </c>
      <c r="I117" s="8">
        <v>8062</v>
      </c>
      <c r="J117" s="10">
        <v>699.43</v>
      </c>
      <c r="K117" s="10">
        <v>57.79</v>
      </c>
      <c r="L117" s="10">
        <v>0</v>
      </c>
      <c r="M117" s="10">
        <v>757.22</v>
      </c>
      <c r="N117" s="8">
        <v>10</v>
      </c>
      <c r="O117" s="6">
        <v>2.6</v>
      </c>
    </row>
    <row r="118" spans="1:15" x14ac:dyDescent="0.25">
      <c r="A118" s="8">
        <v>56438</v>
      </c>
      <c r="B118" s="9" t="s">
        <v>5</v>
      </c>
      <c r="C118" s="9" t="s">
        <v>44</v>
      </c>
      <c r="D118" s="9" t="s">
        <v>16</v>
      </c>
      <c r="E118" s="9" t="s">
        <v>17</v>
      </c>
      <c r="F118" s="9" t="str">
        <f t="shared" si="1"/>
        <v>Not Delivered</v>
      </c>
      <c r="G118" s="9" t="b">
        <v>0</v>
      </c>
      <c r="H118" s="9" t="s">
        <v>28</v>
      </c>
      <c r="I118" s="8">
        <v>7939</v>
      </c>
      <c r="J118" s="10">
        <v>247.97</v>
      </c>
      <c r="K118" s="10">
        <v>49.36</v>
      </c>
      <c r="M118" s="10">
        <v>297.33</v>
      </c>
      <c r="N118" s="8">
        <v>14</v>
      </c>
      <c r="O118" s="6">
        <v>2.4</v>
      </c>
    </row>
    <row r="119" spans="1:15" x14ac:dyDescent="0.25">
      <c r="A119" s="8">
        <v>63883</v>
      </c>
      <c r="B119" s="9" t="s">
        <v>39</v>
      </c>
      <c r="C119" s="9" t="s">
        <v>55</v>
      </c>
      <c r="D119" s="9" t="s">
        <v>7</v>
      </c>
      <c r="E119" s="9" t="s">
        <v>17</v>
      </c>
      <c r="F119" s="9" t="str">
        <f t="shared" si="1"/>
        <v>Not Delivered</v>
      </c>
      <c r="G119" s="9" t="b">
        <v>0</v>
      </c>
      <c r="H119" s="9" t="s">
        <v>18</v>
      </c>
      <c r="I119" s="8">
        <v>8651</v>
      </c>
      <c r="J119" s="10">
        <v>648.64</v>
      </c>
      <c r="K119" s="10">
        <v>0</v>
      </c>
      <c r="L119" s="10">
        <v>0</v>
      </c>
      <c r="M119" s="10">
        <v>648.64</v>
      </c>
      <c r="N119" s="8">
        <v>12</v>
      </c>
      <c r="O119" s="6">
        <v>2.2999999999999998</v>
      </c>
    </row>
    <row r="120" spans="1:15" x14ac:dyDescent="0.25">
      <c r="A120" s="8">
        <v>17100</v>
      </c>
      <c r="B120" s="9" t="s">
        <v>0</v>
      </c>
      <c r="C120" s="9" t="s">
        <v>1</v>
      </c>
      <c r="D120" s="9" t="s">
        <v>7</v>
      </c>
      <c r="E120" s="9" t="s">
        <v>32</v>
      </c>
      <c r="F120" s="9" t="str">
        <f t="shared" si="1"/>
        <v>Not Delivered</v>
      </c>
      <c r="G120" s="9" t="b">
        <v>0</v>
      </c>
      <c r="H120" s="9" t="s">
        <v>4</v>
      </c>
      <c r="I120" s="8">
        <v>2612</v>
      </c>
      <c r="J120" s="10">
        <v>1025.5</v>
      </c>
      <c r="K120" s="10">
        <v>0</v>
      </c>
      <c r="L120" s="10">
        <v>0</v>
      </c>
      <c r="M120" s="10">
        <v>1025.5</v>
      </c>
      <c r="N120" s="8">
        <v>6</v>
      </c>
      <c r="O120" s="6">
        <v>4.3</v>
      </c>
    </row>
    <row r="121" spans="1:15" x14ac:dyDescent="0.25">
      <c r="A121" s="8">
        <v>17944</v>
      </c>
      <c r="B121" s="9" t="s">
        <v>23</v>
      </c>
      <c r="C121" s="9" t="s">
        <v>49</v>
      </c>
      <c r="D121" s="9" t="s">
        <v>2</v>
      </c>
      <c r="E121" s="9" t="s">
        <v>3</v>
      </c>
      <c r="F121" s="9" t="str">
        <f t="shared" si="1"/>
        <v>Not Delivered</v>
      </c>
      <c r="G121" s="9" t="b">
        <v>1</v>
      </c>
      <c r="H121" s="9" t="s">
        <v>22</v>
      </c>
      <c r="I121" s="8">
        <v>7596</v>
      </c>
      <c r="J121" s="10">
        <v>712.22</v>
      </c>
      <c r="K121" s="10">
        <v>126.02</v>
      </c>
      <c r="L121" s="10">
        <v>97.56</v>
      </c>
      <c r="M121" s="10">
        <v>935.8</v>
      </c>
      <c r="N121" s="8">
        <v>11</v>
      </c>
      <c r="O121" s="6">
        <v>4</v>
      </c>
    </row>
    <row r="122" spans="1:15" x14ac:dyDescent="0.25">
      <c r="A122" s="8">
        <v>54473</v>
      </c>
      <c r="B122" s="9" t="s">
        <v>41</v>
      </c>
      <c r="C122" s="9" t="s">
        <v>61</v>
      </c>
      <c r="E122" s="9" t="s">
        <v>21</v>
      </c>
      <c r="F122" s="9" t="str">
        <f t="shared" si="1"/>
        <v>Not Delivered</v>
      </c>
      <c r="G122" s="9" t="b">
        <v>1</v>
      </c>
      <c r="H122" s="9" t="s">
        <v>4</v>
      </c>
      <c r="I122" s="8">
        <v>2790</v>
      </c>
      <c r="J122" s="10">
        <v>2201.34</v>
      </c>
      <c r="K122" s="10">
        <v>65.099999999999994</v>
      </c>
      <c r="L122" s="10">
        <v>216.33</v>
      </c>
      <c r="M122" s="10">
        <v>2482.77</v>
      </c>
      <c r="N122" s="8">
        <v>5</v>
      </c>
      <c r="O122" s="6">
        <v>3.4</v>
      </c>
    </row>
    <row r="123" spans="1:15" x14ac:dyDescent="0.25">
      <c r="A123" s="8">
        <v>42591</v>
      </c>
      <c r="B123" s="9" t="s">
        <v>10</v>
      </c>
      <c r="C123" s="9" t="s">
        <v>20</v>
      </c>
      <c r="D123" s="9" t="s">
        <v>12</v>
      </c>
      <c r="E123" s="9" t="s">
        <v>21</v>
      </c>
      <c r="F123" s="9" t="str">
        <f t="shared" si="1"/>
        <v>Not Delivered</v>
      </c>
      <c r="G123" s="9" t="b">
        <v>0</v>
      </c>
      <c r="H123" s="9" t="s">
        <v>18</v>
      </c>
      <c r="I123" s="8">
        <v>4139</v>
      </c>
      <c r="J123" s="10">
        <v>958.64</v>
      </c>
      <c r="K123" s="10">
        <v>0</v>
      </c>
      <c r="L123" s="10">
        <v>0</v>
      </c>
      <c r="M123" s="10">
        <v>958.64</v>
      </c>
      <c r="N123" s="8">
        <v>2</v>
      </c>
      <c r="O123" s="6">
        <v>4.9000000000000004</v>
      </c>
    </row>
    <row r="124" spans="1:15" x14ac:dyDescent="0.25">
      <c r="A124" s="8">
        <v>34931</v>
      </c>
      <c r="B124" s="9" t="s">
        <v>41</v>
      </c>
      <c r="C124" s="9" t="s">
        <v>42</v>
      </c>
      <c r="D124" s="9" t="s">
        <v>45</v>
      </c>
      <c r="E124" s="9" t="s">
        <v>21</v>
      </c>
      <c r="F124" s="9" t="str">
        <f t="shared" si="1"/>
        <v>Not Delivered</v>
      </c>
      <c r="G124" s="9" t="b">
        <v>1</v>
      </c>
      <c r="H124" s="9" t="s">
        <v>28</v>
      </c>
      <c r="I124" s="8">
        <v>9786</v>
      </c>
      <c r="J124" s="10">
        <v>1317.97</v>
      </c>
      <c r="K124" s="10">
        <v>129.18</v>
      </c>
      <c r="L124" s="10">
        <v>286.36</v>
      </c>
      <c r="M124" s="10">
        <v>1733.51</v>
      </c>
      <c r="N124" s="8">
        <v>10</v>
      </c>
      <c r="O124" s="6">
        <v>2.2999999999999998</v>
      </c>
    </row>
    <row r="125" spans="1:15" x14ac:dyDescent="0.25">
      <c r="A125" s="8">
        <v>68800</v>
      </c>
      <c r="B125" s="9" t="s">
        <v>5</v>
      </c>
      <c r="C125" s="9" t="s">
        <v>44</v>
      </c>
      <c r="D125" s="9" t="s">
        <v>27</v>
      </c>
      <c r="E125" s="9" t="s">
        <v>32</v>
      </c>
      <c r="F125" s="9" t="str">
        <f t="shared" si="1"/>
        <v>Not Delivered</v>
      </c>
      <c r="G125" s="9" t="b">
        <v>0</v>
      </c>
      <c r="H125" s="9" t="s">
        <v>4</v>
      </c>
      <c r="I125" s="8">
        <v>3296</v>
      </c>
      <c r="J125" s="10">
        <v>438.05</v>
      </c>
      <c r="K125" s="10">
        <v>92.43</v>
      </c>
      <c r="L125" s="10">
        <v>0</v>
      </c>
      <c r="M125" s="10">
        <v>530.48</v>
      </c>
      <c r="N125" s="8">
        <v>12</v>
      </c>
    </row>
    <row r="126" spans="1:15" x14ac:dyDescent="0.25">
      <c r="A126" s="8">
        <v>65296</v>
      </c>
      <c r="B126" s="9" t="s">
        <v>23</v>
      </c>
      <c r="C126" s="9" t="s">
        <v>48</v>
      </c>
      <c r="D126" s="9" t="s">
        <v>27</v>
      </c>
      <c r="E126" s="9" t="s">
        <v>21</v>
      </c>
      <c r="F126" s="9" t="str">
        <f t="shared" si="1"/>
        <v>Not Delivered</v>
      </c>
      <c r="G126" s="9" t="b">
        <v>1</v>
      </c>
      <c r="H126" s="9" t="s">
        <v>4</v>
      </c>
      <c r="I126" s="8">
        <v>4006</v>
      </c>
      <c r="J126" s="10">
        <v>1397.61</v>
      </c>
      <c r="K126" s="10">
        <v>102.27</v>
      </c>
      <c r="L126" s="10">
        <v>137.29</v>
      </c>
      <c r="M126" s="10">
        <v>1637.17</v>
      </c>
      <c r="N126" s="8">
        <v>5</v>
      </c>
      <c r="O126" s="6">
        <v>4.0999999999999996</v>
      </c>
    </row>
    <row r="127" spans="1:15" x14ac:dyDescent="0.25">
      <c r="A127" s="8">
        <v>46509</v>
      </c>
      <c r="B127" s="9" t="s">
        <v>0</v>
      </c>
      <c r="C127" s="9" t="s">
        <v>51</v>
      </c>
      <c r="D127" s="9" t="s">
        <v>2</v>
      </c>
      <c r="E127" s="9" t="s">
        <v>32</v>
      </c>
      <c r="F127" s="9" t="str">
        <f t="shared" si="1"/>
        <v>Not Delivered</v>
      </c>
      <c r="G127" s="9" t="b">
        <v>0</v>
      </c>
      <c r="H127" s="9" t="s">
        <v>33</v>
      </c>
      <c r="I127" s="8">
        <v>8579</v>
      </c>
      <c r="J127" s="10">
        <v>258.75</v>
      </c>
      <c r="K127" s="10">
        <v>32.090000000000003</v>
      </c>
      <c r="L127" s="10">
        <v>0</v>
      </c>
      <c r="M127" s="10">
        <v>290.83999999999997</v>
      </c>
      <c r="N127" s="8">
        <v>5</v>
      </c>
      <c r="O127" s="6">
        <v>4.4000000000000004</v>
      </c>
    </row>
    <row r="128" spans="1:15" x14ac:dyDescent="0.25">
      <c r="A128" s="8">
        <v>42742</v>
      </c>
      <c r="B128" s="9" t="s">
        <v>5</v>
      </c>
      <c r="C128" s="9" t="s">
        <v>59</v>
      </c>
      <c r="D128" s="9" t="s">
        <v>50</v>
      </c>
      <c r="E128" s="9" t="s">
        <v>21</v>
      </c>
      <c r="F128" s="9" t="str">
        <f t="shared" si="1"/>
        <v>Not Delivered</v>
      </c>
      <c r="G128" s="9" t="b">
        <v>0</v>
      </c>
      <c r="H128" s="9" t="s">
        <v>9</v>
      </c>
      <c r="I128" s="8">
        <v>2235</v>
      </c>
      <c r="J128" s="10">
        <v>1726.31</v>
      </c>
      <c r="K128" s="10">
        <v>81.02</v>
      </c>
      <c r="L128" s="10">
        <v>0</v>
      </c>
      <c r="M128" s="10">
        <v>1807.33</v>
      </c>
      <c r="N128" s="8">
        <v>3</v>
      </c>
      <c r="O128" s="6">
        <v>4.8</v>
      </c>
    </row>
    <row r="129" spans="1:15" x14ac:dyDescent="0.25">
      <c r="A129" s="8">
        <v>68082</v>
      </c>
      <c r="B129" s="9" t="s">
        <v>0</v>
      </c>
      <c r="C129" s="9" t="s">
        <v>51</v>
      </c>
      <c r="D129" s="9" t="s">
        <v>19</v>
      </c>
      <c r="E129" s="9" t="s">
        <v>13</v>
      </c>
      <c r="F129" s="9" t="str">
        <f t="shared" si="1"/>
        <v>Delivered</v>
      </c>
      <c r="G129" s="9" t="b">
        <v>1</v>
      </c>
      <c r="H129" s="9" t="s">
        <v>14</v>
      </c>
      <c r="I129" s="8">
        <v>2604</v>
      </c>
      <c r="J129" s="10">
        <v>1491.75</v>
      </c>
      <c r="K129" s="10">
        <v>132.9</v>
      </c>
      <c r="L129" s="10">
        <v>226.27</v>
      </c>
      <c r="M129" s="10">
        <v>1850.92</v>
      </c>
      <c r="N129" s="8">
        <v>1</v>
      </c>
      <c r="O129" s="6">
        <v>1.7</v>
      </c>
    </row>
    <row r="130" spans="1:15" x14ac:dyDescent="0.25">
      <c r="A130" s="8">
        <v>16630</v>
      </c>
      <c r="B130" s="9" t="s">
        <v>39</v>
      </c>
      <c r="C130" s="9" t="s">
        <v>40</v>
      </c>
      <c r="D130" s="9" t="s">
        <v>38</v>
      </c>
      <c r="E130" s="9" t="s">
        <v>21</v>
      </c>
      <c r="F130" s="9" t="str">
        <f t="shared" si="1"/>
        <v>Not Delivered</v>
      </c>
      <c r="G130" s="9" t="b">
        <v>1</v>
      </c>
      <c r="H130" s="9" t="s">
        <v>4</v>
      </c>
      <c r="I130" s="8">
        <v>9856</v>
      </c>
      <c r="J130" s="10">
        <v>401.69</v>
      </c>
      <c r="K130" s="10">
        <v>35.32</v>
      </c>
      <c r="L130" s="10">
        <v>184.44</v>
      </c>
      <c r="M130" s="10">
        <v>621.45000000000005</v>
      </c>
      <c r="N130" s="8">
        <v>2</v>
      </c>
      <c r="O130" s="6">
        <v>3.2</v>
      </c>
    </row>
    <row r="131" spans="1:15" x14ac:dyDescent="0.25">
      <c r="A131" s="8">
        <v>11934</v>
      </c>
      <c r="B131" s="9" t="s">
        <v>0</v>
      </c>
      <c r="C131" s="9" t="s">
        <v>51</v>
      </c>
      <c r="D131" s="9" t="s">
        <v>7</v>
      </c>
      <c r="E131" s="9" t="s">
        <v>8</v>
      </c>
      <c r="F131" s="9" t="str">
        <f t="shared" ref="F131:F194" si="2">IF(OR(
E131="Failed Delivery",
E131="Cancelled",
E131="Pending",
E131="Rescheduled",
E131="In Transit"
),"Not Delivered","Delivered")</f>
        <v>Not Delivered</v>
      </c>
      <c r="G131" s="9" t="b">
        <v>1</v>
      </c>
      <c r="H131" s="9" t="s">
        <v>9</v>
      </c>
      <c r="I131" s="8">
        <v>2528</v>
      </c>
      <c r="J131" s="10">
        <v>1596.05</v>
      </c>
      <c r="K131" s="10">
        <v>109.72</v>
      </c>
      <c r="L131" s="10">
        <v>59.04</v>
      </c>
      <c r="M131" s="10">
        <v>1764.81</v>
      </c>
      <c r="N131" s="8">
        <v>12</v>
      </c>
      <c r="O131" s="6">
        <v>4.2</v>
      </c>
    </row>
    <row r="132" spans="1:15" x14ac:dyDescent="0.25">
      <c r="A132" s="8">
        <v>40982</v>
      </c>
      <c r="B132" s="9" t="s">
        <v>5</v>
      </c>
      <c r="C132" s="9" t="s">
        <v>44</v>
      </c>
      <c r="D132" s="9" t="s">
        <v>30</v>
      </c>
      <c r="E132" s="9" t="s">
        <v>32</v>
      </c>
      <c r="F132" s="9" t="str">
        <f t="shared" si="2"/>
        <v>Not Delivered</v>
      </c>
      <c r="G132" s="9" t="b">
        <v>0</v>
      </c>
      <c r="H132" s="9" t="s">
        <v>33</v>
      </c>
      <c r="I132" s="8">
        <v>3724</v>
      </c>
      <c r="J132" s="10">
        <v>1037.8900000000001</v>
      </c>
      <c r="K132" s="10">
        <v>146.96</v>
      </c>
      <c r="M132" s="10">
        <v>1184.8499999999999</v>
      </c>
      <c r="N132" s="8">
        <v>13</v>
      </c>
      <c r="O132" s="6">
        <v>2.8</v>
      </c>
    </row>
    <row r="133" spans="1:15" x14ac:dyDescent="0.25">
      <c r="A133" s="8">
        <v>63269</v>
      </c>
      <c r="B133" s="9" t="s">
        <v>39</v>
      </c>
      <c r="C133" s="9" t="s">
        <v>40</v>
      </c>
      <c r="D133" s="9" t="s">
        <v>30</v>
      </c>
      <c r="E133" s="9" t="s">
        <v>3</v>
      </c>
      <c r="F133" s="9" t="str">
        <f t="shared" si="2"/>
        <v>Not Delivered</v>
      </c>
      <c r="G133" s="9" t="b">
        <v>0</v>
      </c>
      <c r="H133" s="9" t="s">
        <v>28</v>
      </c>
      <c r="I133" s="8">
        <v>8956</v>
      </c>
      <c r="J133" s="10">
        <v>602.33000000000004</v>
      </c>
      <c r="K133" s="10">
        <v>148.44</v>
      </c>
      <c r="L133" s="10">
        <v>0</v>
      </c>
      <c r="M133" s="10">
        <v>750.77</v>
      </c>
      <c r="N133" s="8">
        <v>13</v>
      </c>
      <c r="O133" s="6">
        <v>2.5</v>
      </c>
    </row>
    <row r="134" spans="1:15" x14ac:dyDescent="0.25">
      <c r="A134" s="8">
        <v>73092</v>
      </c>
      <c r="B134" s="9" t="s">
        <v>23</v>
      </c>
      <c r="C134" s="9" t="s">
        <v>34</v>
      </c>
      <c r="D134" s="9" t="s">
        <v>38</v>
      </c>
      <c r="E134" s="9" t="s">
        <v>21</v>
      </c>
      <c r="F134" s="9" t="str">
        <f t="shared" si="2"/>
        <v>Not Delivered</v>
      </c>
      <c r="G134" s="9" t="b">
        <v>0</v>
      </c>
      <c r="H134" s="9" t="s">
        <v>14</v>
      </c>
      <c r="I134" s="8">
        <v>4502</v>
      </c>
      <c r="J134" s="10">
        <v>544.44000000000005</v>
      </c>
      <c r="K134" s="10">
        <v>0</v>
      </c>
      <c r="L134" s="10">
        <v>0</v>
      </c>
      <c r="M134" s="10">
        <v>544.44000000000005</v>
      </c>
      <c r="N134" s="8">
        <v>14</v>
      </c>
      <c r="O134" s="6">
        <v>4.7</v>
      </c>
    </row>
    <row r="135" spans="1:15" x14ac:dyDescent="0.25">
      <c r="A135" s="8">
        <v>62565</v>
      </c>
      <c r="B135" s="9" t="s">
        <v>5</v>
      </c>
      <c r="C135" s="9" t="s">
        <v>56</v>
      </c>
      <c r="D135" s="9" t="s">
        <v>16</v>
      </c>
      <c r="E135" s="9" t="s">
        <v>17</v>
      </c>
      <c r="F135" s="9" t="str">
        <f t="shared" si="2"/>
        <v>Not Delivered</v>
      </c>
      <c r="G135" s="9" t="b">
        <v>0</v>
      </c>
      <c r="H135" s="9" t="s">
        <v>28</v>
      </c>
      <c r="I135" s="8">
        <v>1960</v>
      </c>
      <c r="J135" s="10">
        <v>392.91</v>
      </c>
      <c r="K135" s="10">
        <v>37.020000000000003</v>
      </c>
      <c r="L135" s="10">
        <v>0</v>
      </c>
      <c r="M135" s="10">
        <v>429.93</v>
      </c>
      <c r="N135" s="8">
        <v>9</v>
      </c>
    </row>
    <row r="136" spans="1:15" x14ac:dyDescent="0.25">
      <c r="A136" s="8">
        <v>31579</v>
      </c>
      <c r="B136" s="9" t="s">
        <v>39</v>
      </c>
      <c r="C136" s="9" t="s">
        <v>52</v>
      </c>
      <c r="D136" s="9" t="s">
        <v>19</v>
      </c>
      <c r="E136" s="9" t="s">
        <v>17</v>
      </c>
      <c r="F136" s="9" t="str">
        <f t="shared" si="2"/>
        <v>Not Delivered</v>
      </c>
      <c r="G136" s="9" t="b">
        <v>0</v>
      </c>
      <c r="H136" s="9" t="s">
        <v>33</v>
      </c>
      <c r="I136" s="8">
        <v>7209</v>
      </c>
      <c r="J136" s="10">
        <v>1401.27</v>
      </c>
      <c r="K136" s="10">
        <v>89.65</v>
      </c>
      <c r="L136" s="10">
        <v>0</v>
      </c>
      <c r="M136" s="10">
        <v>1490.92</v>
      </c>
      <c r="N136" s="8">
        <v>4</v>
      </c>
      <c r="O136" s="6">
        <v>1.3</v>
      </c>
    </row>
    <row r="137" spans="1:15" x14ac:dyDescent="0.25">
      <c r="A137" s="8">
        <v>10282</v>
      </c>
      <c r="B137" s="9" t="s">
        <v>5</v>
      </c>
      <c r="C137" s="9" t="s">
        <v>31</v>
      </c>
      <c r="E137" s="9" t="s">
        <v>3</v>
      </c>
      <c r="F137" s="9" t="str">
        <f t="shared" si="2"/>
        <v>Not Delivered</v>
      </c>
      <c r="G137" s="9" t="b">
        <v>0</v>
      </c>
      <c r="H137" s="9" t="s">
        <v>9</v>
      </c>
      <c r="I137" s="8">
        <v>7396</v>
      </c>
      <c r="J137" s="10">
        <v>1694.91</v>
      </c>
      <c r="K137" s="10">
        <v>63.76</v>
      </c>
      <c r="L137" s="10">
        <v>0</v>
      </c>
      <c r="M137" s="10">
        <v>1758.67</v>
      </c>
      <c r="N137" s="8">
        <v>14</v>
      </c>
      <c r="O137" s="6">
        <v>4.3</v>
      </c>
    </row>
    <row r="138" spans="1:15" x14ac:dyDescent="0.25">
      <c r="A138" s="8">
        <v>44760</v>
      </c>
      <c r="B138" s="9" t="s">
        <v>41</v>
      </c>
      <c r="C138" s="9" t="s">
        <v>47</v>
      </c>
      <c r="D138" s="9" t="s">
        <v>50</v>
      </c>
      <c r="E138" s="9" t="s">
        <v>32</v>
      </c>
      <c r="F138" s="9" t="str">
        <f t="shared" si="2"/>
        <v>Not Delivered</v>
      </c>
      <c r="G138" s="9" t="b">
        <v>1</v>
      </c>
      <c r="H138" s="9" t="s">
        <v>33</v>
      </c>
      <c r="I138" s="8">
        <v>8454</v>
      </c>
      <c r="J138" s="10">
        <v>2292.89</v>
      </c>
      <c r="K138" s="10">
        <v>0</v>
      </c>
      <c r="L138" s="10">
        <v>77.44</v>
      </c>
      <c r="M138" s="10">
        <v>2370.33</v>
      </c>
      <c r="N138" s="8">
        <v>12</v>
      </c>
      <c r="O138" s="6">
        <v>2.7</v>
      </c>
    </row>
    <row r="139" spans="1:15" x14ac:dyDescent="0.25">
      <c r="A139" s="8">
        <v>47388</v>
      </c>
      <c r="B139" s="9" t="s">
        <v>5</v>
      </c>
      <c r="C139" s="9" t="s">
        <v>6</v>
      </c>
      <c r="D139" s="9" t="s">
        <v>30</v>
      </c>
      <c r="E139" s="9" t="s">
        <v>21</v>
      </c>
      <c r="F139" s="9" t="str">
        <f t="shared" si="2"/>
        <v>Not Delivered</v>
      </c>
      <c r="G139" s="9" t="b">
        <v>1</v>
      </c>
      <c r="H139" s="9" t="s">
        <v>28</v>
      </c>
      <c r="I139" s="8">
        <v>7930</v>
      </c>
      <c r="J139" s="10">
        <v>748.41</v>
      </c>
      <c r="K139" s="10">
        <v>112.28</v>
      </c>
      <c r="L139" s="10">
        <v>45.92</v>
      </c>
      <c r="M139" s="10">
        <v>906.61</v>
      </c>
      <c r="N139" s="8">
        <v>8</v>
      </c>
      <c r="O139" s="6">
        <v>1.1000000000000001</v>
      </c>
    </row>
    <row r="140" spans="1:15" x14ac:dyDescent="0.25">
      <c r="A140" s="8">
        <v>82845</v>
      </c>
      <c r="B140" s="9" t="s">
        <v>0</v>
      </c>
      <c r="C140" s="9" t="s">
        <v>53</v>
      </c>
      <c r="D140" s="9" t="s">
        <v>27</v>
      </c>
      <c r="E140" s="9" t="s">
        <v>17</v>
      </c>
      <c r="F140" s="9" t="str">
        <f t="shared" si="2"/>
        <v>Not Delivered</v>
      </c>
      <c r="G140" s="9" t="b">
        <v>0</v>
      </c>
      <c r="H140" s="9" t="s">
        <v>18</v>
      </c>
      <c r="I140" s="8">
        <v>8973</v>
      </c>
      <c r="J140" s="10">
        <v>630.6</v>
      </c>
      <c r="K140" s="10">
        <v>0</v>
      </c>
      <c r="L140" s="10">
        <v>0</v>
      </c>
      <c r="M140" s="10">
        <v>630.6</v>
      </c>
      <c r="N140" s="8">
        <v>4</v>
      </c>
      <c r="O140" s="6">
        <v>1.7</v>
      </c>
    </row>
    <row r="141" spans="1:15" x14ac:dyDescent="0.25">
      <c r="A141" s="8">
        <v>30289</v>
      </c>
      <c r="B141" s="9" t="s">
        <v>10</v>
      </c>
      <c r="C141" s="9" t="s">
        <v>26</v>
      </c>
      <c r="D141" s="9" t="s">
        <v>50</v>
      </c>
      <c r="E141" s="9" t="s">
        <v>8</v>
      </c>
      <c r="F141" s="9" t="str">
        <f t="shared" si="2"/>
        <v>Not Delivered</v>
      </c>
      <c r="G141" s="9" t="b">
        <v>1</v>
      </c>
      <c r="H141" s="9" t="s">
        <v>4</v>
      </c>
      <c r="I141" s="8">
        <v>4111</v>
      </c>
      <c r="J141" s="10">
        <v>1911.47</v>
      </c>
      <c r="K141" s="10">
        <v>128.63999999999999</v>
      </c>
      <c r="L141" s="10">
        <v>281</v>
      </c>
      <c r="M141" s="10">
        <v>2321.11</v>
      </c>
      <c r="N141" s="8">
        <v>1</v>
      </c>
      <c r="O141" s="6">
        <v>4.9000000000000004</v>
      </c>
    </row>
    <row r="142" spans="1:15" x14ac:dyDescent="0.25">
      <c r="A142" s="8">
        <v>48890</v>
      </c>
      <c r="B142" s="9" t="s">
        <v>10</v>
      </c>
      <c r="C142" s="9" t="s">
        <v>26</v>
      </c>
      <c r="D142" s="9" t="s">
        <v>30</v>
      </c>
      <c r="E142" s="9" t="s">
        <v>13</v>
      </c>
      <c r="F142" s="9" t="str">
        <f t="shared" si="2"/>
        <v>Delivered</v>
      </c>
      <c r="G142" s="9" t="b">
        <v>0</v>
      </c>
      <c r="H142" s="9" t="s">
        <v>14</v>
      </c>
      <c r="I142" s="8">
        <v>4566</v>
      </c>
      <c r="J142" s="10">
        <v>755.12</v>
      </c>
      <c r="K142" s="10">
        <v>112.83</v>
      </c>
      <c r="L142" s="10">
        <v>0</v>
      </c>
      <c r="M142" s="10">
        <v>867.95</v>
      </c>
      <c r="N142" s="8">
        <v>3</v>
      </c>
    </row>
    <row r="143" spans="1:15" x14ac:dyDescent="0.25">
      <c r="A143" s="8">
        <v>17665</v>
      </c>
      <c r="B143" s="9" t="s">
        <v>0</v>
      </c>
      <c r="C143" s="9" t="s">
        <v>53</v>
      </c>
      <c r="D143" s="9" t="s">
        <v>38</v>
      </c>
      <c r="E143" s="9" t="s">
        <v>3</v>
      </c>
      <c r="F143" s="9" t="str">
        <f t="shared" si="2"/>
        <v>Not Delivered</v>
      </c>
      <c r="G143" s="9" t="b">
        <v>0</v>
      </c>
      <c r="H143" s="9" t="s">
        <v>4</v>
      </c>
      <c r="I143" s="8">
        <v>9883</v>
      </c>
      <c r="J143" s="10">
        <v>1520.13</v>
      </c>
      <c r="K143" s="10">
        <v>148.08000000000001</v>
      </c>
      <c r="L143" s="10">
        <v>0</v>
      </c>
      <c r="M143" s="10">
        <v>1668.21</v>
      </c>
      <c r="N143" s="8">
        <v>11</v>
      </c>
      <c r="O143" s="6">
        <v>1.5</v>
      </c>
    </row>
    <row r="144" spans="1:15" x14ac:dyDescent="0.25">
      <c r="A144" s="8">
        <v>17989</v>
      </c>
      <c r="B144" s="9" t="s">
        <v>10</v>
      </c>
      <c r="C144" s="9" t="s">
        <v>29</v>
      </c>
      <c r="D144" s="9" t="s">
        <v>45</v>
      </c>
      <c r="E144" s="9" t="s">
        <v>13</v>
      </c>
      <c r="F144" s="9" t="str">
        <f t="shared" si="2"/>
        <v>Delivered</v>
      </c>
      <c r="G144" s="9" t="b">
        <v>1</v>
      </c>
      <c r="H144" s="9" t="s">
        <v>4</v>
      </c>
      <c r="I144" s="8">
        <v>6138</v>
      </c>
      <c r="J144" s="10">
        <v>183.23</v>
      </c>
      <c r="K144" s="10">
        <v>39.96</v>
      </c>
      <c r="L144" s="10">
        <v>193.34</v>
      </c>
      <c r="M144" s="10">
        <v>416.53</v>
      </c>
      <c r="N144" s="8">
        <v>9</v>
      </c>
      <c r="O144" s="6">
        <v>4.3</v>
      </c>
    </row>
    <row r="145" spans="1:15" x14ac:dyDescent="0.25">
      <c r="A145" s="8">
        <v>17492</v>
      </c>
      <c r="B145" s="9" t="s">
        <v>0</v>
      </c>
      <c r="C145" s="9" t="s">
        <v>53</v>
      </c>
      <c r="D145" s="9" t="s">
        <v>35</v>
      </c>
      <c r="E145" s="9" t="s">
        <v>3</v>
      </c>
      <c r="F145" s="9" t="str">
        <f t="shared" si="2"/>
        <v>Not Delivered</v>
      </c>
      <c r="G145" s="9" t="b">
        <v>0</v>
      </c>
      <c r="H145" s="9" t="s">
        <v>9</v>
      </c>
      <c r="I145" s="8">
        <v>1821</v>
      </c>
      <c r="J145" s="10">
        <v>622.08000000000004</v>
      </c>
      <c r="K145" s="10">
        <v>54.78</v>
      </c>
      <c r="L145" s="10">
        <v>0</v>
      </c>
      <c r="M145" s="10">
        <v>676.86</v>
      </c>
      <c r="N145" s="8">
        <v>5</v>
      </c>
    </row>
    <row r="146" spans="1:15" x14ac:dyDescent="0.25">
      <c r="A146" s="8">
        <v>86569</v>
      </c>
      <c r="B146" s="9" t="s">
        <v>0</v>
      </c>
      <c r="C146" s="9" t="s">
        <v>37</v>
      </c>
      <c r="D146" s="9" t="s">
        <v>30</v>
      </c>
      <c r="E146" s="9" t="s">
        <v>13</v>
      </c>
      <c r="F146" s="9" t="str">
        <f t="shared" si="2"/>
        <v>Delivered</v>
      </c>
      <c r="G146" s="9" t="b">
        <v>0</v>
      </c>
      <c r="H146" s="9" t="s">
        <v>14</v>
      </c>
      <c r="I146" s="8">
        <v>8811</v>
      </c>
      <c r="J146" s="10">
        <v>1626.15</v>
      </c>
      <c r="K146" s="10">
        <v>147.37</v>
      </c>
      <c r="L146" s="10">
        <v>0</v>
      </c>
      <c r="M146" s="10">
        <v>1773.52</v>
      </c>
      <c r="N146" s="8">
        <v>12</v>
      </c>
      <c r="O146" s="6">
        <v>4.7</v>
      </c>
    </row>
    <row r="147" spans="1:15" x14ac:dyDescent="0.25">
      <c r="A147" s="8">
        <v>75909</v>
      </c>
      <c r="B147" s="9" t="s">
        <v>5</v>
      </c>
      <c r="C147" s="9" t="s">
        <v>31</v>
      </c>
      <c r="D147" s="9" t="s">
        <v>45</v>
      </c>
      <c r="E147" s="9" t="s">
        <v>21</v>
      </c>
      <c r="F147" s="9" t="str">
        <f t="shared" si="2"/>
        <v>Not Delivered</v>
      </c>
      <c r="G147" s="9" t="b">
        <v>1</v>
      </c>
      <c r="H147" s="9" t="s">
        <v>22</v>
      </c>
      <c r="I147" s="8">
        <v>9701</v>
      </c>
      <c r="J147" s="10">
        <v>1176.3499999999999</v>
      </c>
      <c r="K147" s="10">
        <v>149.51</v>
      </c>
      <c r="L147" s="10">
        <v>132.12</v>
      </c>
      <c r="M147" s="10">
        <v>1457.98</v>
      </c>
      <c r="N147" s="8">
        <v>2</v>
      </c>
      <c r="O147" s="6">
        <v>2.2000000000000002</v>
      </c>
    </row>
    <row r="148" spans="1:15" x14ac:dyDescent="0.25">
      <c r="A148" s="8">
        <v>30635</v>
      </c>
      <c r="B148" s="9" t="s">
        <v>39</v>
      </c>
      <c r="C148" s="9" t="s">
        <v>40</v>
      </c>
      <c r="D148" s="9" t="s">
        <v>25</v>
      </c>
      <c r="E148" s="9" t="s">
        <v>17</v>
      </c>
      <c r="F148" s="9" t="str">
        <f t="shared" si="2"/>
        <v>Not Delivered</v>
      </c>
      <c r="G148" s="9" t="b">
        <v>0</v>
      </c>
      <c r="H148" s="9" t="s">
        <v>22</v>
      </c>
      <c r="I148" s="8">
        <v>1931</v>
      </c>
      <c r="J148" s="10">
        <v>1059.47</v>
      </c>
      <c r="K148" s="10">
        <v>54.24</v>
      </c>
      <c r="L148" s="10">
        <v>0</v>
      </c>
      <c r="M148" s="10">
        <v>1113.71</v>
      </c>
      <c r="N148" s="8">
        <v>10</v>
      </c>
      <c r="O148" s="6">
        <v>2.1</v>
      </c>
    </row>
    <row r="149" spans="1:15" x14ac:dyDescent="0.25">
      <c r="A149" s="8">
        <v>76562</v>
      </c>
      <c r="B149" s="9" t="s">
        <v>0</v>
      </c>
      <c r="C149" s="9" t="s">
        <v>37</v>
      </c>
      <c r="D149" s="9" t="s">
        <v>12</v>
      </c>
      <c r="E149" s="9" t="s">
        <v>32</v>
      </c>
      <c r="F149" s="9" t="str">
        <f t="shared" si="2"/>
        <v>Not Delivered</v>
      </c>
      <c r="G149" s="9" t="b">
        <v>1</v>
      </c>
      <c r="H149" s="9" t="s">
        <v>14</v>
      </c>
      <c r="I149" s="8">
        <v>2312</v>
      </c>
      <c r="J149" s="10">
        <v>749.46</v>
      </c>
      <c r="K149" s="10">
        <v>117.94</v>
      </c>
      <c r="L149" s="10">
        <v>92.43</v>
      </c>
      <c r="M149" s="10">
        <v>959.83</v>
      </c>
      <c r="N149" s="8">
        <v>11</v>
      </c>
      <c r="O149" s="6">
        <v>1.1000000000000001</v>
      </c>
    </row>
    <row r="150" spans="1:15" x14ac:dyDescent="0.25">
      <c r="A150" s="8">
        <v>34356</v>
      </c>
      <c r="B150" s="9" t="s">
        <v>0</v>
      </c>
      <c r="C150" s="9" t="s">
        <v>51</v>
      </c>
      <c r="D150" s="9" t="s">
        <v>7</v>
      </c>
      <c r="E150" s="9" t="s">
        <v>21</v>
      </c>
      <c r="F150" s="9" t="str">
        <f t="shared" si="2"/>
        <v>Not Delivered</v>
      </c>
      <c r="G150" s="9" t="b">
        <v>1</v>
      </c>
      <c r="H150" s="9" t="s">
        <v>33</v>
      </c>
      <c r="I150" s="8">
        <v>2122</v>
      </c>
      <c r="J150" s="10">
        <v>747.55</v>
      </c>
      <c r="K150" s="10">
        <v>53.24</v>
      </c>
      <c r="L150" s="10">
        <v>292.32</v>
      </c>
      <c r="M150" s="10">
        <v>1093.1099999999999</v>
      </c>
      <c r="N150" s="8">
        <v>6</v>
      </c>
      <c r="O150" s="6">
        <v>1.3</v>
      </c>
    </row>
    <row r="151" spans="1:15" x14ac:dyDescent="0.25">
      <c r="A151" s="8">
        <v>87992</v>
      </c>
      <c r="B151" s="9" t="s">
        <v>39</v>
      </c>
      <c r="C151" s="9" t="s">
        <v>52</v>
      </c>
      <c r="D151" s="9" t="s">
        <v>12</v>
      </c>
      <c r="E151" s="9" t="s">
        <v>13</v>
      </c>
      <c r="F151" s="9" t="str">
        <f t="shared" si="2"/>
        <v>Delivered</v>
      </c>
      <c r="G151" s="9" t="b">
        <v>1</v>
      </c>
      <c r="H151" s="9" t="s">
        <v>14</v>
      </c>
      <c r="I151" s="8">
        <v>2113</v>
      </c>
      <c r="J151" s="10">
        <v>1002.38</v>
      </c>
      <c r="K151" s="10">
        <v>0</v>
      </c>
      <c r="L151" s="10">
        <v>43.39</v>
      </c>
      <c r="M151" s="10">
        <v>1045.77</v>
      </c>
      <c r="N151" s="8">
        <v>8</v>
      </c>
      <c r="O151" s="6">
        <v>4.7</v>
      </c>
    </row>
    <row r="152" spans="1:15" x14ac:dyDescent="0.25">
      <c r="A152" s="8">
        <v>98501</v>
      </c>
      <c r="B152" s="9" t="s">
        <v>10</v>
      </c>
      <c r="C152" s="9" t="s">
        <v>20</v>
      </c>
      <c r="D152" s="9" t="s">
        <v>12</v>
      </c>
      <c r="E152" s="9" t="s">
        <v>3</v>
      </c>
      <c r="F152" s="9" t="str">
        <f t="shared" si="2"/>
        <v>Not Delivered</v>
      </c>
      <c r="G152" s="9" t="b">
        <v>0</v>
      </c>
      <c r="H152" s="9" t="s">
        <v>28</v>
      </c>
      <c r="I152" s="8">
        <v>4853</v>
      </c>
      <c r="J152" s="10">
        <v>507.68</v>
      </c>
      <c r="K152" s="10">
        <v>119.4</v>
      </c>
      <c r="L152" s="10">
        <v>0</v>
      </c>
      <c r="M152" s="10">
        <v>627.08000000000004</v>
      </c>
      <c r="N152" s="8">
        <v>4</v>
      </c>
    </row>
    <row r="153" spans="1:15" x14ac:dyDescent="0.25">
      <c r="A153" s="8">
        <v>62923</v>
      </c>
      <c r="B153" s="9" t="s">
        <v>0</v>
      </c>
      <c r="C153" s="9" t="s">
        <v>37</v>
      </c>
      <c r="D153" s="9" t="s">
        <v>30</v>
      </c>
      <c r="E153" s="9" t="s">
        <v>13</v>
      </c>
      <c r="F153" s="9" t="str">
        <f t="shared" si="2"/>
        <v>Delivered</v>
      </c>
      <c r="G153" s="9" t="b">
        <v>0</v>
      </c>
      <c r="H153" s="9" t="s">
        <v>33</v>
      </c>
      <c r="I153" s="8">
        <v>2964</v>
      </c>
      <c r="J153" s="10">
        <v>1795.48</v>
      </c>
      <c r="K153" s="10">
        <v>146.76</v>
      </c>
      <c r="L153" s="10">
        <v>0</v>
      </c>
      <c r="M153" s="10">
        <v>1942.24</v>
      </c>
      <c r="N153" s="8">
        <v>11</v>
      </c>
      <c r="O153" s="6">
        <v>1.3</v>
      </c>
    </row>
    <row r="154" spans="1:15" x14ac:dyDescent="0.25">
      <c r="A154" s="8">
        <v>84668</v>
      </c>
      <c r="B154" s="9" t="s">
        <v>23</v>
      </c>
      <c r="C154" s="9" t="s">
        <v>48</v>
      </c>
      <c r="D154" s="9" t="s">
        <v>7</v>
      </c>
      <c r="E154" s="9" t="s">
        <v>32</v>
      </c>
      <c r="F154" s="9" t="str">
        <f t="shared" si="2"/>
        <v>Not Delivered</v>
      </c>
      <c r="G154" s="9" t="b">
        <v>0</v>
      </c>
      <c r="H154" s="9" t="s">
        <v>14</v>
      </c>
      <c r="I154" s="8">
        <v>5033</v>
      </c>
      <c r="J154" s="10">
        <v>2172.2600000000002</v>
      </c>
      <c r="K154" s="10">
        <v>67.41</v>
      </c>
      <c r="L154" s="10">
        <v>0</v>
      </c>
      <c r="M154" s="10">
        <v>2239.67</v>
      </c>
      <c r="N154" s="8">
        <v>9</v>
      </c>
      <c r="O154" s="6">
        <v>4.9000000000000004</v>
      </c>
    </row>
    <row r="155" spans="1:15" x14ac:dyDescent="0.25">
      <c r="A155" s="8">
        <v>85880</v>
      </c>
      <c r="B155" s="9" t="s">
        <v>39</v>
      </c>
      <c r="C155" s="9" t="s">
        <v>57</v>
      </c>
      <c r="D155" s="9" t="s">
        <v>30</v>
      </c>
      <c r="E155" s="9" t="s">
        <v>3</v>
      </c>
      <c r="F155" s="9" t="str">
        <f t="shared" si="2"/>
        <v>Not Delivered</v>
      </c>
      <c r="G155" s="9" t="b">
        <v>1</v>
      </c>
      <c r="H155" s="9" t="s">
        <v>14</v>
      </c>
      <c r="I155" s="8">
        <v>1651</v>
      </c>
      <c r="J155" s="10">
        <v>592.47</v>
      </c>
      <c r="K155" s="10">
        <v>96.74</v>
      </c>
      <c r="L155" s="10">
        <v>26.64</v>
      </c>
      <c r="M155" s="10">
        <v>715.85</v>
      </c>
      <c r="N155" s="8">
        <v>7</v>
      </c>
      <c r="O155" s="6">
        <v>3.9</v>
      </c>
    </row>
    <row r="156" spans="1:15" x14ac:dyDescent="0.25">
      <c r="A156" s="8">
        <v>91183</v>
      </c>
      <c r="B156" s="9" t="s">
        <v>39</v>
      </c>
      <c r="C156" s="9" t="s">
        <v>55</v>
      </c>
      <c r="D156" s="9" t="s">
        <v>30</v>
      </c>
      <c r="E156" s="9" t="s">
        <v>8</v>
      </c>
      <c r="F156" s="9" t="str">
        <f t="shared" si="2"/>
        <v>Not Delivered</v>
      </c>
      <c r="G156" s="9" t="b">
        <v>1</v>
      </c>
      <c r="H156" s="9" t="s">
        <v>18</v>
      </c>
      <c r="I156" s="8">
        <v>2343</v>
      </c>
      <c r="J156" s="10">
        <v>184.73</v>
      </c>
      <c r="K156" s="10">
        <v>97.93</v>
      </c>
      <c r="L156" s="10">
        <v>219.87</v>
      </c>
      <c r="M156" s="10">
        <v>502.53</v>
      </c>
      <c r="N156" s="8">
        <v>9</v>
      </c>
      <c r="O156" s="6">
        <v>4.5</v>
      </c>
    </row>
    <row r="157" spans="1:15" x14ac:dyDescent="0.25">
      <c r="A157" s="8">
        <v>64948</v>
      </c>
      <c r="B157" s="9" t="s">
        <v>23</v>
      </c>
      <c r="C157" s="9" t="s">
        <v>24</v>
      </c>
      <c r="D157" s="9" t="s">
        <v>35</v>
      </c>
      <c r="E157" s="9" t="s">
        <v>21</v>
      </c>
      <c r="F157" s="9" t="str">
        <f t="shared" si="2"/>
        <v>Not Delivered</v>
      </c>
      <c r="G157" s="9" t="b">
        <v>1</v>
      </c>
      <c r="H157" s="9" t="s">
        <v>33</v>
      </c>
      <c r="I157" s="8">
        <v>9565</v>
      </c>
      <c r="J157" s="10">
        <v>1382.96</v>
      </c>
      <c r="K157" s="10">
        <v>55.54</v>
      </c>
      <c r="L157" s="10">
        <v>65.209999999999994</v>
      </c>
      <c r="M157" s="10">
        <v>1503.71</v>
      </c>
      <c r="N157" s="8">
        <v>3</v>
      </c>
      <c r="O157" s="6">
        <v>3.8</v>
      </c>
    </row>
    <row r="158" spans="1:15" x14ac:dyDescent="0.25">
      <c r="A158" s="8">
        <v>51467</v>
      </c>
      <c r="B158" s="9" t="s">
        <v>5</v>
      </c>
      <c r="C158" s="9" t="s">
        <v>56</v>
      </c>
      <c r="D158" s="9" t="s">
        <v>7</v>
      </c>
      <c r="E158" s="9" t="s">
        <v>21</v>
      </c>
      <c r="F158" s="9" t="str">
        <f t="shared" si="2"/>
        <v>Not Delivered</v>
      </c>
      <c r="G158" s="9" t="b">
        <v>0</v>
      </c>
      <c r="H158" s="9" t="s">
        <v>18</v>
      </c>
      <c r="I158" s="8">
        <v>5272</v>
      </c>
      <c r="J158" s="10">
        <v>651.49</v>
      </c>
      <c r="K158" s="10">
        <v>77.45</v>
      </c>
      <c r="L158" s="10">
        <v>0</v>
      </c>
      <c r="M158" s="10">
        <v>728.94</v>
      </c>
      <c r="N158" s="8">
        <v>10</v>
      </c>
      <c r="O158" s="6">
        <v>3</v>
      </c>
    </row>
    <row r="159" spans="1:15" x14ac:dyDescent="0.25">
      <c r="A159" s="8">
        <v>36772</v>
      </c>
      <c r="B159" s="9" t="s">
        <v>23</v>
      </c>
      <c r="C159" s="9" t="s">
        <v>24</v>
      </c>
      <c r="D159" s="9" t="s">
        <v>19</v>
      </c>
      <c r="E159" s="9" t="s">
        <v>21</v>
      </c>
      <c r="F159" s="9" t="str">
        <f t="shared" si="2"/>
        <v>Not Delivered</v>
      </c>
      <c r="G159" s="9" t="b">
        <v>1</v>
      </c>
      <c r="H159" s="9" t="s">
        <v>9</v>
      </c>
      <c r="I159" s="8">
        <v>6147</v>
      </c>
      <c r="J159" s="10">
        <v>2027.39</v>
      </c>
      <c r="K159" s="10">
        <v>110.51</v>
      </c>
      <c r="L159" s="10">
        <v>27.03</v>
      </c>
      <c r="M159" s="10">
        <v>2164.9299999999998</v>
      </c>
      <c r="N159" s="8">
        <v>11</v>
      </c>
      <c r="O159" s="6">
        <v>2.1</v>
      </c>
    </row>
    <row r="160" spans="1:15" x14ac:dyDescent="0.25">
      <c r="A160" s="8">
        <v>41285</v>
      </c>
      <c r="B160" s="9" t="s">
        <v>41</v>
      </c>
      <c r="C160" s="9" t="s">
        <v>47</v>
      </c>
      <c r="D160" s="9" t="s">
        <v>16</v>
      </c>
      <c r="E160" s="9" t="s">
        <v>13</v>
      </c>
      <c r="F160" s="9" t="str">
        <f t="shared" si="2"/>
        <v>Delivered</v>
      </c>
      <c r="G160" s="9" t="b">
        <v>0</v>
      </c>
      <c r="H160" s="9" t="s">
        <v>9</v>
      </c>
      <c r="I160" s="8">
        <v>5351</v>
      </c>
      <c r="J160" s="10">
        <v>1395.68</v>
      </c>
      <c r="K160" s="10">
        <v>78.97</v>
      </c>
      <c r="L160" s="10">
        <v>0</v>
      </c>
      <c r="M160" s="10">
        <v>1474.65</v>
      </c>
      <c r="N160" s="8">
        <v>8</v>
      </c>
      <c r="O160" s="6">
        <v>4.2</v>
      </c>
    </row>
    <row r="161" spans="1:15" x14ac:dyDescent="0.25">
      <c r="A161" s="8">
        <v>61876</v>
      </c>
      <c r="B161" s="9" t="s">
        <v>5</v>
      </c>
      <c r="C161" s="9" t="s">
        <v>31</v>
      </c>
      <c r="D161" s="9" t="s">
        <v>35</v>
      </c>
      <c r="E161" s="9" t="s">
        <v>8</v>
      </c>
      <c r="F161" s="9" t="str">
        <f t="shared" si="2"/>
        <v>Not Delivered</v>
      </c>
      <c r="G161" s="9" t="b">
        <v>0</v>
      </c>
      <c r="H161" s="9" t="s">
        <v>33</v>
      </c>
      <c r="I161" s="8">
        <v>3144</v>
      </c>
      <c r="J161" s="10">
        <v>337.8</v>
      </c>
      <c r="K161" s="10">
        <v>57.97</v>
      </c>
      <c r="L161" s="10">
        <v>0</v>
      </c>
      <c r="M161" s="10">
        <v>395.77</v>
      </c>
      <c r="N161" s="8">
        <v>8</v>
      </c>
      <c r="O161" s="6">
        <v>3.4</v>
      </c>
    </row>
    <row r="162" spans="1:15" x14ac:dyDescent="0.25">
      <c r="A162" s="8">
        <v>98039</v>
      </c>
      <c r="B162" s="9" t="s">
        <v>0</v>
      </c>
      <c r="C162" s="9" t="s">
        <v>51</v>
      </c>
      <c r="D162" s="9" t="s">
        <v>45</v>
      </c>
      <c r="E162" s="9" t="s">
        <v>17</v>
      </c>
      <c r="F162" s="9" t="str">
        <f t="shared" si="2"/>
        <v>Not Delivered</v>
      </c>
      <c r="G162" s="9" t="b">
        <v>0</v>
      </c>
      <c r="H162" s="9" t="s">
        <v>33</v>
      </c>
      <c r="I162" s="8">
        <v>5915</v>
      </c>
      <c r="J162" s="10">
        <v>1759.37</v>
      </c>
      <c r="K162" s="10">
        <v>0</v>
      </c>
      <c r="L162" s="10">
        <v>0</v>
      </c>
      <c r="M162" s="10">
        <v>1759.37</v>
      </c>
      <c r="N162" s="8">
        <v>9</v>
      </c>
      <c r="O162" s="6">
        <v>2.2999999999999998</v>
      </c>
    </row>
    <row r="163" spans="1:15" x14ac:dyDescent="0.25">
      <c r="A163" s="8">
        <v>69929</v>
      </c>
      <c r="B163" s="9" t="s">
        <v>39</v>
      </c>
      <c r="C163" s="9" t="s">
        <v>40</v>
      </c>
      <c r="D163" s="9" t="s">
        <v>7</v>
      </c>
      <c r="E163" s="9" t="s">
        <v>13</v>
      </c>
      <c r="F163" s="9" t="str">
        <f t="shared" si="2"/>
        <v>Delivered</v>
      </c>
      <c r="G163" s="9" t="b">
        <v>0</v>
      </c>
      <c r="H163" s="9" t="s">
        <v>18</v>
      </c>
      <c r="I163" s="8">
        <v>6180</v>
      </c>
      <c r="J163" s="10">
        <v>280.05</v>
      </c>
      <c r="K163" s="10">
        <v>28.8</v>
      </c>
      <c r="L163" s="10">
        <v>0</v>
      </c>
      <c r="M163" s="10">
        <v>308.85000000000002</v>
      </c>
      <c r="N163" s="8">
        <v>14</v>
      </c>
      <c r="O163" s="6">
        <v>2</v>
      </c>
    </row>
    <row r="164" spans="1:15" x14ac:dyDescent="0.25">
      <c r="A164" s="8">
        <v>19508</v>
      </c>
      <c r="B164" s="9" t="s">
        <v>0</v>
      </c>
      <c r="C164" s="9" t="s">
        <v>51</v>
      </c>
      <c r="D164" s="9" t="s">
        <v>12</v>
      </c>
      <c r="E164" s="9" t="s">
        <v>3</v>
      </c>
      <c r="F164" s="9" t="str">
        <f t="shared" si="2"/>
        <v>Not Delivered</v>
      </c>
      <c r="G164" s="9" t="b">
        <v>0</v>
      </c>
      <c r="H164" s="9" t="s">
        <v>18</v>
      </c>
      <c r="I164" s="8">
        <v>1152</v>
      </c>
      <c r="J164" s="10">
        <v>463.23</v>
      </c>
      <c r="K164" s="10">
        <v>36.950000000000003</v>
      </c>
      <c r="L164" s="10">
        <v>0</v>
      </c>
      <c r="M164" s="10">
        <v>500.18</v>
      </c>
      <c r="N164" s="8">
        <v>8</v>
      </c>
      <c r="O164" s="6">
        <v>3</v>
      </c>
    </row>
    <row r="165" spans="1:15" x14ac:dyDescent="0.25">
      <c r="A165" s="8">
        <v>70068</v>
      </c>
      <c r="B165" s="9" t="s">
        <v>39</v>
      </c>
      <c r="C165" s="9" t="s">
        <v>40</v>
      </c>
      <c r="D165" s="9" t="s">
        <v>30</v>
      </c>
      <c r="E165" s="9" t="s">
        <v>17</v>
      </c>
      <c r="F165" s="9" t="str">
        <f t="shared" si="2"/>
        <v>Not Delivered</v>
      </c>
      <c r="G165" s="9" t="b">
        <v>1</v>
      </c>
      <c r="H165" s="9" t="s">
        <v>14</v>
      </c>
      <c r="I165" s="8">
        <v>2638</v>
      </c>
      <c r="J165" s="10">
        <v>385.51</v>
      </c>
      <c r="K165" s="10">
        <v>51.47</v>
      </c>
      <c r="L165" s="10">
        <v>149.49</v>
      </c>
      <c r="M165" s="10">
        <v>586.47</v>
      </c>
      <c r="N165" s="8">
        <v>14</v>
      </c>
      <c r="O165" s="6">
        <v>2.9</v>
      </c>
    </row>
    <row r="166" spans="1:15" x14ac:dyDescent="0.25">
      <c r="A166" s="8">
        <v>19602</v>
      </c>
      <c r="B166" s="9" t="s">
        <v>5</v>
      </c>
      <c r="C166" s="9" t="s">
        <v>44</v>
      </c>
      <c r="D166" s="9" t="s">
        <v>25</v>
      </c>
      <c r="E166" s="9" t="s">
        <v>21</v>
      </c>
      <c r="F166" s="9" t="str">
        <f t="shared" si="2"/>
        <v>Not Delivered</v>
      </c>
      <c r="G166" s="9" t="b">
        <v>0</v>
      </c>
      <c r="H166" s="9" t="s">
        <v>18</v>
      </c>
      <c r="I166" s="8">
        <v>9808</v>
      </c>
      <c r="J166" s="10">
        <v>508.05</v>
      </c>
      <c r="K166" s="10">
        <v>0</v>
      </c>
      <c r="L166" s="10">
        <v>0</v>
      </c>
      <c r="M166" s="10">
        <v>508.05</v>
      </c>
      <c r="N166" s="8">
        <v>13</v>
      </c>
      <c r="O166" s="6">
        <v>1.2</v>
      </c>
    </row>
    <row r="167" spans="1:15" x14ac:dyDescent="0.25">
      <c r="A167" s="8">
        <v>37938</v>
      </c>
      <c r="B167" s="9" t="s">
        <v>23</v>
      </c>
      <c r="C167" s="9" t="s">
        <v>49</v>
      </c>
      <c r="D167" s="9" t="s">
        <v>2</v>
      </c>
      <c r="E167" s="9" t="s">
        <v>8</v>
      </c>
      <c r="F167" s="9" t="str">
        <f t="shared" si="2"/>
        <v>Not Delivered</v>
      </c>
      <c r="G167" s="9" t="b">
        <v>0</v>
      </c>
      <c r="H167" s="9" t="s">
        <v>18</v>
      </c>
      <c r="I167" s="8">
        <v>9288</v>
      </c>
      <c r="J167" s="10">
        <v>1726.69</v>
      </c>
      <c r="L167" s="10">
        <v>0</v>
      </c>
      <c r="M167" s="10">
        <v>1726.69</v>
      </c>
      <c r="N167" s="8">
        <v>13</v>
      </c>
      <c r="O167" s="6">
        <v>4.3</v>
      </c>
    </row>
    <row r="168" spans="1:15" x14ac:dyDescent="0.25">
      <c r="A168" s="8">
        <v>44760</v>
      </c>
      <c r="B168" s="9" t="s">
        <v>5</v>
      </c>
      <c r="C168" s="9" t="s">
        <v>36</v>
      </c>
      <c r="D168" s="9" t="s">
        <v>19</v>
      </c>
      <c r="E168" s="9" t="s">
        <v>21</v>
      </c>
      <c r="F168" s="9" t="str">
        <f t="shared" si="2"/>
        <v>Not Delivered</v>
      </c>
      <c r="G168" s="9" t="b">
        <v>0</v>
      </c>
      <c r="H168" s="9" t="s">
        <v>18</v>
      </c>
      <c r="I168" s="8">
        <v>3170</v>
      </c>
      <c r="J168" s="10">
        <v>2442.69</v>
      </c>
      <c r="K168" s="10">
        <v>129.49</v>
      </c>
      <c r="L168" s="10">
        <v>0</v>
      </c>
      <c r="M168" s="10">
        <v>2572.1799999999998</v>
      </c>
      <c r="N168" s="8">
        <v>9</v>
      </c>
      <c r="O168" s="6">
        <v>4</v>
      </c>
    </row>
    <row r="169" spans="1:15" x14ac:dyDescent="0.25">
      <c r="A169" s="8">
        <v>55745</v>
      </c>
      <c r="B169" s="9" t="s">
        <v>39</v>
      </c>
      <c r="C169" s="9" t="s">
        <v>55</v>
      </c>
      <c r="D169" s="9" t="s">
        <v>2</v>
      </c>
      <c r="E169" s="9" t="s">
        <v>21</v>
      </c>
      <c r="F169" s="9" t="str">
        <f t="shared" si="2"/>
        <v>Not Delivered</v>
      </c>
      <c r="G169" s="9" t="b">
        <v>0</v>
      </c>
      <c r="H169" s="9" t="s">
        <v>28</v>
      </c>
      <c r="I169" s="8">
        <v>2127</v>
      </c>
      <c r="J169" s="10">
        <v>137.16</v>
      </c>
      <c r="K169" s="10">
        <v>27.92</v>
      </c>
      <c r="M169" s="10">
        <v>165.08</v>
      </c>
      <c r="N169" s="8">
        <v>13</v>
      </c>
      <c r="O169" s="6">
        <v>2.8</v>
      </c>
    </row>
    <row r="170" spans="1:15" x14ac:dyDescent="0.25">
      <c r="A170" s="8">
        <v>42018</v>
      </c>
      <c r="B170" s="9" t="s">
        <v>10</v>
      </c>
      <c r="C170" s="9" t="s">
        <v>15</v>
      </c>
      <c r="D170" s="9" t="s">
        <v>30</v>
      </c>
      <c r="E170" s="9" t="s">
        <v>3</v>
      </c>
      <c r="F170" s="9" t="str">
        <f t="shared" si="2"/>
        <v>Not Delivered</v>
      </c>
      <c r="G170" s="9" t="b">
        <v>0</v>
      </c>
      <c r="H170" s="9" t="s">
        <v>22</v>
      </c>
      <c r="I170" s="8">
        <v>7054</v>
      </c>
      <c r="J170" s="10">
        <v>705.21</v>
      </c>
      <c r="K170" s="10">
        <v>111.65</v>
      </c>
      <c r="L170" s="10">
        <v>0</v>
      </c>
      <c r="M170" s="10">
        <v>816.86</v>
      </c>
      <c r="N170" s="8">
        <v>10</v>
      </c>
      <c r="O170" s="6">
        <v>4.3</v>
      </c>
    </row>
    <row r="171" spans="1:15" x14ac:dyDescent="0.25">
      <c r="A171" s="8">
        <v>47353</v>
      </c>
      <c r="B171" s="9" t="s">
        <v>41</v>
      </c>
      <c r="C171" s="9" t="s">
        <v>61</v>
      </c>
      <c r="D171" s="9" t="s">
        <v>16</v>
      </c>
      <c r="E171" s="9" t="s">
        <v>21</v>
      </c>
      <c r="F171" s="9" t="str">
        <f t="shared" si="2"/>
        <v>Not Delivered</v>
      </c>
      <c r="G171" s="9" t="b">
        <v>0</v>
      </c>
      <c r="H171" s="9" t="s">
        <v>33</v>
      </c>
      <c r="I171" s="8">
        <v>3584</v>
      </c>
      <c r="J171" s="10">
        <v>1344.76</v>
      </c>
      <c r="K171" s="10">
        <v>0</v>
      </c>
      <c r="L171" s="10">
        <v>0</v>
      </c>
      <c r="M171" s="10">
        <v>1344.76</v>
      </c>
      <c r="N171" s="8">
        <v>11</v>
      </c>
    </row>
    <row r="172" spans="1:15" x14ac:dyDescent="0.25">
      <c r="A172" s="8">
        <v>67433</v>
      </c>
      <c r="B172" s="9" t="s">
        <v>0</v>
      </c>
      <c r="C172" s="9" t="s">
        <v>1</v>
      </c>
      <c r="D172" s="9" t="s">
        <v>16</v>
      </c>
      <c r="E172" s="9" t="s">
        <v>32</v>
      </c>
      <c r="F172" s="9" t="str">
        <f t="shared" si="2"/>
        <v>Not Delivered</v>
      </c>
      <c r="G172" s="9" t="b">
        <v>1</v>
      </c>
      <c r="H172" s="9" t="s">
        <v>14</v>
      </c>
      <c r="I172" s="8">
        <v>9900</v>
      </c>
      <c r="J172" s="10">
        <v>1134.9000000000001</v>
      </c>
      <c r="K172" s="10">
        <v>0</v>
      </c>
      <c r="L172" s="10">
        <v>39.590000000000003</v>
      </c>
      <c r="M172" s="10">
        <v>1174.49</v>
      </c>
      <c r="N172" s="8">
        <v>3</v>
      </c>
      <c r="O172" s="6">
        <v>3.9</v>
      </c>
    </row>
    <row r="173" spans="1:15" x14ac:dyDescent="0.25">
      <c r="A173" s="8">
        <v>49651</v>
      </c>
      <c r="B173" s="9" t="s">
        <v>0</v>
      </c>
      <c r="C173" s="9" t="s">
        <v>53</v>
      </c>
      <c r="D173" s="9" t="s">
        <v>19</v>
      </c>
      <c r="E173" s="9" t="s">
        <v>3</v>
      </c>
      <c r="F173" s="9" t="str">
        <f t="shared" si="2"/>
        <v>Not Delivered</v>
      </c>
      <c r="G173" s="9" t="b">
        <v>1</v>
      </c>
      <c r="H173" s="9" t="s">
        <v>18</v>
      </c>
      <c r="I173" s="8">
        <v>9666</v>
      </c>
      <c r="J173" s="10">
        <v>202.09</v>
      </c>
      <c r="K173" s="10">
        <v>96.12</v>
      </c>
      <c r="L173" s="10">
        <v>50.95</v>
      </c>
      <c r="M173" s="10">
        <v>349.16</v>
      </c>
      <c r="N173" s="8">
        <v>6</v>
      </c>
      <c r="O173" s="6">
        <v>2.7</v>
      </c>
    </row>
    <row r="174" spans="1:15" x14ac:dyDescent="0.25">
      <c r="A174" s="8">
        <v>11025</v>
      </c>
      <c r="B174" s="9" t="s">
        <v>41</v>
      </c>
      <c r="C174" s="9" t="s">
        <v>42</v>
      </c>
      <c r="D174" s="9" t="s">
        <v>7</v>
      </c>
      <c r="E174" s="9" t="s">
        <v>3</v>
      </c>
      <c r="F174" s="9" t="str">
        <f t="shared" si="2"/>
        <v>Not Delivered</v>
      </c>
      <c r="G174" s="9" t="b">
        <v>1</v>
      </c>
      <c r="H174" s="9" t="s">
        <v>18</v>
      </c>
      <c r="I174" s="8">
        <v>5905</v>
      </c>
      <c r="J174" s="10">
        <v>2220.1999999999998</v>
      </c>
      <c r="K174" s="10">
        <v>56.23</v>
      </c>
      <c r="L174" s="10">
        <v>78.040000000000006</v>
      </c>
      <c r="M174" s="10">
        <v>2354.4699999999998</v>
      </c>
      <c r="N174" s="8">
        <v>11</v>
      </c>
      <c r="O174" s="6">
        <v>2.5</v>
      </c>
    </row>
    <row r="175" spans="1:15" x14ac:dyDescent="0.25">
      <c r="A175" s="8">
        <v>96951</v>
      </c>
      <c r="B175" s="9" t="s">
        <v>10</v>
      </c>
      <c r="C175" s="9" t="s">
        <v>15</v>
      </c>
      <c r="D175" s="9" t="s">
        <v>50</v>
      </c>
      <c r="E175" s="9" t="s">
        <v>21</v>
      </c>
      <c r="F175" s="9" t="str">
        <f t="shared" si="2"/>
        <v>Not Delivered</v>
      </c>
      <c r="G175" s="9" t="b">
        <v>0</v>
      </c>
      <c r="H175" s="9" t="s">
        <v>33</v>
      </c>
      <c r="I175" s="8">
        <v>2697</v>
      </c>
      <c r="J175" s="10">
        <v>773.15</v>
      </c>
      <c r="K175" s="10">
        <v>122.09</v>
      </c>
      <c r="L175" s="10">
        <v>0</v>
      </c>
      <c r="M175" s="10">
        <v>895.24</v>
      </c>
      <c r="N175" s="8">
        <v>10</v>
      </c>
      <c r="O175" s="6">
        <v>4.8</v>
      </c>
    </row>
    <row r="176" spans="1:15" x14ac:dyDescent="0.25">
      <c r="A176" s="8">
        <v>27601</v>
      </c>
      <c r="B176" s="9" t="s">
        <v>23</v>
      </c>
      <c r="C176" s="9" t="s">
        <v>49</v>
      </c>
      <c r="D176" s="9" t="s">
        <v>38</v>
      </c>
      <c r="E176" s="9" t="s">
        <v>13</v>
      </c>
      <c r="F176" s="9" t="str">
        <f t="shared" si="2"/>
        <v>Delivered</v>
      </c>
      <c r="G176" s="9" t="b">
        <v>0</v>
      </c>
      <c r="H176" s="9" t="s">
        <v>33</v>
      </c>
      <c r="I176" s="8">
        <v>5333</v>
      </c>
      <c r="J176" s="10">
        <v>2347.85</v>
      </c>
      <c r="K176" s="10">
        <v>119.02</v>
      </c>
      <c r="L176" s="10">
        <v>0</v>
      </c>
      <c r="M176" s="10">
        <v>2466.87</v>
      </c>
      <c r="N176" s="8">
        <v>6</v>
      </c>
      <c r="O176" s="6">
        <v>3.2</v>
      </c>
    </row>
    <row r="177" spans="1:15" x14ac:dyDescent="0.25">
      <c r="A177" s="8">
        <v>25129</v>
      </c>
      <c r="B177" s="9" t="s">
        <v>5</v>
      </c>
      <c r="C177" s="9" t="s">
        <v>59</v>
      </c>
      <c r="D177" s="9" t="s">
        <v>50</v>
      </c>
      <c r="E177" s="9" t="s">
        <v>8</v>
      </c>
      <c r="F177" s="9" t="str">
        <f t="shared" si="2"/>
        <v>Not Delivered</v>
      </c>
      <c r="G177" s="9" t="b">
        <v>0</v>
      </c>
      <c r="H177" s="9" t="s">
        <v>4</v>
      </c>
      <c r="I177" s="8">
        <v>2753</v>
      </c>
      <c r="J177" s="10">
        <v>1756.23</v>
      </c>
      <c r="K177" s="10">
        <v>148.02000000000001</v>
      </c>
      <c r="L177" s="10">
        <v>0</v>
      </c>
      <c r="M177" s="10">
        <v>1904.25</v>
      </c>
      <c r="N177" s="8">
        <v>13</v>
      </c>
      <c r="O177" s="6">
        <v>2.2000000000000002</v>
      </c>
    </row>
    <row r="178" spans="1:15" x14ac:dyDescent="0.25">
      <c r="A178" s="8">
        <v>82512</v>
      </c>
      <c r="B178" s="9" t="s">
        <v>10</v>
      </c>
      <c r="C178" s="9" t="s">
        <v>20</v>
      </c>
      <c r="D178" s="9" t="s">
        <v>2</v>
      </c>
      <c r="E178" s="9" t="s">
        <v>8</v>
      </c>
      <c r="F178" s="9" t="str">
        <f t="shared" si="2"/>
        <v>Not Delivered</v>
      </c>
      <c r="G178" s="9" t="b">
        <v>0</v>
      </c>
      <c r="H178" s="9" t="s">
        <v>18</v>
      </c>
      <c r="I178" s="8">
        <v>3546</v>
      </c>
      <c r="J178" s="10">
        <v>1346.35</v>
      </c>
      <c r="K178" s="10">
        <v>71.400000000000006</v>
      </c>
      <c r="L178" s="10">
        <v>0</v>
      </c>
      <c r="M178" s="10">
        <v>1417.75</v>
      </c>
      <c r="N178" s="8">
        <v>9</v>
      </c>
      <c r="O178" s="6">
        <v>1.5</v>
      </c>
    </row>
    <row r="179" spans="1:15" x14ac:dyDescent="0.25">
      <c r="A179" s="8">
        <v>45697</v>
      </c>
      <c r="B179" s="9" t="s">
        <v>23</v>
      </c>
      <c r="C179" s="9" t="s">
        <v>24</v>
      </c>
      <c r="D179" s="9" t="s">
        <v>27</v>
      </c>
      <c r="E179" s="9" t="s">
        <v>32</v>
      </c>
      <c r="F179" s="9" t="str">
        <f t="shared" si="2"/>
        <v>Not Delivered</v>
      </c>
      <c r="G179" s="9" t="b">
        <v>1</v>
      </c>
      <c r="H179" s="9" t="s">
        <v>4</v>
      </c>
      <c r="I179" s="8">
        <v>5616</v>
      </c>
      <c r="J179" s="10">
        <v>294.68</v>
      </c>
      <c r="K179" s="10">
        <v>92.89</v>
      </c>
      <c r="L179" s="10">
        <v>52.62</v>
      </c>
      <c r="M179" s="10">
        <v>440.19</v>
      </c>
      <c r="N179" s="8">
        <v>7</v>
      </c>
      <c r="O179" s="6">
        <v>2.9</v>
      </c>
    </row>
    <row r="180" spans="1:15" x14ac:dyDescent="0.25">
      <c r="A180" s="8">
        <v>89276</v>
      </c>
      <c r="B180" s="9" t="s">
        <v>41</v>
      </c>
      <c r="C180" s="9" t="s">
        <v>46</v>
      </c>
      <c r="D180" s="9" t="s">
        <v>35</v>
      </c>
      <c r="E180" s="9" t="s">
        <v>13</v>
      </c>
      <c r="F180" s="9" t="str">
        <f t="shared" si="2"/>
        <v>Delivered</v>
      </c>
      <c r="G180" s="9" t="b">
        <v>0</v>
      </c>
      <c r="H180" s="9" t="s">
        <v>22</v>
      </c>
      <c r="I180" s="8">
        <v>4450</v>
      </c>
      <c r="J180" s="10">
        <v>1195.2</v>
      </c>
      <c r="K180" s="10">
        <v>137.84</v>
      </c>
      <c r="L180" s="10">
        <v>0</v>
      </c>
      <c r="M180" s="10">
        <v>1333.04</v>
      </c>
      <c r="N180" s="8">
        <v>11</v>
      </c>
      <c r="O180" s="6">
        <v>4.9000000000000004</v>
      </c>
    </row>
    <row r="181" spans="1:15" x14ac:dyDescent="0.25">
      <c r="A181" s="8">
        <v>54942</v>
      </c>
      <c r="B181" s="9" t="s">
        <v>5</v>
      </c>
      <c r="C181" s="9" t="s">
        <v>6</v>
      </c>
      <c r="D181" s="9" t="s">
        <v>16</v>
      </c>
      <c r="E181" s="9" t="s">
        <v>3</v>
      </c>
      <c r="F181" s="9" t="str">
        <f t="shared" si="2"/>
        <v>Not Delivered</v>
      </c>
      <c r="G181" s="9" t="b">
        <v>1</v>
      </c>
      <c r="H181" s="9" t="s">
        <v>28</v>
      </c>
      <c r="I181" s="8">
        <v>4335</v>
      </c>
      <c r="J181" s="10">
        <v>1700.29</v>
      </c>
      <c r="K181" s="10">
        <v>0</v>
      </c>
      <c r="L181" s="10">
        <v>70.89</v>
      </c>
      <c r="M181" s="10">
        <v>1771.18</v>
      </c>
      <c r="N181" s="8">
        <v>14</v>
      </c>
      <c r="O181" s="6">
        <v>4.7</v>
      </c>
    </row>
    <row r="182" spans="1:15" x14ac:dyDescent="0.25">
      <c r="A182" s="8">
        <v>93130</v>
      </c>
      <c r="B182" s="9" t="s">
        <v>0</v>
      </c>
      <c r="C182" s="9" t="s">
        <v>51</v>
      </c>
      <c r="D182" s="9" t="s">
        <v>7</v>
      </c>
      <c r="E182" s="9" t="s">
        <v>21</v>
      </c>
      <c r="F182" s="9" t="str">
        <f t="shared" si="2"/>
        <v>Not Delivered</v>
      </c>
      <c r="G182" s="9" t="b">
        <v>1</v>
      </c>
      <c r="H182" s="9" t="s">
        <v>9</v>
      </c>
      <c r="I182" s="8">
        <v>5325</v>
      </c>
      <c r="J182" s="10">
        <v>1596.63</v>
      </c>
      <c r="K182" s="10">
        <v>0</v>
      </c>
      <c r="L182" s="10">
        <v>128.46</v>
      </c>
      <c r="M182" s="10">
        <v>1725.09</v>
      </c>
      <c r="N182" s="8">
        <v>11</v>
      </c>
      <c r="O182" s="6">
        <v>3</v>
      </c>
    </row>
    <row r="183" spans="1:15" x14ac:dyDescent="0.25">
      <c r="A183" s="8">
        <v>76244</v>
      </c>
      <c r="B183" s="9" t="s">
        <v>10</v>
      </c>
      <c r="C183" s="9" t="s">
        <v>29</v>
      </c>
      <c r="D183" s="9" t="s">
        <v>50</v>
      </c>
      <c r="E183" s="9" t="s">
        <v>21</v>
      </c>
      <c r="F183" s="9" t="str">
        <f t="shared" si="2"/>
        <v>Not Delivered</v>
      </c>
      <c r="G183" s="9" t="b">
        <v>0</v>
      </c>
      <c r="H183" s="9" t="s">
        <v>22</v>
      </c>
      <c r="I183" s="8">
        <v>9004</v>
      </c>
      <c r="J183" s="10">
        <v>1636.75</v>
      </c>
      <c r="K183" s="10">
        <v>123.11</v>
      </c>
      <c r="L183" s="10">
        <v>0</v>
      </c>
      <c r="M183" s="10">
        <v>1759.86</v>
      </c>
      <c r="N183" s="8">
        <v>12</v>
      </c>
      <c r="O183" s="6">
        <v>3.9</v>
      </c>
    </row>
    <row r="184" spans="1:15" x14ac:dyDescent="0.25">
      <c r="A184" s="8">
        <v>42914</v>
      </c>
      <c r="B184" s="9" t="s">
        <v>23</v>
      </c>
      <c r="C184" s="9" t="s">
        <v>24</v>
      </c>
      <c r="D184" s="9" t="s">
        <v>12</v>
      </c>
      <c r="E184" s="9" t="s">
        <v>32</v>
      </c>
      <c r="F184" s="9" t="str">
        <f t="shared" si="2"/>
        <v>Not Delivered</v>
      </c>
      <c r="G184" s="9" t="b">
        <v>0</v>
      </c>
      <c r="H184" s="9" t="s">
        <v>28</v>
      </c>
      <c r="I184" s="8">
        <v>1832</v>
      </c>
      <c r="J184" s="10">
        <v>1891.22</v>
      </c>
      <c r="K184" s="10">
        <v>90.55</v>
      </c>
      <c r="L184" s="10">
        <v>0</v>
      </c>
      <c r="M184" s="10">
        <v>1981.77</v>
      </c>
      <c r="N184" s="8">
        <v>9</v>
      </c>
      <c r="O184" s="6">
        <v>2.6</v>
      </c>
    </row>
    <row r="185" spans="1:15" x14ac:dyDescent="0.25">
      <c r="A185" s="8">
        <v>22097</v>
      </c>
      <c r="B185" s="9" t="s">
        <v>39</v>
      </c>
      <c r="C185" s="9" t="s">
        <v>52</v>
      </c>
      <c r="D185" s="9" t="s">
        <v>35</v>
      </c>
      <c r="E185" s="9" t="s">
        <v>13</v>
      </c>
      <c r="F185" s="9" t="str">
        <f t="shared" si="2"/>
        <v>Delivered</v>
      </c>
      <c r="G185" s="9" t="b">
        <v>0</v>
      </c>
      <c r="H185" s="9" t="s">
        <v>18</v>
      </c>
      <c r="I185" s="8">
        <v>7939</v>
      </c>
      <c r="J185" s="10">
        <v>1408.87</v>
      </c>
      <c r="K185" s="10">
        <v>0</v>
      </c>
      <c r="L185" s="10">
        <v>0</v>
      </c>
      <c r="M185" s="10">
        <v>1408.87</v>
      </c>
      <c r="N185" s="8">
        <v>4</v>
      </c>
      <c r="O185" s="6">
        <v>2.1</v>
      </c>
    </row>
    <row r="186" spans="1:15" x14ac:dyDescent="0.25">
      <c r="A186" s="8">
        <v>46265</v>
      </c>
      <c r="B186" s="9" t="s">
        <v>0</v>
      </c>
      <c r="C186" s="9" t="s">
        <v>43</v>
      </c>
      <c r="D186" s="9" t="s">
        <v>30</v>
      </c>
      <c r="E186" s="9" t="s">
        <v>8</v>
      </c>
      <c r="F186" s="9" t="str">
        <f t="shared" si="2"/>
        <v>Not Delivered</v>
      </c>
      <c r="G186" s="9" t="b">
        <v>1</v>
      </c>
      <c r="H186" s="9" t="s">
        <v>14</v>
      </c>
      <c r="I186" s="8">
        <v>1722</v>
      </c>
      <c r="J186" s="10">
        <v>168.87</v>
      </c>
      <c r="K186" s="10">
        <v>74.03</v>
      </c>
      <c r="L186" s="10">
        <v>41.69</v>
      </c>
      <c r="M186" s="10">
        <v>284.58999999999997</v>
      </c>
      <c r="N186" s="8">
        <v>8</v>
      </c>
      <c r="O186" s="6">
        <v>2.6</v>
      </c>
    </row>
    <row r="187" spans="1:15" x14ac:dyDescent="0.25">
      <c r="A187" s="8">
        <v>10464</v>
      </c>
      <c r="B187" s="9" t="s">
        <v>10</v>
      </c>
      <c r="C187" s="9" t="s">
        <v>26</v>
      </c>
      <c r="D187" s="9" t="s">
        <v>2</v>
      </c>
      <c r="E187" s="9" t="s">
        <v>13</v>
      </c>
      <c r="F187" s="9" t="str">
        <f t="shared" si="2"/>
        <v>Delivered</v>
      </c>
      <c r="G187" s="9" t="b">
        <v>1</v>
      </c>
      <c r="H187" s="9" t="s">
        <v>9</v>
      </c>
      <c r="I187" s="8">
        <v>6464</v>
      </c>
      <c r="J187" s="10">
        <v>1313.55</v>
      </c>
      <c r="K187" s="10">
        <v>86.75</v>
      </c>
      <c r="L187" s="10">
        <v>97.87</v>
      </c>
      <c r="M187" s="10">
        <v>1498.17</v>
      </c>
      <c r="N187" s="8">
        <v>8</v>
      </c>
      <c r="O187" s="6">
        <v>4</v>
      </c>
    </row>
    <row r="188" spans="1:15" x14ac:dyDescent="0.25">
      <c r="A188" s="8">
        <v>27146</v>
      </c>
      <c r="B188" s="9" t="s">
        <v>0</v>
      </c>
      <c r="C188" s="9" t="s">
        <v>43</v>
      </c>
      <c r="D188" s="9" t="s">
        <v>45</v>
      </c>
      <c r="E188" s="9" t="s">
        <v>21</v>
      </c>
      <c r="F188" s="9" t="str">
        <f t="shared" si="2"/>
        <v>Not Delivered</v>
      </c>
      <c r="G188" s="9" t="b">
        <v>1</v>
      </c>
      <c r="H188" s="9" t="s">
        <v>22</v>
      </c>
      <c r="I188" s="8">
        <v>5291</v>
      </c>
      <c r="J188" s="10">
        <v>1656.11</v>
      </c>
      <c r="K188" s="10">
        <v>130.19999999999999</v>
      </c>
      <c r="L188" s="10">
        <v>84.02</v>
      </c>
      <c r="M188" s="10">
        <v>1870.33</v>
      </c>
      <c r="N188" s="8">
        <v>10</v>
      </c>
      <c r="O188" s="6">
        <v>1.3</v>
      </c>
    </row>
    <row r="189" spans="1:15" x14ac:dyDescent="0.25">
      <c r="A189" s="8">
        <v>31178</v>
      </c>
      <c r="B189" s="9" t="s">
        <v>10</v>
      </c>
      <c r="C189" s="9" t="s">
        <v>26</v>
      </c>
      <c r="D189" s="9" t="s">
        <v>19</v>
      </c>
      <c r="E189" s="9" t="s">
        <v>8</v>
      </c>
      <c r="F189" s="9" t="str">
        <f t="shared" si="2"/>
        <v>Not Delivered</v>
      </c>
      <c r="G189" s="9" t="b">
        <v>1</v>
      </c>
      <c r="H189" s="9" t="s">
        <v>18</v>
      </c>
      <c r="I189" s="8">
        <v>8239</v>
      </c>
      <c r="J189" s="10">
        <v>1842.76</v>
      </c>
      <c r="K189" s="10">
        <v>0</v>
      </c>
      <c r="L189" s="10">
        <v>58.23</v>
      </c>
      <c r="M189" s="10">
        <v>1900.99</v>
      </c>
      <c r="N189" s="8">
        <v>14</v>
      </c>
      <c r="O189" s="6">
        <v>1.5</v>
      </c>
    </row>
    <row r="190" spans="1:15" x14ac:dyDescent="0.25">
      <c r="A190" s="8">
        <v>82309</v>
      </c>
      <c r="B190" s="9" t="s">
        <v>39</v>
      </c>
      <c r="C190" s="9" t="s">
        <v>57</v>
      </c>
      <c r="E190" s="9" t="s">
        <v>8</v>
      </c>
      <c r="F190" s="9" t="str">
        <f t="shared" si="2"/>
        <v>Not Delivered</v>
      </c>
      <c r="G190" s="9" t="b">
        <v>1</v>
      </c>
      <c r="H190" s="9" t="s">
        <v>4</v>
      </c>
      <c r="I190" s="8">
        <v>8007</v>
      </c>
      <c r="J190" s="10">
        <v>1356.42</v>
      </c>
      <c r="K190" s="10">
        <v>55.56</v>
      </c>
      <c r="L190" s="10">
        <v>218.52</v>
      </c>
      <c r="M190" s="10">
        <v>1630.5</v>
      </c>
      <c r="N190" s="8">
        <v>1</v>
      </c>
      <c r="O190" s="6">
        <v>3.7</v>
      </c>
    </row>
    <row r="191" spans="1:15" x14ac:dyDescent="0.25">
      <c r="A191" s="8">
        <v>83519</v>
      </c>
      <c r="B191" s="9" t="s">
        <v>39</v>
      </c>
      <c r="C191" s="9" t="s">
        <v>52</v>
      </c>
      <c r="D191" s="9" t="s">
        <v>12</v>
      </c>
      <c r="E191" s="9" t="s">
        <v>3</v>
      </c>
      <c r="F191" s="9" t="str">
        <f t="shared" si="2"/>
        <v>Not Delivered</v>
      </c>
      <c r="G191" s="9" t="b">
        <v>1</v>
      </c>
      <c r="H191" s="9" t="s">
        <v>4</v>
      </c>
      <c r="I191" s="8">
        <v>1158</v>
      </c>
      <c r="J191" s="10">
        <v>1239.3599999999999</v>
      </c>
      <c r="K191" s="10">
        <v>107.83</v>
      </c>
      <c r="L191" s="10">
        <v>201.68</v>
      </c>
      <c r="M191" s="10">
        <v>1548.87</v>
      </c>
      <c r="N191" s="8">
        <v>2</v>
      </c>
      <c r="O191" s="6">
        <v>1.2</v>
      </c>
    </row>
    <row r="192" spans="1:15" x14ac:dyDescent="0.25">
      <c r="A192" s="8">
        <v>24663</v>
      </c>
      <c r="B192" s="9" t="s">
        <v>10</v>
      </c>
      <c r="C192" s="9" t="s">
        <v>20</v>
      </c>
      <c r="D192" s="9" t="s">
        <v>16</v>
      </c>
      <c r="E192" s="9" t="s">
        <v>3</v>
      </c>
      <c r="F192" s="9" t="str">
        <f t="shared" si="2"/>
        <v>Not Delivered</v>
      </c>
      <c r="G192" s="9" t="b">
        <v>0</v>
      </c>
      <c r="H192" s="9" t="s">
        <v>4</v>
      </c>
      <c r="I192" s="8">
        <v>2232</v>
      </c>
      <c r="J192" s="10">
        <v>441.96</v>
      </c>
      <c r="K192" s="10">
        <v>35.159999999999997</v>
      </c>
      <c r="L192" s="10">
        <v>0</v>
      </c>
      <c r="M192" s="10">
        <v>477.12</v>
      </c>
      <c r="N192" s="8">
        <v>6</v>
      </c>
      <c r="O192" s="6">
        <v>2.5</v>
      </c>
    </row>
    <row r="193" spans="1:15" x14ac:dyDescent="0.25">
      <c r="A193" s="8">
        <v>29536</v>
      </c>
      <c r="B193" s="9" t="s">
        <v>0</v>
      </c>
      <c r="C193" s="9" t="s">
        <v>43</v>
      </c>
      <c r="D193" s="9" t="s">
        <v>19</v>
      </c>
      <c r="E193" s="9" t="s">
        <v>17</v>
      </c>
      <c r="F193" s="9" t="str">
        <f t="shared" si="2"/>
        <v>Not Delivered</v>
      </c>
      <c r="G193" s="9" t="b">
        <v>1</v>
      </c>
      <c r="H193" s="9" t="s">
        <v>14</v>
      </c>
      <c r="I193" s="8">
        <v>9938</v>
      </c>
      <c r="J193" s="10">
        <v>369.43</v>
      </c>
      <c r="K193" s="10">
        <v>89.52</v>
      </c>
      <c r="L193" s="10">
        <v>99.64</v>
      </c>
      <c r="M193" s="10">
        <v>558.59</v>
      </c>
      <c r="N193" s="8">
        <v>7</v>
      </c>
      <c r="O193" s="6">
        <v>3.9</v>
      </c>
    </row>
    <row r="194" spans="1:15" x14ac:dyDescent="0.25">
      <c r="A194" s="8">
        <v>14722</v>
      </c>
      <c r="B194" s="9" t="s">
        <v>5</v>
      </c>
      <c r="C194" s="9" t="s">
        <v>56</v>
      </c>
      <c r="D194" s="9" t="s">
        <v>7</v>
      </c>
      <c r="E194" s="9" t="s">
        <v>13</v>
      </c>
      <c r="F194" s="9" t="str">
        <f t="shared" si="2"/>
        <v>Delivered</v>
      </c>
      <c r="G194" s="9" t="b">
        <v>0</v>
      </c>
      <c r="H194" s="9" t="s">
        <v>28</v>
      </c>
      <c r="I194" s="8">
        <v>7049</v>
      </c>
      <c r="J194" s="10">
        <v>1264.9100000000001</v>
      </c>
      <c r="K194" s="10">
        <v>92.41</v>
      </c>
      <c r="L194" s="10">
        <v>0</v>
      </c>
      <c r="M194" s="10">
        <v>1357.32</v>
      </c>
      <c r="N194" s="8">
        <v>14</v>
      </c>
      <c r="O194" s="6">
        <v>2.8</v>
      </c>
    </row>
    <row r="195" spans="1:15" x14ac:dyDescent="0.25">
      <c r="A195" s="8">
        <v>86350</v>
      </c>
      <c r="B195" s="9" t="s">
        <v>0</v>
      </c>
      <c r="C195" s="9" t="s">
        <v>1</v>
      </c>
      <c r="D195" s="9" t="s">
        <v>27</v>
      </c>
      <c r="E195" s="9" t="s">
        <v>8</v>
      </c>
      <c r="F195" s="9" t="str">
        <f t="shared" ref="F195:F258" si="3">IF(OR(
E195="Failed Delivery",
E195="Cancelled",
E195="Pending",
E195="Rescheduled",
E195="In Transit"
),"Not Delivered","Delivered")</f>
        <v>Not Delivered</v>
      </c>
      <c r="G195" s="9" t="b">
        <v>1</v>
      </c>
      <c r="H195" s="9" t="s">
        <v>14</v>
      </c>
      <c r="I195" s="8">
        <v>3426</v>
      </c>
      <c r="J195" s="10">
        <v>203.16</v>
      </c>
      <c r="K195" s="10">
        <v>74.510000000000005</v>
      </c>
      <c r="L195" s="10">
        <v>60.3</v>
      </c>
      <c r="M195" s="10">
        <v>337.97</v>
      </c>
      <c r="N195" s="8">
        <v>2</v>
      </c>
      <c r="O195" s="6">
        <v>2.8</v>
      </c>
    </row>
    <row r="196" spans="1:15" x14ac:dyDescent="0.25">
      <c r="A196" s="8">
        <v>66333</v>
      </c>
      <c r="B196" s="9" t="s">
        <v>5</v>
      </c>
      <c r="C196" s="9" t="s">
        <v>36</v>
      </c>
      <c r="D196" s="9" t="s">
        <v>2</v>
      </c>
      <c r="E196" s="9" t="s">
        <v>13</v>
      </c>
      <c r="F196" s="9" t="str">
        <f t="shared" si="3"/>
        <v>Delivered</v>
      </c>
      <c r="G196" s="9" t="b">
        <v>1</v>
      </c>
      <c r="H196" s="9" t="s">
        <v>18</v>
      </c>
      <c r="I196" s="8">
        <v>3088</v>
      </c>
      <c r="J196" s="10">
        <v>1903.24</v>
      </c>
      <c r="K196" s="10">
        <v>73.430000000000007</v>
      </c>
      <c r="L196" s="10">
        <v>28.5</v>
      </c>
      <c r="M196" s="10">
        <v>2005.17</v>
      </c>
      <c r="N196" s="8">
        <v>5</v>
      </c>
      <c r="O196" s="6">
        <v>4.7</v>
      </c>
    </row>
    <row r="197" spans="1:15" x14ac:dyDescent="0.25">
      <c r="A197" s="8">
        <v>15482</v>
      </c>
      <c r="B197" s="9" t="s">
        <v>41</v>
      </c>
      <c r="C197" s="9" t="s">
        <v>61</v>
      </c>
      <c r="D197" s="9" t="s">
        <v>38</v>
      </c>
      <c r="E197" s="9" t="s">
        <v>32</v>
      </c>
      <c r="F197" s="9" t="str">
        <f t="shared" si="3"/>
        <v>Not Delivered</v>
      </c>
      <c r="G197" s="9" t="b">
        <v>1</v>
      </c>
      <c r="H197" s="9" t="s">
        <v>22</v>
      </c>
      <c r="I197" s="8">
        <v>6050</v>
      </c>
      <c r="J197" s="10">
        <v>821.19</v>
      </c>
      <c r="K197" s="10">
        <v>148.57</v>
      </c>
      <c r="L197" s="10">
        <v>195.08</v>
      </c>
      <c r="M197" s="10">
        <v>1164.8399999999999</v>
      </c>
      <c r="N197" s="8">
        <v>1</v>
      </c>
      <c r="O197" s="6">
        <v>3.4</v>
      </c>
    </row>
    <row r="198" spans="1:15" x14ac:dyDescent="0.25">
      <c r="A198" s="8">
        <v>57795</v>
      </c>
      <c r="B198" s="9" t="s">
        <v>0</v>
      </c>
      <c r="C198" s="9" t="s">
        <v>37</v>
      </c>
      <c r="E198" s="9" t="s">
        <v>8</v>
      </c>
      <c r="F198" s="9" t="str">
        <f t="shared" si="3"/>
        <v>Not Delivered</v>
      </c>
      <c r="G198" s="9" t="b">
        <v>0</v>
      </c>
      <c r="H198" s="9" t="s">
        <v>9</v>
      </c>
      <c r="I198" s="8">
        <v>1653</v>
      </c>
      <c r="J198" s="10">
        <v>1067.1500000000001</v>
      </c>
      <c r="K198" s="10">
        <v>0</v>
      </c>
      <c r="L198" s="10">
        <v>0</v>
      </c>
      <c r="M198" s="10">
        <v>1067.1500000000001</v>
      </c>
      <c r="N198" s="8">
        <v>11</v>
      </c>
      <c r="O198" s="6">
        <v>4.0999999999999996</v>
      </c>
    </row>
    <row r="199" spans="1:15" x14ac:dyDescent="0.25">
      <c r="A199" s="8">
        <v>56898</v>
      </c>
      <c r="B199" s="9" t="s">
        <v>39</v>
      </c>
      <c r="C199" s="9" t="s">
        <v>40</v>
      </c>
      <c r="D199" s="9" t="s">
        <v>38</v>
      </c>
      <c r="E199" s="9" t="s">
        <v>32</v>
      </c>
      <c r="F199" s="9" t="str">
        <f t="shared" si="3"/>
        <v>Not Delivered</v>
      </c>
      <c r="G199" s="9" t="b">
        <v>0</v>
      </c>
      <c r="H199" s="9" t="s">
        <v>14</v>
      </c>
      <c r="I199" s="8">
        <v>4441</v>
      </c>
      <c r="J199" s="10">
        <v>505.84</v>
      </c>
      <c r="K199" s="10">
        <v>0</v>
      </c>
      <c r="L199" s="10">
        <v>0</v>
      </c>
      <c r="M199" s="10">
        <v>505.84</v>
      </c>
      <c r="N199" s="8">
        <v>4</v>
      </c>
      <c r="O199" s="6">
        <v>2.2000000000000002</v>
      </c>
    </row>
    <row r="200" spans="1:15" x14ac:dyDescent="0.25">
      <c r="A200" s="8">
        <v>99399</v>
      </c>
      <c r="B200" s="9" t="s">
        <v>39</v>
      </c>
      <c r="C200" s="9" t="s">
        <v>57</v>
      </c>
      <c r="D200" s="9" t="s">
        <v>45</v>
      </c>
      <c r="E200" s="9" t="s">
        <v>13</v>
      </c>
      <c r="F200" s="9" t="str">
        <f t="shared" si="3"/>
        <v>Delivered</v>
      </c>
      <c r="G200" s="9" t="b">
        <v>1</v>
      </c>
      <c r="H200" s="9" t="s">
        <v>4</v>
      </c>
      <c r="I200" s="8">
        <v>5088</v>
      </c>
      <c r="J200" s="10">
        <v>878.59</v>
      </c>
      <c r="K200" s="10">
        <v>105.73</v>
      </c>
      <c r="L200" s="10">
        <v>186.43</v>
      </c>
      <c r="M200" s="10">
        <v>1170.75</v>
      </c>
      <c r="N200" s="8">
        <v>4</v>
      </c>
      <c r="O200" s="6">
        <v>1.3</v>
      </c>
    </row>
    <row r="201" spans="1:15" x14ac:dyDescent="0.25">
      <c r="A201" s="8">
        <v>97416</v>
      </c>
      <c r="B201" s="9" t="s">
        <v>41</v>
      </c>
      <c r="C201" s="9" t="s">
        <v>46</v>
      </c>
      <c r="D201" s="9" t="s">
        <v>19</v>
      </c>
      <c r="E201" s="9" t="s">
        <v>3</v>
      </c>
      <c r="F201" s="9" t="str">
        <f t="shared" si="3"/>
        <v>Not Delivered</v>
      </c>
      <c r="G201" s="9" t="b">
        <v>1</v>
      </c>
      <c r="H201" s="9" t="s">
        <v>28</v>
      </c>
      <c r="I201" s="8">
        <v>2684</v>
      </c>
      <c r="J201" s="10">
        <v>413.38</v>
      </c>
      <c r="K201" s="10">
        <v>53.29</v>
      </c>
      <c r="L201" s="10">
        <v>29.7</v>
      </c>
      <c r="M201" s="10">
        <v>496.37</v>
      </c>
      <c r="N201" s="8">
        <v>13</v>
      </c>
      <c r="O201" s="6">
        <v>3.7</v>
      </c>
    </row>
    <row r="202" spans="1:15" x14ac:dyDescent="0.25">
      <c r="A202" s="8">
        <v>56357</v>
      </c>
      <c r="B202" s="9" t="s">
        <v>10</v>
      </c>
      <c r="C202" s="9" t="s">
        <v>11</v>
      </c>
      <c r="D202" s="9" t="s">
        <v>2</v>
      </c>
      <c r="E202" s="9" t="s">
        <v>8</v>
      </c>
      <c r="F202" s="9" t="str">
        <f t="shared" si="3"/>
        <v>Not Delivered</v>
      </c>
      <c r="G202" s="9" t="b">
        <v>1</v>
      </c>
      <c r="H202" s="9" t="s">
        <v>28</v>
      </c>
      <c r="I202" s="8">
        <v>7658</v>
      </c>
      <c r="J202" s="10">
        <v>1918.34</v>
      </c>
      <c r="K202" s="10">
        <v>0</v>
      </c>
      <c r="L202" s="10">
        <v>43.67</v>
      </c>
      <c r="M202" s="10">
        <v>1962.01</v>
      </c>
      <c r="N202" s="8">
        <v>13</v>
      </c>
      <c r="O202" s="6">
        <v>2</v>
      </c>
    </row>
    <row r="203" spans="1:15" x14ac:dyDescent="0.25">
      <c r="A203" s="8">
        <v>91351</v>
      </c>
      <c r="B203" s="9" t="s">
        <v>39</v>
      </c>
      <c r="C203" s="9" t="s">
        <v>40</v>
      </c>
      <c r="D203" s="9" t="s">
        <v>45</v>
      </c>
      <c r="E203" s="9" t="s">
        <v>3</v>
      </c>
      <c r="F203" s="9" t="str">
        <f t="shared" si="3"/>
        <v>Not Delivered</v>
      </c>
      <c r="G203" s="9" t="b">
        <v>0</v>
      </c>
      <c r="H203" s="9" t="s">
        <v>4</v>
      </c>
      <c r="I203" s="8">
        <v>3532</v>
      </c>
      <c r="J203" s="10">
        <v>863.95</v>
      </c>
      <c r="K203" s="10">
        <v>88.07</v>
      </c>
      <c r="L203" s="10">
        <v>0</v>
      </c>
      <c r="M203" s="10">
        <v>952.02</v>
      </c>
      <c r="N203" s="8">
        <v>5</v>
      </c>
      <c r="O203" s="6">
        <v>3.1</v>
      </c>
    </row>
    <row r="204" spans="1:15" x14ac:dyDescent="0.25">
      <c r="A204" s="8">
        <v>41029</v>
      </c>
      <c r="B204" s="9" t="s">
        <v>0</v>
      </c>
      <c r="C204" s="9" t="s">
        <v>37</v>
      </c>
      <c r="D204" s="9" t="s">
        <v>19</v>
      </c>
      <c r="E204" s="9" t="s">
        <v>8</v>
      </c>
      <c r="F204" s="9" t="str">
        <f t="shared" si="3"/>
        <v>Not Delivered</v>
      </c>
      <c r="G204" s="9" t="b">
        <v>0</v>
      </c>
      <c r="H204" s="9" t="s">
        <v>28</v>
      </c>
      <c r="I204" s="8">
        <v>3662</v>
      </c>
      <c r="J204" s="10">
        <v>1406.69</v>
      </c>
      <c r="K204" s="10">
        <v>70.31</v>
      </c>
      <c r="L204" s="10">
        <v>0</v>
      </c>
      <c r="M204" s="10">
        <v>1477</v>
      </c>
      <c r="N204" s="8">
        <v>7</v>
      </c>
    </row>
    <row r="205" spans="1:15" x14ac:dyDescent="0.25">
      <c r="A205" s="8">
        <v>33206</v>
      </c>
      <c r="B205" s="9" t="s">
        <v>5</v>
      </c>
      <c r="C205" s="9" t="s">
        <v>56</v>
      </c>
      <c r="D205" s="9" t="s">
        <v>2</v>
      </c>
      <c r="E205" s="9" t="s">
        <v>32</v>
      </c>
      <c r="F205" s="9" t="str">
        <f t="shared" si="3"/>
        <v>Not Delivered</v>
      </c>
      <c r="G205" s="9" t="b">
        <v>0</v>
      </c>
      <c r="H205" s="9" t="s">
        <v>9</v>
      </c>
      <c r="I205" s="8">
        <v>7755</v>
      </c>
      <c r="J205" s="10">
        <v>1472.62</v>
      </c>
      <c r="K205" s="10">
        <v>122</v>
      </c>
      <c r="L205" s="10">
        <v>0</v>
      </c>
      <c r="M205" s="10">
        <v>1594.62</v>
      </c>
      <c r="N205" s="8">
        <v>3</v>
      </c>
      <c r="O205" s="6">
        <v>1.9</v>
      </c>
    </row>
    <row r="206" spans="1:15" x14ac:dyDescent="0.25">
      <c r="A206" s="8">
        <v>13248</v>
      </c>
      <c r="B206" s="9" t="s">
        <v>41</v>
      </c>
      <c r="C206" s="9" t="s">
        <v>61</v>
      </c>
      <c r="D206" s="9" t="s">
        <v>7</v>
      </c>
      <c r="E206" s="9" t="s">
        <v>32</v>
      </c>
      <c r="F206" s="9" t="str">
        <f t="shared" si="3"/>
        <v>Not Delivered</v>
      </c>
      <c r="G206" s="9" t="b">
        <v>0</v>
      </c>
      <c r="H206" s="9" t="s">
        <v>22</v>
      </c>
      <c r="I206" s="8">
        <v>3938</v>
      </c>
      <c r="J206" s="10">
        <v>866.12</v>
      </c>
      <c r="K206" s="10">
        <v>146.65</v>
      </c>
      <c r="L206" s="10">
        <v>0</v>
      </c>
      <c r="M206" s="10">
        <v>1012.77</v>
      </c>
      <c r="N206" s="8">
        <v>8</v>
      </c>
      <c r="O206" s="6">
        <v>4.2</v>
      </c>
    </row>
    <row r="207" spans="1:15" x14ac:dyDescent="0.25">
      <c r="A207" s="8">
        <v>53540</v>
      </c>
      <c r="B207" s="9" t="s">
        <v>41</v>
      </c>
      <c r="C207" s="9" t="s">
        <v>42</v>
      </c>
      <c r="D207" s="9" t="s">
        <v>25</v>
      </c>
      <c r="E207" s="9" t="s">
        <v>3</v>
      </c>
      <c r="F207" s="9" t="str">
        <f t="shared" si="3"/>
        <v>Not Delivered</v>
      </c>
      <c r="G207" s="9" t="b">
        <v>1</v>
      </c>
      <c r="H207" s="9" t="s">
        <v>28</v>
      </c>
      <c r="I207" s="8">
        <v>7745</v>
      </c>
      <c r="J207" s="10">
        <v>704.91</v>
      </c>
      <c r="K207" s="10">
        <v>149.03</v>
      </c>
      <c r="L207" s="10">
        <v>45.98</v>
      </c>
      <c r="M207" s="10">
        <v>899.92</v>
      </c>
      <c r="N207" s="8">
        <v>2</v>
      </c>
      <c r="O207" s="6">
        <v>3.7</v>
      </c>
    </row>
    <row r="208" spans="1:15" x14ac:dyDescent="0.25">
      <c r="A208" s="8">
        <v>97806</v>
      </c>
      <c r="B208" s="9" t="s">
        <v>0</v>
      </c>
      <c r="C208" s="9" t="s">
        <v>53</v>
      </c>
      <c r="D208" s="9" t="s">
        <v>45</v>
      </c>
      <c r="E208" s="9" t="s">
        <v>8</v>
      </c>
      <c r="F208" s="9" t="str">
        <f t="shared" si="3"/>
        <v>Not Delivered</v>
      </c>
      <c r="G208" s="9" t="b">
        <v>1</v>
      </c>
      <c r="H208" s="9" t="s">
        <v>9</v>
      </c>
      <c r="I208" s="8">
        <v>5065</v>
      </c>
      <c r="J208" s="10">
        <v>262.14999999999998</v>
      </c>
      <c r="K208" s="10">
        <v>36.33</v>
      </c>
      <c r="L208" s="10">
        <v>205.98</v>
      </c>
      <c r="M208" s="10">
        <v>504.46</v>
      </c>
      <c r="N208" s="8">
        <v>10</v>
      </c>
      <c r="O208" s="6">
        <v>4.7</v>
      </c>
    </row>
    <row r="209" spans="1:15" x14ac:dyDescent="0.25">
      <c r="A209" s="8">
        <v>44970</v>
      </c>
      <c r="B209" s="9" t="s">
        <v>5</v>
      </c>
      <c r="C209" s="9" t="s">
        <v>6</v>
      </c>
      <c r="D209" s="9" t="s">
        <v>38</v>
      </c>
      <c r="E209" s="9" t="s">
        <v>8</v>
      </c>
      <c r="F209" s="9" t="str">
        <f t="shared" si="3"/>
        <v>Not Delivered</v>
      </c>
      <c r="G209" s="9" t="b">
        <v>0</v>
      </c>
      <c r="H209" s="9" t="s">
        <v>9</v>
      </c>
      <c r="I209" s="8">
        <v>3608</v>
      </c>
      <c r="J209" s="10">
        <v>1424.09</v>
      </c>
      <c r="K209" s="10">
        <v>51.67</v>
      </c>
      <c r="L209" s="10">
        <v>0</v>
      </c>
      <c r="M209" s="10">
        <v>1475.76</v>
      </c>
      <c r="N209" s="8">
        <v>9</v>
      </c>
      <c r="O209" s="6">
        <v>1.1000000000000001</v>
      </c>
    </row>
    <row r="210" spans="1:15" x14ac:dyDescent="0.25">
      <c r="A210" s="8">
        <v>24168</v>
      </c>
      <c r="B210" s="9" t="s">
        <v>23</v>
      </c>
      <c r="C210" s="9" t="s">
        <v>60</v>
      </c>
      <c r="D210" s="9" t="s">
        <v>12</v>
      </c>
      <c r="E210" s="9" t="s">
        <v>13</v>
      </c>
      <c r="F210" s="9" t="str">
        <f t="shared" si="3"/>
        <v>Delivered</v>
      </c>
      <c r="G210" s="9" t="b">
        <v>0</v>
      </c>
      <c r="H210" s="9" t="s">
        <v>9</v>
      </c>
      <c r="I210" s="8">
        <v>7267</v>
      </c>
      <c r="J210" s="10">
        <v>2766.44</v>
      </c>
      <c r="K210" s="10">
        <v>74.099999999999994</v>
      </c>
      <c r="L210" s="10">
        <v>0</v>
      </c>
      <c r="M210" s="10">
        <v>2840.54</v>
      </c>
      <c r="N210" s="8">
        <v>14</v>
      </c>
      <c r="O210" s="6">
        <v>4.2</v>
      </c>
    </row>
    <row r="211" spans="1:15" x14ac:dyDescent="0.25">
      <c r="A211" s="8">
        <v>15075</v>
      </c>
      <c r="B211" s="9" t="s">
        <v>39</v>
      </c>
      <c r="C211" s="9" t="s">
        <v>55</v>
      </c>
      <c r="D211" s="9" t="s">
        <v>27</v>
      </c>
      <c r="E211" s="9" t="s">
        <v>17</v>
      </c>
      <c r="F211" s="9" t="str">
        <f t="shared" si="3"/>
        <v>Not Delivered</v>
      </c>
      <c r="G211" s="9" t="b">
        <v>0</v>
      </c>
      <c r="H211" s="9" t="s">
        <v>4</v>
      </c>
      <c r="I211" s="8">
        <v>8711</v>
      </c>
      <c r="J211" s="10">
        <v>425.36</v>
      </c>
      <c r="K211" s="10">
        <v>77.290000000000006</v>
      </c>
      <c r="L211" s="10">
        <v>0</v>
      </c>
      <c r="M211" s="10">
        <v>502.65</v>
      </c>
      <c r="N211" s="8">
        <v>11</v>
      </c>
      <c r="O211" s="6">
        <v>1.3</v>
      </c>
    </row>
    <row r="212" spans="1:15" x14ac:dyDescent="0.25">
      <c r="A212" s="8">
        <v>39154</v>
      </c>
      <c r="B212" s="9" t="s">
        <v>39</v>
      </c>
      <c r="C212" s="9" t="s">
        <v>58</v>
      </c>
      <c r="D212" s="9" t="s">
        <v>12</v>
      </c>
      <c r="E212" s="9" t="s">
        <v>21</v>
      </c>
      <c r="F212" s="9" t="str">
        <f t="shared" si="3"/>
        <v>Not Delivered</v>
      </c>
      <c r="G212" s="9" t="b">
        <v>1</v>
      </c>
      <c r="H212" s="9" t="s">
        <v>4</v>
      </c>
      <c r="I212" s="8">
        <v>4269</v>
      </c>
      <c r="J212" s="10">
        <v>615.58000000000004</v>
      </c>
      <c r="K212" s="10">
        <v>113.67</v>
      </c>
      <c r="L212" s="10">
        <v>37.5</v>
      </c>
      <c r="M212" s="10">
        <v>766.75</v>
      </c>
      <c r="N212" s="8">
        <v>7</v>
      </c>
      <c r="O212" s="6">
        <v>2.2999999999999998</v>
      </c>
    </row>
    <row r="213" spans="1:15" x14ac:dyDescent="0.25">
      <c r="A213" s="8">
        <v>70332</v>
      </c>
      <c r="B213" s="9" t="s">
        <v>23</v>
      </c>
      <c r="C213" s="9" t="s">
        <v>24</v>
      </c>
      <c r="D213" s="9" t="s">
        <v>50</v>
      </c>
      <c r="E213" s="9" t="s">
        <v>21</v>
      </c>
      <c r="F213" s="9" t="str">
        <f t="shared" si="3"/>
        <v>Not Delivered</v>
      </c>
      <c r="G213" s="9" t="b">
        <v>0</v>
      </c>
      <c r="H213" s="9" t="s">
        <v>18</v>
      </c>
      <c r="I213" s="8">
        <v>6728</v>
      </c>
      <c r="J213" s="10">
        <v>2718.63</v>
      </c>
      <c r="K213" s="10">
        <v>106.68</v>
      </c>
      <c r="L213" s="10">
        <v>0</v>
      </c>
      <c r="M213" s="10">
        <v>2825.31</v>
      </c>
      <c r="N213" s="8">
        <v>1</v>
      </c>
      <c r="O213" s="6">
        <v>3.7</v>
      </c>
    </row>
    <row r="214" spans="1:15" x14ac:dyDescent="0.25">
      <c r="A214" s="8">
        <v>50001</v>
      </c>
      <c r="B214" s="9" t="s">
        <v>0</v>
      </c>
      <c r="C214" s="9" t="s">
        <v>1</v>
      </c>
      <c r="E214" s="9" t="s">
        <v>13</v>
      </c>
      <c r="F214" s="9" t="str">
        <f t="shared" si="3"/>
        <v>Delivered</v>
      </c>
      <c r="G214" s="9" t="b">
        <v>1</v>
      </c>
      <c r="H214" s="9" t="s">
        <v>28</v>
      </c>
      <c r="I214" s="8">
        <v>4728</v>
      </c>
      <c r="J214" s="10">
        <v>445.93</v>
      </c>
      <c r="K214" s="10">
        <v>88.78</v>
      </c>
      <c r="L214" s="10">
        <v>79.349999999999994</v>
      </c>
      <c r="M214" s="10">
        <v>614.05999999999995</v>
      </c>
      <c r="N214" s="8">
        <v>13</v>
      </c>
      <c r="O214" s="6">
        <v>4.3</v>
      </c>
    </row>
    <row r="215" spans="1:15" x14ac:dyDescent="0.25">
      <c r="A215" s="8">
        <v>39219</v>
      </c>
      <c r="B215" s="9" t="s">
        <v>41</v>
      </c>
      <c r="C215" s="9" t="s">
        <v>46</v>
      </c>
      <c r="D215" s="9" t="s">
        <v>38</v>
      </c>
      <c r="E215" s="9" t="s">
        <v>8</v>
      </c>
      <c r="F215" s="9" t="str">
        <f t="shared" si="3"/>
        <v>Not Delivered</v>
      </c>
      <c r="G215" s="9" t="b">
        <v>0</v>
      </c>
      <c r="H215" s="9" t="s">
        <v>4</v>
      </c>
      <c r="I215" s="8">
        <v>1387</v>
      </c>
      <c r="J215" s="10">
        <v>1546.73</v>
      </c>
      <c r="K215" s="10">
        <v>117.7</v>
      </c>
      <c r="L215" s="10">
        <v>0</v>
      </c>
      <c r="M215" s="10">
        <v>1664.43</v>
      </c>
      <c r="N215" s="8">
        <v>7</v>
      </c>
      <c r="O215" s="6">
        <v>1.6</v>
      </c>
    </row>
    <row r="216" spans="1:15" x14ac:dyDescent="0.25">
      <c r="A216" s="8">
        <v>96511</v>
      </c>
      <c r="B216" s="9" t="s">
        <v>41</v>
      </c>
      <c r="C216" s="9" t="s">
        <v>61</v>
      </c>
      <c r="D216" s="9" t="s">
        <v>35</v>
      </c>
      <c r="E216" s="9" t="s">
        <v>17</v>
      </c>
      <c r="F216" s="9" t="str">
        <f t="shared" si="3"/>
        <v>Not Delivered</v>
      </c>
      <c r="G216" s="9" t="b">
        <v>1</v>
      </c>
      <c r="H216" s="9" t="s">
        <v>22</v>
      </c>
      <c r="I216" s="8">
        <v>4164</v>
      </c>
      <c r="J216" s="10">
        <v>418.13</v>
      </c>
      <c r="L216" s="10">
        <v>160.52000000000001</v>
      </c>
      <c r="M216" s="10">
        <v>636.42999999999995</v>
      </c>
      <c r="N216" s="8">
        <v>10</v>
      </c>
      <c r="O216" s="6">
        <v>2.6</v>
      </c>
    </row>
    <row r="217" spans="1:15" x14ac:dyDescent="0.25">
      <c r="A217" s="8">
        <v>62227</v>
      </c>
      <c r="B217" s="9" t="s">
        <v>10</v>
      </c>
      <c r="C217" s="9" t="s">
        <v>20</v>
      </c>
      <c r="D217" s="9" t="s">
        <v>12</v>
      </c>
      <c r="E217" s="9" t="s">
        <v>21</v>
      </c>
      <c r="F217" s="9" t="str">
        <f t="shared" si="3"/>
        <v>Not Delivered</v>
      </c>
      <c r="G217" s="9" t="b">
        <v>0</v>
      </c>
      <c r="H217" s="9" t="s">
        <v>33</v>
      </c>
      <c r="I217" s="8">
        <v>6378</v>
      </c>
      <c r="J217" s="10">
        <v>1032.1500000000001</v>
      </c>
      <c r="K217" s="10">
        <v>144.11000000000001</v>
      </c>
      <c r="L217" s="10">
        <v>0</v>
      </c>
      <c r="M217" s="10">
        <v>1176.26</v>
      </c>
      <c r="N217" s="8">
        <v>3</v>
      </c>
      <c r="O217" s="6">
        <v>3.6</v>
      </c>
    </row>
    <row r="218" spans="1:15" x14ac:dyDescent="0.25">
      <c r="A218" s="8">
        <v>46517</v>
      </c>
      <c r="B218" s="9" t="s">
        <v>23</v>
      </c>
      <c r="C218" s="9" t="s">
        <v>48</v>
      </c>
      <c r="D218" s="9" t="s">
        <v>16</v>
      </c>
      <c r="E218" s="9" t="s">
        <v>13</v>
      </c>
      <c r="F218" s="9" t="str">
        <f t="shared" si="3"/>
        <v>Delivered</v>
      </c>
      <c r="G218" s="9" t="b">
        <v>0</v>
      </c>
      <c r="H218" s="9" t="s">
        <v>33</v>
      </c>
      <c r="I218" s="8">
        <v>2137</v>
      </c>
      <c r="J218" s="10">
        <v>359.49</v>
      </c>
      <c r="K218" s="10">
        <v>45.1</v>
      </c>
      <c r="L218" s="10">
        <v>0</v>
      </c>
      <c r="M218" s="10">
        <v>404.59</v>
      </c>
      <c r="N218" s="8">
        <v>12</v>
      </c>
      <c r="O218" s="6">
        <v>1.6</v>
      </c>
    </row>
    <row r="219" spans="1:15" x14ac:dyDescent="0.25">
      <c r="A219" s="8">
        <v>46585</v>
      </c>
      <c r="B219" s="9" t="s">
        <v>5</v>
      </c>
      <c r="C219" s="9" t="s">
        <v>6</v>
      </c>
      <c r="D219" s="9" t="s">
        <v>7</v>
      </c>
      <c r="E219" s="9" t="s">
        <v>3</v>
      </c>
      <c r="F219" s="9" t="str">
        <f t="shared" si="3"/>
        <v>Not Delivered</v>
      </c>
      <c r="G219" s="9" t="b">
        <v>0</v>
      </c>
      <c r="H219" s="9" t="s">
        <v>9</v>
      </c>
      <c r="I219" s="8">
        <v>6753</v>
      </c>
      <c r="J219" s="10">
        <v>211.95</v>
      </c>
      <c r="K219" s="10">
        <v>48.12</v>
      </c>
      <c r="L219" s="10">
        <v>0</v>
      </c>
      <c r="M219" s="10">
        <v>260.07</v>
      </c>
      <c r="N219" s="8">
        <v>13</v>
      </c>
      <c r="O219" s="6">
        <v>1.5</v>
      </c>
    </row>
    <row r="220" spans="1:15" x14ac:dyDescent="0.25">
      <c r="A220" s="8">
        <v>94080</v>
      </c>
      <c r="B220" s="9" t="s">
        <v>41</v>
      </c>
      <c r="C220" s="9" t="s">
        <v>42</v>
      </c>
      <c r="D220" s="9" t="s">
        <v>12</v>
      </c>
      <c r="E220" s="9" t="s">
        <v>8</v>
      </c>
      <c r="F220" s="9" t="str">
        <f t="shared" si="3"/>
        <v>Not Delivered</v>
      </c>
      <c r="G220" s="9" t="b">
        <v>1</v>
      </c>
      <c r="H220" s="9" t="s">
        <v>18</v>
      </c>
      <c r="I220" s="8">
        <v>9346</v>
      </c>
      <c r="J220" s="10">
        <v>527.24</v>
      </c>
      <c r="K220" s="10">
        <v>0</v>
      </c>
      <c r="L220" s="10">
        <v>186.37</v>
      </c>
      <c r="M220" s="10">
        <v>713.61</v>
      </c>
      <c r="N220" s="8">
        <v>1</v>
      </c>
      <c r="O220" s="6">
        <v>2.6</v>
      </c>
    </row>
    <row r="221" spans="1:15" x14ac:dyDescent="0.25">
      <c r="A221" s="8">
        <v>62386</v>
      </c>
      <c r="B221" s="9" t="s">
        <v>23</v>
      </c>
      <c r="C221" s="9" t="s">
        <v>34</v>
      </c>
      <c r="D221" s="9" t="s">
        <v>7</v>
      </c>
      <c r="E221" s="9" t="s">
        <v>3</v>
      </c>
      <c r="F221" s="9" t="str">
        <f t="shared" si="3"/>
        <v>Not Delivered</v>
      </c>
      <c r="G221" s="9" t="b">
        <v>0</v>
      </c>
      <c r="H221" s="9" t="s">
        <v>33</v>
      </c>
      <c r="I221" s="8">
        <v>9785</v>
      </c>
      <c r="J221" s="10">
        <v>1635.15</v>
      </c>
      <c r="K221" s="10">
        <v>66.95</v>
      </c>
      <c r="L221" s="10">
        <v>0</v>
      </c>
      <c r="M221" s="10">
        <v>1702.1</v>
      </c>
      <c r="N221" s="8">
        <v>5</v>
      </c>
      <c r="O221" s="6">
        <v>1.6</v>
      </c>
    </row>
    <row r="222" spans="1:15" x14ac:dyDescent="0.25">
      <c r="A222" s="8">
        <v>53404</v>
      </c>
      <c r="B222" s="9" t="s">
        <v>39</v>
      </c>
      <c r="C222" s="9" t="s">
        <v>52</v>
      </c>
      <c r="D222" s="9" t="s">
        <v>2</v>
      </c>
      <c r="E222" s="9" t="s">
        <v>32</v>
      </c>
      <c r="F222" s="9" t="str">
        <f t="shared" si="3"/>
        <v>Not Delivered</v>
      </c>
      <c r="G222" s="9" t="b">
        <v>0</v>
      </c>
      <c r="H222" s="9" t="s">
        <v>9</v>
      </c>
      <c r="I222" s="8">
        <v>1452</v>
      </c>
      <c r="J222" s="10">
        <v>767.61</v>
      </c>
      <c r="K222" s="10">
        <v>0</v>
      </c>
      <c r="L222" s="10">
        <v>0</v>
      </c>
      <c r="M222" s="10">
        <v>767.61</v>
      </c>
      <c r="N222" s="8">
        <v>4</v>
      </c>
      <c r="O222" s="6">
        <v>3</v>
      </c>
    </row>
    <row r="223" spans="1:15" x14ac:dyDescent="0.25">
      <c r="A223" s="8">
        <v>25118</v>
      </c>
      <c r="B223" s="9" t="s">
        <v>5</v>
      </c>
      <c r="C223" s="9" t="s">
        <v>36</v>
      </c>
      <c r="D223" s="9" t="s">
        <v>16</v>
      </c>
      <c r="E223" s="9" t="s">
        <v>8</v>
      </c>
      <c r="F223" s="9" t="str">
        <f t="shared" si="3"/>
        <v>Not Delivered</v>
      </c>
      <c r="G223" s="9" t="b">
        <v>0</v>
      </c>
      <c r="H223" s="9" t="s">
        <v>18</v>
      </c>
      <c r="I223" s="8">
        <v>5279</v>
      </c>
      <c r="J223" s="10">
        <v>900.71</v>
      </c>
      <c r="K223" s="10">
        <v>83.22</v>
      </c>
      <c r="L223" s="10">
        <v>0</v>
      </c>
      <c r="M223" s="10">
        <v>983.93</v>
      </c>
      <c r="N223" s="8">
        <v>13</v>
      </c>
      <c r="O223" s="6">
        <v>2.8</v>
      </c>
    </row>
    <row r="224" spans="1:15" x14ac:dyDescent="0.25">
      <c r="A224" s="8">
        <v>33405</v>
      </c>
      <c r="B224" s="9" t="s">
        <v>23</v>
      </c>
      <c r="C224" s="9" t="s">
        <v>49</v>
      </c>
      <c r="D224" s="9" t="s">
        <v>50</v>
      </c>
      <c r="E224" s="9" t="s">
        <v>8</v>
      </c>
      <c r="F224" s="9" t="str">
        <f t="shared" si="3"/>
        <v>Not Delivered</v>
      </c>
      <c r="G224" s="9" t="b">
        <v>0</v>
      </c>
      <c r="H224" s="9" t="s">
        <v>22</v>
      </c>
      <c r="I224" s="8">
        <v>5349</v>
      </c>
      <c r="J224" s="10">
        <v>1063.9000000000001</v>
      </c>
      <c r="K224" s="10">
        <v>70.09</v>
      </c>
      <c r="L224" s="10">
        <v>0</v>
      </c>
      <c r="M224" s="10">
        <v>1133.99</v>
      </c>
      <c r="N224" s="8">
        <v>3</v>
      </c>
      <c r="O224" s="6">
        <v>4.9000000000000004</v>
      </c>
    </row>
    <row r="225" spans="1:15" x14ac:dyDescent="0.25">
      <c r="A225" s="8">
        <v>15014</v>
      </c>
      <c r="B225" s="9" t="s">
        <v>0</v>
      </c>
      <c r="C225" s="9" t="s">
        <v>37</v>
      </c>
      <c r="D225" s="9" t="s">
        <v>2</v>
      </c>
      <c r="E225" s="9" t="s">
        <v>32</v>
      </c>
      <c r="F225" s="9" t="str">
        <f t="shared" si="3"/>
        <v>Not Delivered</v>
      </c>
      <c r="G225" s="9" t="b">
        <v>0</v>
      </c>
      <c r="H225" s="9" t="s">
        <v>18</v>
      </c>
      <c r="I225" s="8">
        <v>2776</v>
      </c>
      <c r="J225" s="10">
        <v>1746.81</v>
      </c>
      <c r="K225" s="10">
        <v>82.59</v>
      </c>
      <c r="L225" s="10">
        <v>0</v>
      </c>
      <c r="M225" s="10">
        <v>1829.4</v>
      </c>
      <c r="N225" s="8">
        <v>14</v>
      </c>
      <c r="O225" s="6">
        <v>2.5</v>
      </c>
    </row>
    <row r="226" spans="1:15" x14ac:dyDescent="0.25">
      <c r="A226" s="8">
        <v>88193</v>
      </c>
      <c r="B226" s="9" t="s">
        <v>41</v>
      </c>
      <c r="C226" s="9" t="s">
        <v>46</v>
      </c>
      <c r="D226" s="9" t="s">
        <v>38</v>
      </c>
      <c r="E226" s="9" t="s">
        <v>17</v>
      </c>
      <c r="F226" s="9" t="str">
        <f t="shared" si="3"/>
        <v>Not Delivered</v>
      </c>
      <c r="G226" s="9" t="b">
        <v>0</v>
      </c>
      <c r="H226" s="9" t="s">
        <v>14</v>
      </c>
      <c r="I226" s="8">
        <v>8119</v>
      </c>
      <c r="J226" s="10">
        <v>1799.77</v>
      </c>
      <c r="K226" s="10">
        <v>145.30000000000001</v>
      </c>
      <c r="L226" s="10">
        <v>0</v>
      </c>
      <c r="M226" s="10">
        <v>1945.07</v>
      </c>
      <c r="N226" s="8">
        <v>12</v>
      </c>
      <c r="O226" s="6">
        <v>4.2</v>
      </c>
    </row>
    <row r="227" spans="1:15" x14ac:dyDescent="0.25">
      <c r="A227" s="8">
        <v>55309</v>
      </c>
      <c r="B227" s="9" t="s">
        <v>39</v>
      </c>
      <c r="C227" s="9" t="s">
        <v>58</v>
      </c>
      <c r="D227" s="9" t="s">
        <v>16</v>
      </c>
      <c r="E227" s="9" t="s">
        <v>17</v>
      </c>
      <c r="F227" s="9" t="str">
        <f t="shared" si="3"/>
        <v>Not Delivered</v>
      </c>
      <c r="G227" s="9" t="b">
        <v>0</v>
      </c>
      <c r="H227" s="9" t="s">
        <v>9</v>
      </c>
      <c r="I227" s="8">
        <v>6139</v>
      </c>
      <c r="J227" s="10">
        <v>277.63</v>
      </c>
      <c r="K227" s="10">
        <v>47.71</v>
      </c>
      <c r="L227" s="10">
        <v>0</v>
      </c>
      <c r="M227" s="10">
        <v>325.33999999999997</v>
      </c>
      <c r="N227" s="8">
        <v>11</v>
      </c>
      <c r="O227" s="6">
        <v>2.7</v>
      </c>
    </row>
    <row r="228" spans="1:15" x14ac:dyDescent="0.25">
      <c r="A228" s="8">
        <v>67199</v>
      </c>
      <c r="B228" s="9" t="s">
        <v>41</v>
      </c>
      <c r="C228" s="9" t="s">
        <v>42</v>
      </c>
      <c r="D228" s="9" t="s">
        <v>35</v>
      </c>
      <c r="E228" s="9" t="s">
        <v>8</v>
      </c>
      <c r="F228" s="9" t="str">
        <f t="shared" si="3"/>
        <v>Not Delivered</v>
      </c>
      <c r="G228" s="9" t="b">
        <v>0</v>
      </c>
      <c r="H228" s="9" t="s">
        <v>14</v>
      </c>
      <c r="I228" s="8">
        <v>9379</v>
      </c>
      <c r="J228" s="10">
        <v>1580.94</v>
      </c>
      <c r="K228" s="10">
        <v>142.35</v>
      </c>
      <c r="L228" s="10">
        <v>0</v>
      </c>
      <c r="M228" s="10">
        <v>1723.29</v>
      </c>
      <c r="N228" s="8">
        <v>9</v>
      </c>
    </row>
    <row r="229" spans="1:15" x14ac:dyDescent="0.25">
      <c r="A229" s="8">
        <v>25157</v>
      </c>
      <c r="B229" s="9" t="s">
        <v>41</v>
      </c>
      <c r="C229" s="9" t="s">
        <v>47</v>
      </c>
      <c r="D229" s="9" t="s">
        <v>27</v>
      </c>
      <c r="E229" s="9" t="s">
        <v>8</v>
      </c>
      <c r="F229" s="9" t="str">
        <f t="shared" si="3"/>
        <v>Not Delivered</v>
      </c>
      <c r="G229" s="9" t="b">
        <v>0</v>
      </c>
      <c r="H229" s="9" t="s">
        <v>22</v>
      </c>
      <c r="I229" s="8">
        <v>7311</v>
      </c>
      <c r="J229" s="10">
        <v>540.61</v>
      </c>
      <c r="K229" s="10">
        <v>0</v>
      </c>
      <c r="L229" s="10">
        <v>0</v>
      </c>
      <c r="M229" s="10">
        <v>540.61</v>
      </c>
      <c r="N229" s="8">
        <v>3</v>
      </c>
      <c r="O229" s="6">
        <v>1.2</v>
      </c>
    </row>
    <row r="230" spans="1:15" x14ac:dyDescent="0.25">
      <c r="A230" s="8">
        <v>85574</v>
      </c>
      <c r="B230" s="9" t="s">
        <v>39</v>
      </c>
      <c r="C230" s="9" t="s">
        <v>52</v>
      </c>
      <c r="D230" s="9" t="s">
        <v>2</v>
      </c>
      <c r="E230" s="9" t="s">
        <v>8</v>
      </c>
      <c r="F230" s="9" t="str">
        <f t="shared" si="3"/>
        <v>Not Delivered</v>
      </c>
      <c r="G230" s="9" t="b">
        <v>0</v>
      </c>
      <c r="H230" s="9" t="s">
        <v>18</v>
      </c>
      <c r="I230" s="8">
        <v>4114</v>
      </c>
      <c r="J230" s="10">
        <v>1451.32</v>
      </c>
      <c r="K230" s="10">
        <v>51.05</v>
      </c>
      <c r="L230" s="10">
        <v>0</v>
      </c>
      <c r="M230" s="10">
        <v>1502.37</v>
      </c>
      <c r="N230" s="8">
        <v>4</v>
      </c>
      <c r="O230" s="6">
        <v>3.1</v>
      </c>
    </row>
    <row r="231" spans="1:15" x14ac:dyDescent="0.25">
      <c r="A231" s="8">
        <v>43386</v>
      </c>
      <c r="B231" s="9" t="s">
        <v>23</v>
      </c>
      <c r="C231" s="9" t="s">
        <v>54</v>
      </c>
      <c r="D231" s="9" t="s">
        <v>16</v>
      </c>
      <c r="E231" s="9" t="s">
        <v>17</v>
      </c>
      <c r="F231" s="9" t="str">
        <f t="shared" si="3"/>
        <v>Not Delivered</v>
      </c>
      <c r="G231" s="9" t="b">
        <v>1</v>
      </c>
      <c r="H231" s="9" t="s">
        <v>4</v>
      </c>
      <c r="I231" s="8">
        <v>1727</v>
      </c>
      <c r="J231" s="10">
        <v>1216.24</v>
      </c>
      <c r="K231" s="10">
        <v>117.96</v>
      </c>
      <c r="L231" s="10">
        <v>199.77</v>
      </c>
      <c r="M231" s="10">
        <v>1533.97</v>
      </c>
      <c r="N231" s="8">
        <v>8</v>
      </c>
    </row>
    <row r="232" spans="1:15" x14ac:dyDescent="0.25">
      <c r="A232" s="8">
        <v>67154</v>
      </c>
      <c r="B232" s="9" t="s">
        <v>0</v>
      </c>
      <c r="C232" s="9" t="s">
        <v>53</v>
      </c>
      <c r="D232" s="9" t="s">
        <v>38</v>
      </c>
      <c r="E232" s="9" t="s">
        <v>3</v>
      </c>
      <c r="F232" s="9" t="str">
        <f t="shared" si="3"/>
        <v>Not Delivered</v>
      </c>
      <c r="G232" s="9" t="b">
        <v>0</v>
      </c>
      <c r="H232" s="9" t="s">
        <v>33</v>
      </c>
      <c r="I232" s="8">
        <v>1027</v>
      </c>
      <c r="J232" s="10">
        <v>724.74</v>
      </c>
      <c r="K232" s="10">
        <v>128.43</v>
      </c>
      <c r="M232" s="10">
        <v>853.17</v>
      </c>
      <c r="N232" s="8">
        <v>6</v>
      </c>
      <c r="O232" s="6">
        <v>2.8</v>
      </c>
    </row>
    <row r="233" spans="1:15" x14ac:dyDescent="0.25">
      <c r="A233" s="8">
        <v>78146</v>
      </c>
      <c r="B233" s="9" t="s">
        <v>5</v>
      </c>
      <c r="C233" s="9" t="s">
        <v>56</v>
      </c>
      <c r="D233" s="9" t="s">
        <v>38</v>
      </c>
      <c r="E233" s="9" t="s">
        <v>32</v>
      </c>
      <c r="F233" s="9" t="str">
        <f t="shared" si="3"/>
        <v>Not Delivered</v>
      </c>
      <c r="G233" s="9" t="b">
        <v>1</v>
      </c>
      <c r="H233" s="9" t="s">
        <v>18</v>
      </c>
      <c r="I233" s="8">
        <v>9821</v>
      </c>
      <c r="J233" s="10">
        <v>302.77</v>
      </c>
      <c r="K233" s="10">
        <v>78.31</v>
      </c>
      <c r="L233" s="10">
        <v>164.8</v>
      </c>
      <c r="M233" s="10">
        <v>545.88</v>
      </c>
      <c r="N233" s="8">
        <v>11</v>
      </c>
      <c r="O233" s="6">
        <v>4.7</v>
      </c>
    </row>
    <row r="234" spans="1:15" x14ac:dyDescent="0.25">
      <c r="A234" s="8">
        <v>97900</v>
      </c>
      <c r="B234" s="9" t="s">
        <v>23</v>
      </c>
      <c r="C234" s="9" t="s">
        <v>34</v>
      </c>
      <c r="D234" s="9" t="s">
        <v>25</v>
      </c>
      <c r="E234" s="9" t="s">
        <v>8</v>
      </c>
      <c r="F234" s="9" t="str">
        <f t="shared" si="3"/>
        <v>Not Delivered</v>
      </c>
      <c r="G234" s="9" t="b">
        <v>1</v>
      </c>
      <c r="H234" s="9" t="s">
        <v>18</v>
      </c>
      <c r="I234" s="8">
        <v>4228</v>
      </c>
      <c r="J234" s="10">
        <v>606.39</v>
      </c>
      <c r="K234" s="10">
        <v>145.85</v>
      </c>
      <c r="L234" s="10">
        <v>244.46</v>
      </c>
      <c r="M234" s="10">
        <v>996.7</v>
      </c>
      <c r="N234" s="8">
        <v>3</v>
      </c>
      <c r="O234" s="6">
        <v>2.7</v>
      </c>
    </row>
    <row r="235" spans="1:15" x14ac:dyDescent="0.25">
      <c r="A235" s="8">
        <v>57739</v>
      </c>
      <c r="B235" s="9" t="s">
        <v>23</v>
      </c>
      <c r="C235" s="9" t="s">
        <v>54</v>
      </c>
      <c r="E235" s="9" t="s">
        <v>32</v>
      </c>
      <c r="F235" s="9" t="str">
        <f t="shared" si="3"/>
        <v>Not Delivered</v>
      </c>
      <c r="G235" s="9" t="b">
        <v>1</v>
      </c>
      <c r="H235" s="9" t="s">
        <v>33</v>
      </c>
      <c r="I235" s="8">
        <v>8066</v>
      </c>
      <c r="J235" s="10">
        <v>1837.78</v>
      </c>
      <c r="K235" s="10">
        <v>120.47</v>
      </c>
      <c r="L235" s="10">
        <v>175.23</v>
      </c>
      <c r="M235" s="10">
        <v>2133.48</v>
      </c>
      <c r="N235" s="8">
        <v>13</v>
      </c>
      <c r="O235" s="6">
        <v>3.3</v>
      </c>
    </row>
    <row r="236" spans="1:15" x14ac:dyDescent="0.25">
      <c r="A236" s="8">
        <v>19171</v>
      </c>
      <c r="B236" s="9" t="s">
        <v>10</v>
      </c>
      <c r="C236" s="9" t="s">
        <v>29</v>
      </c>
      <c r="D236" s="9" t="s">
        <v>16</v>
      </c>
      <c r="E236" s="9" t="s">
        <v>21</v>
      </c>
      <c r="F236" s="9" t="str">
        <f t="shared" si="3"/>
        <v>Not Delivered</v>
      </c>
      <c r="G236" s="9" t="b">
        <v>0</v>
      </c>
      <c r="H236" s="9" t="s">
        <v>9</v>
      </c>
      <c r="I236" s="8">
        <v>6409</v>
      </c>
      <c r="J236" s="10">
        <v>969.35</v>
      </c>
      <c r="K236" s="10">
        <v>0</v>
      </c>
      <c r="L236" s="10">
        <v>0</v>
      </c>
      <c r="M236" s="10">
        <v>969.35</v>
      </c>
      <c r="N236" s="8">
        <v>9</v>
      </c>
      <c r="O236" s="6">
        <v>2.2999999999999998</v>
      </c>
    </row>
    <row r="237" spans="1:15" x14ac:dyDescent="0.25">
      <c r="A237" s="8">
        <v>91678</v>
      </c>
      <c r="B237" s="9" t="s">
        <v>41</v>
      </c>
      <c r="C237" s="9" t="s">
        <v>47</v>
      </c>
      <c r="D237" s="9" t="s">
        <v>35</v>
      </c>
      <c r="E237" s="9" t="s">
        <v>17</v>
      </c>
      <c r="F237" s="9" t="str">
        <f t="shared" si="3"/>
        <v>Not Delivered</v>
      </c>
      <c r="G237" s="9" t="b">
        <v>0</v>
      </c>
      <c r="H237" s="9" t="s">
        <v>28</v>
      </c>
      <c r="I237" s="8">
        <v>6143</v>
      </c>
      <c r="J237" s="10">
        <v>1065.43</v>
      </c>
      <c r="K237" s="10">
        <v>111.74</v>
      </c>
      <c r="L237" s="10">
        <v>0</v>
      </c>
      <c r="M237" s="10">
        <v>1177.17</v>
      </c>
      <c r="N237" s="8">
        <v>10</v>
      </c>
      <c r="O237" s="6">
        <v>3.7</v>
      </c>
    </row>
    <row r="238" spans="1:15" x14ac:dyDescent="0.25">
      <c r="A238" s="8">
        <v>96951</v>
      </c>
      <c r="B238" s="9" t="s">
        <v>10</v>
      </c>
      <c r="C238" s="9" t="s">
        <v>26</v>
      </c>
      <c r="D238" s="9" t="s">
        <v>16</v>
      </c>
      <c r="E238" s="9" t="s">
        <v>32</v>
      </c>
      <c r="F238" s="9" t="str">
        <f t="shared" si="3"/>
        <v>Not Delivered</v>
      </c>
      <c r="G238" s="9" t="b">
        <v>0</v>
      </c>
      <c r="H238" s="9" t="s">
        <v>9</v>
      </c>
      <c r="I238" s="8">
        <v>3041</v>
      </c>
      <c r="J238" s="10">
        <v>447.78</v>
      </c>
      <c r="K238" s="10">
        <v>77.010000000000005</v>
      </c>
      <c r="L238" s="10">
        <v>0</v>
      </c>
      <c r="M238" s="10">
        <v>524.79</v>
      </c>
      <c r="N238" s="8">
        <v>7</v>
      </c>
      <c r="O238" s="6">
        <v>3.3</v>
      </c>
    </row>
    <row r="239" spans="1:15" x14ac:dyDescent="0.25">
      <c r="A239" s="8">
        <v>49363</v>
      </c>
      <c r="B239" s="9" t="s">
        <v>0</v>
      </c>
      <c r="C239" s="9" t="s">
        <v>43</v>
      </c>
      <c r="D239" s="9" t="s">
        <v>25</v>
      </c>
      <c r="E239" s="9" t="s">
        <v>13</v>
      </c>
      <c r="F239" s="9" t="str">
        <f t="shared" si="3"/>
        <v>Delivered</v>
      </c>
      <c r="G239" s="9" t="b">
        <v>1</v>
      </c>
      <c r="H239" s="9" t="s">
        <v>4</v>
      </c>
      <c r="I239" s="8">
        <v>9308</v>
      </c>
      <c r="J239" s="10">
        <v>1294.1600000000001</v>
      </c>
      <c r="K239" s="10">
        <v>149.99</v>
      </c>
      <c r="L239" s="10">
        <v>193.33</v>
      </c>
      <c r="M239" s="10">
        <v>1637.48</v>
      </c>
      <c r="N239" s="8">
        <v>3</v>
      </c>
      <c r="O239" s="6">
        <v>2.8</v>
      </c>
    </row>
    <row r="240" spans="1:15" x14ac:dyDescent="0.25">
      <c r="A240" s="8">
        <v>50538</v>
      </c>
      <c r="B240" s="9" t="s">
        <v>39</v>
      </c>
      <c r="C240" s="9" t="s">
        <v>40</v>
      </c>
      <c r="D240" s="9" t="s">
        <v>45</v>
      </c>
      <c r="E240" s="9" t="s">
        <v>3</v>
      </c>
      <c r="F240" s="9" t="str">
        <f t="shared" si="3"/>
        <v>Not Delivered</v>
      </c>
      <c r="G240" s="9" t="b">
        <v>0</v>
      </c>
      <c r="H240" s="9" t="s">
        <v>28</v>
      </c>
      <c r="I240" s="8">
        <v>7691</v>
      </c>
      <c r="J240" s="10">
        <v>357.08</v>
      </c>
      <c r="K240" s="10">
        <v>53.8</v>
      </c>
      <c r="L240" s="10">
        <v>0</v>
      </c>
      <c r="M240" s="10">
        <v>410.88</v>
      </c>
      <c r="N240" s="8">
        <v>7</v>
      </c>
      <c r="O240" s="6">
        <v>2.7</v>
      </c>
    </row>
    <row r="241" spans="1:15" x14ac:dyDescent="0.25">
      <c r="A241" s="8">
        <v>52753</v>
      </c>
      <c r="B241" s="9" t="s">
        <v>5</v>
      </c>
      <c r="C241" s="9" t="s">
        <v>59</v>
      </c>
      <c r="D241" s="9" t="s">
        <v>7</v>
      </c>
      <c r="E241" s="9" t="s">
        <v>3</v>
      </c>
      <c r="F241" s="9" t="str">
        <f t="shared" si="3"/>
        <v>Not Delivered</v>
      </c>
      <c r="G241" s="9" t="b">
        <v>0</v>
      </c>
      <c r="H241" s="9" t="s">
        <v>18</v>
      </c>
      <c r="I241" s="8">
        <v>7592</v>
      </c>
      <c r="J241" s="10">
        <v>270.98</v>
      </c>
      <c r="K241" s="10">
        <v>82.08</v>
      </c>
      <c r="L241" s="10">
        <v>0</v>
      </c>
      <c r="M241" s="10">
        <v>353.06</v>
      </c>
      <c r="N241" s="8">
        <v>1</v>
      </c>
      <c r="O241" s="6">
        <v>3.2</v>
      </c>
    </row>
    <row r="242" spans="1:15" x14ac:dyDescent="0.25">
      <c r="A242" s="8">
        <v>48752</v>
      </c>
      <c r="B242" s="9" t="s">
        <v>0</v>
      </c>
      <c r="C242" s="9" t="s">
        <v>37</v>
      </c>
      <c r="D242" s="9" t="s">
        <v>25</v>
      </c>
      <c r="E242" s="9" t="s">
        <v>8</v>
      </c>
      <c r="F242" s="9" t="str">
        <f t="shared" si="3"/>
        <v>Not Delivered</v>
      </c>
      <c r="G242" s="9" t="b">
        <v>1</v>
      </c>
      <c r="H242" s="9" t="s">
        <v>9</v>
      </c>
      <c r="I242" s="8">
        <v>3085</v>
      </c>
      <c r="J242" s="10">
        <v>1057.05</v>
      </c>
      <c r="K242" s="10">
        <v>0</v>
      </c>
      <c r="L242" s="10">
        <v>177.51</v>
      </c>
      <c r="M242" s="10">
        <v>1234.56</v>
      </c>
      <c r="N242" s="8">
        <v>14</v>
      </c>
      <c r="O242" s="6">
        <v>3.2</v>
      </c>
    </row>
    <row r="243" spans="1:15" x14ac:dyDescent="0.25">
      <c r="A243" s="8">
        <v>35144</v>
      </c>
      <c r="B243" s="9" t="s">
        <v>41</v>
      </c>
      <c r="C243" s="9" t="s">
        <v>46</v>
      </c>
      <c r="D243" s="9" t="s">
        <v>12</v>
      </c>
      <c r="E243" s="9" t="s">
        <v>3</v>
      </c>
      <c r="F243" s="9" t="str">
        <f t="shared" si="3"/>
        <v>Not Delivered</v>
      </c>
      <c r="G243" s="9" t="b">
        <v>1</v>
      </c>
      <c r="H243" s="9" t="s">
        <v>14</v>
      </c>
      <c r="I243" s="8">
        <v>7888</v>
      </c>
      <c r="J243" s="10">
        <v>2477.5100000000002</v>
      </c>
      <c r="K243" s="10">
        <v>0</v>
      </c>
      <c r="L243" s="10">
        <v>187.48</v>
      </c>
      <c r="M243" s="10">
        <v>2664.99</v>
      </c>
      <c r="N243" s="8">
        <v>1</v>
      </c>
      <c r="O243" s="6">
        <v>2.4</v>
      </c>
    </row>
    <row r="244" spans="1:15" x14ac:dyDescent="0.25">
      <c r="A244" s="8">
        <v>97153</v>
      </c>
      <c r="B244" s="9" t="s">
        <v>5</v>
      </c>
      <c r="C244" s="9" t="s">
        <v>36</v>
      </c>
      <c r="D244" s="9" t="s">
        <v>19</v>
      </c>
      <c r="E244" s="9" t="s">
        <v>17</v>
      </c>
      <c r="F244" s="9" t="str">
        <f t="shared" si="3"/>
        <v>Not Delivered</v>
      </c>
      <c r="G244" s="9" t="b">
        <v>0</v>
      </c>
      <c r="H244" s="9" t="s">
        <v>18</v>
      </c>
      <c r="I244" s="8">
        <v>7211</v>
      </c>
      <c r="J244" s="10">
        <v>682.72</v>
      </c>
      <c r="K244" s="10">
        <v>118.91</v>
      </c>
      <c r="L244" s="10">
        <v>0</v>
      </c>
      <c r="M244" s="10">
        <v>801.63</v>
      </c>
      <c r="N244" s="8">
        <v>3</v>
      </c>
      <c r="O244" s="6">
        <v>4.0999999999999996</v>
      </c>
    </row>
    <row r="245" spans="1:15" x14ac:dyDescent="0.25">
      <c r="A245" s="8">
        <v>98777</v>
      </c>
      <c r="B245" s="9" t="s">
        <v>10</v>
      </c>
      <c r="C245" s="9" t="s">
        <v>15</v>
      </c>
      <c r="D245" s="9" t="s">
        <v>30</v>
      </c>
      <c r="E245" s="9" t="s">
        <v>8</v>
      </c>
      <c r="F245" s="9" t="str">
        <f t="shared" si="3"/>
        <v>Not Delivered</v>
      </c>
      <c r="G245" s="9" t="b">
        <v>0</v>
      </c>
      <c r="H245" s="9" t="s">
        <v>14</v>
      </c>
      <c r="I245" s="8">
        <v>3851</v>
      </c>
      <c r="J245" s="10">
        <v>634.05999999999995</v>
      </c>
      <c r="K245" s="10">
        <v>82.37</v>
      </c>
      <c r="L245" s="10">
        <v>0</v>
      </c>
      <c r="M245" s="10">
        <v>716.43</v>
      </c>
      <c r="N245" s="8">
        <v>5</v>
      </c>
      <c r="O245" s="6">
        <v>4.8</v>
      </c>
    </row>
    <row r="246" spans="1:15" x14ac:dyDescent="0.25">
      <c r="A246" s="8">
        <v>90676</v>
      </c>
      <c r="B246" s="9" t="s">
        <v>5</v>
      </c>
      <c r="C246" s="9" t="s">
        <v>36</v>
      </c>
      <c r="D246" s="9" t="s">
        <v>7</v>
      </c>
      <c r="E246" s="9" t="s">
        <v>32</v>
      </c>
      <c r="F246" s="9" t="str">
        <f t="shared" si="3"/>
        <v>Not Delivered</v>
      </c>
      <c r="G246" s="9" t="b">
        <v>0</v>
      </c>
      <c r="H246" s="9" t="s">
        <v>28</v>
      </c>
      <c r="I246" s="8">
        <v>5930</v>
      </c>
      <c r="J246" s="10">
        <v>2414.38</v>
      </c>
      <c r="K246" s="10">
        <v>141.88</v>
      </c>
      <c r="L246" s="10">
        <v>0</v>
      </c>
      <c r="M246" s="10">
        <v>2556.2600000000002</v>
      </c>
      <c r="N246" s="8">
        <v>14</v>
      </c>
      <c r="O246" s="6">
        <v>3.8</v>
      </c>
    </row>
    <row r="247" spans="1:15" x14ac:dyDescent="0.25">
      <c r="A247" s="8">
        <v>63225</v>
      </c>
      <c r="B247" s="9" t="s">
        <v>0</v>
      </c>
      <c r="C247" s="9" t="s">
        <v>51</v>
      </c>
      <c r="D247" s="9" t="s">
        <v>16</v>
      </c>
      <c r="E247" s="9" t="s">
        <v>3</v>
      </c>
      <c r="F247" s="9" t="str">
        <f t="shared" si="3"/>
        <v>Not Delivered</v>
      </c>
      <c r="G247" s="9" t="b">
        <v>0</v>
      </c>
      <c r="H247" s="9" t="s">
        <v>9</v>
      </c>
      <c r="I247" s="8">
        <v>9977</v>
      </c>
      <c r="J247" s="10">
        <v>1516.99</v>
      </c>
      <c r="K247" s="10">
        <v>117.62</v>
      </c>
      <c r="L247" s="10">
        <v>0</v>
      </c>
      <c r="M247" s="10">
        <v>1634.61</v>
      </c>
      <c r="N247" s="8">
        <v>3</v>
      </c>
      <c r="O247" s="6">
        <v>2.1</v>
      </c>
    </row>
    <row r="248" spans="1:15" x14ac:dyDescent="0.25">
      <c r="A248" s="8">
        <v>10053</v>
      </c>
      <c r="B248" s="9" t="s">
        <v>5</v>
      </c>
      <c r="C248" s="9" t="s">
        <v>31</v>
      </c>
      <c r="D248" s="9" t="s">
        <v>45</v>
      </c>
      <c r="E248" s="9" t="s">
        <v>13</v>
      </c>
      <c r="F248" s="9" t="str">
        <f t="shared" si="3"/>
        <v>Delivered</v>
      </c>
      <c r="G248" s="9" t="b">
        <v>0</v>
      </c>
      <c r="H248" s="9" t="s">
        <v>18</v>
      </c>
      <c r="I248" s="8">
        <v>5978</v>
      </c>
      <c r="J248" s="10">
        <v>2027.58</v>
      </c>
      <c r="K248" s="10">
        <v>90.29</v>
      </c>
      <c r="L248" s="10">
        <v>0</v>
      </c>
      <c r="M248" s="10">
        <v>2117.87</v>
      </c>
      <c r="N248" s="8">
        <v>12</v>
      </c>
      <c r="O248" s="6">
        <v>2.5</v>
      </c>
    </row>
    <row r="249" spans="1:15" x14ac:dyDescent="0.25">
      <c r="A249" s="8">
        <v>47606</v>
      </c>
      <c r="B249" s="9" t="s">
        <v>5</v>
      </c>
      <c r="C249" s="9" t="s">
        <v>31</v>
      </c>
      <c r="E249" s="9" t="s">
        <v>3</v>
      </c>
      <c r="F249" s="9" t="str">
        <f t="shared" si="3"/>
        <v>Not Delivered</v>
      </c>
      <c r="G249" s="9" t="b">
        <v>0</v>
      </c>
      <c r="H249" s="9" t="s">
        <v>28</v>
      </c>
      <c r="I249" s="8">
        <v>4443</v>
      </c>
      <c r="J249" s="10">
        <v>414.23</v>
      </c>
      <c r="K249" s="10">
        <v>97.91</v>
      </c>
      <c r="L249" s="10">
        <v>0</v>
      </c>
      <c r="M249" s="10">
        <v>512.14</v>
      </c>
      <c r="N249" s="8">
        <v>14</v>
      </c>
    </row>
    <row r="250" spans="1:15" x14ac:dyDescent="0.25">
      <c r="A250" s="8">
        <v>66346</v>
      </c>
      <c r="B250" s="9" t="s">
        <v>39</v>
      </c>
      <c r="C250" s="9" t="s">
        <v>40</v>
      </c>
      <c r="D250" s="9" t="s">
        <v>27</v>
      </c>
      <c r="E250" s="9" t="s">
        <v>3</v>
      </c>
      <c r="F250" s="9" t="str">
        <f t="shared" si="3"/>
        <v>Not Delivered</v>
      </c>
      <c r="G250" s="9" t="b">
        <v>1</v>
      </c>
      <c r="H250" s="9" t="s">
        <v>4</v>
      </c>
      <c r="I250" s="8">
        <v>6279</v>
      </c>
      <c r="J250" s="10">
        <v>782.5</v>
      </c>
      <c r="K250" s="10">
        <v>78.36</v>
      </c>
      <c r="L250" s="10">
        <v>268.25</v>
      </c>
      <c r="M250" s="10">
        <v>1129.1099999999999</v>
      </c>
      <c r="N250" s="8">
        <v>11</v>
      </c>
      <c r="O250" s="6">
        <v>1.2</v>
      </c>
    </row>
    <row r="251" spans="1:15" x14ac:dyDescent="0.25">
      <c r="A251" s="8">
        <v>70946</v>
      </c>
      <c r="B251" s="9" t="s">
        <v>5</v>
      </c>
      <c r="C251" s="9" t="s">
        <v>36</v>
      </c>
      <c r="D251" s="9" t="s">
        <v>27</v>
      </c>
      <c r="E251" s="9" t="s">
        <v>13</v>
      </c>
      <c r="F251" s="9" t="str">
        <f t="shared" si="3"/>
        <v>Delivered</v>
      </c>
      <c r="G251" s="9" t="b">
        <v>0</v>
      </c>
      <c r="H251" s="9" t="s">
        <v>28</v>
      </c>
      <c r="I251" s="8">
        <v>8238</v>
      </c>
      <c r="J251" s="10">
        <v>1214.96</v>
      </c>
      <c r="K251" s="10">
        <v>0</v>
      </c>
      <c r="L251" s="10">
        <v>0</v>
      </c>
      <c r="M251" s="10">
        <v>1214.96</v>
      </c>
      <c r="N251" s="8">
        <v>4</v>
      </c>
      <c r="O251" s="6">
        <v>4.5999999999999996</v>
      </c>
    </row>
    <row r="252" spans="1:15" x14ac:dyDescent="0.25">
      <c r="A252" s="8">
        <v>67954</v>
      </c>
      <c r="B252" s="9" t="s">
        <v>10</v>
      </c>
      <c r="C252" s="9" t="s">
        <v>26</v>
      </c>
      <c r="D252" s="9" t="s">
        <v>16</v>
      </c>
      <c r="E252" s="9" t="s">
        <v>8</v>
      </c>
      <c r="F252" s="9" t="str">
        <f t="shared" si="3"/>
        <v>Not Delivered</v>
      </c>
      <c r="G252" s="9" t="b">
        <v>0</v>
      </c>
      <c r="H252" s="9" t="s">
        <v>33</v>
      </c>
      <c r="I252" s="8">
        <v>4501</v>
      </c>
      <c r="J252" s="10">
        <v>1343.72</v>
      </c>
      <c r="K252" s="10">
        <v>0</v>
      </c>
      <c r="L252" s="10">
        <v>0</v>
      </c>
      <c r="M252" s="10">
        <v>1343.72</v>
      </c>
      <c r="N252" s="8">
        <v>11</v>
      </c>
      <c r="O252" s="6">
        <v>1.7</v>
      </c>
    </row>
    <row r="253" spans="1:15" x14ac:dyDescent="0.25">
      <c r="A253" s="8">
        <v>77000</v>
      </c>
      <c r="B253" s="9" t="s">
        <v>0</v>
      </c>
      <c r="C253" s="9" t="s">
        <v>53</v>
      </c>
      <c r="E253" s="9" t="s">
        <v>21</v>
      </c>
      <c r="F253" s="9" t="str">
        <f t="shared" si="3"/>
        <v>Not Delivered</v>
      </c>
      <c r="G253" s="9" t="b">
        <v>1</v>
      </c>
      <c r="H253" s="9" t="s">
        <v>22</v>
      </c>
      <c r="I253" s="8">
        <v>8752</v>
      </c>
      <c r="J253" s="10">
        <v>858.23</v>
      </c>
      <c r="K253" s="10">
        <v>0</v>
      </c>
      <c r="L253" s="10">
        <v>30.34</v>
      </c>
      <c r="M253" s="10">
        <v>888.57</v>
      </c>
      <c r="N253" s="8">
        <v>2</v>
      </c>
    </row>
    <row r="254" spans="1:15" x14ac:dyDescent="0.25">
      <c r="A254" s="8">
        <v>32241</v>
      </c>
      <c r="B254" s="9" t="s">
        <v>39</v>
      </c>
      <c r="C254" s="9" t="s">
        <v>57</v>
      </c>
      <c r="D254" s="9" t="s">
        <v>16</v>
      </c>
      <c r="E254" s="9" t="s">
        <v>17</v>
      </c>
      <c r="F254" s="9" t="str">
        <f t="shared" si="3"/>
        <v>Not Delivered</v>
      </c>
      <c r="G254" s="9" t="b">
        <v>1</v>
      </c>
      <c r="H254" s="9" t="s">
        <v>22</v>
      </c>
      <c r="I254" s="8">
        <v>2389</v>
      </c>
      <c r="J254" s="10">
        <v>91.45</v>
      </c>
      <c r="K254" s="10">
        <v>50.77</v>
      </c>
      <c r="L254" s="10">
        <v>254.1</v>
      </c>
      <c r="M254" s="10">
        <v>396.32</v>
      </c>
      <c r="N254" s="8">
        <v>8</v>
      </c>
    </row>
    <row r="255" spans="1:15" x14ac:dyDescent="0.25">
      <c r="A255" s="8">
        <v>47196</v>
      </c>
      <c r="B255" s="9" t="s">
        <v>5</v>
      </c>
      <c r="C255" s="9" t="s">
        <v>6</v>
      </c>
      <c r="D255" s="9" t="s">
        <v>27</v>
      </c>
      <c r="E255" s="9" t="s">
        <v>32</v>
      </c>
      <c r="F255" s="9" t="str">
        <f t="shared" si="3"/>
        <v>Not Delivered</v>
      </c>
      <c r="G255" s="9" t="b">
        <v>1</v>
      </c>
      <c r="H255" s="9" t="s">
        <v>9</v>
      </c>
      <c r="I255" s="8">
        <v>9445</v>
      </c>
      <c r="J255" s="10">
        <v>920.71</v>
      </c>
      <c r="K255" s="10">
        <v>63.71</v>
      </c>
      <c r="L255" s="10">
        <v>53.42</v>
      </c>
      <c r="M255" s="10">
        <v>1037.8399999999999</v>
      </c>
      <c r="N255" s="8">
        <v>10</v>
      </c>
    </row>
    <row r="256" spans="1:15" x14ac:dyDescent="0.25">
      <c r="A256" s="8">
        <v>97012</v>
      </c>
      <c r="B256" s="9" t="s">
        <v>10</v>
      </c>
      <c r="C256" s="9" t="s">
        <v>29</v>
      </c>
      <c r="E256" s="9" t="s">
        <v>17</v>
      </c>
      <c r="F256" s="9" t="str">
        <f t="shared" si="3"/>
        <v>Not Delivered</v>
      </c>
      <c r="G256" s="9" t="b">
        <v>0</v>
      </c>
      <c r="H256" s="9" t="s">
        <v>28</v>
      </c>
      <c r="I256" s="8">
        <v>6491</v>
      </c>
      <c r="J256" s="10">
        <v>1293.3499999999999</v>
      </c>
      <c r="K256" s="10">
        <v>0</v>
      </c>
      <c r="L256" s="10">
        <v>0</v>
      </c>
      <c r="M256" s="10">
        <v>1293.3499999999999</v>
      </c>
      <c r="N256" s="8">
        <v>10</v>
      </c>
      <c r="O256" s="6">
        <v>4.4000000000000004</v>
      </c>
    </row>
    <row r="257" spans="1:15" x14ac:dyDescent="0.25">
      <c r="A257" s="8">
        <v>22240</v>
      </c>
      <c r="B257" s="9" t="s">
        <v>5</v>
      </c>
      <c r="C257" s="9" t="s">
        <v>59</v>
      </c>
      <c r="D257" s="9" t="s">
        <v>38</v>
      </c>
      <c r="E257" s="9" t="s">
        <v>21</v>
      </c>
      <c r="F257" s="9" t="str">
        <f t="shared" si="3"/>
        <v>Not Delivered</v>
      </c>
      <c r="G257" s="9" t="b">
        <v>1</v>
      </c>
      <c r="H257" s="9" t="s">
        <v>33</v>
      </c>
      <c r="I257" s="8">
        <v>4848</v>
      </c>
      <c r="J257" s="10">
        <v>1879.02</v>
      </c>
      <c r="K257" s="10">
        <v>92.94</v>
      </c>
      <c r="L257" s="10">
        <v>63.85</v>
      </c>
      <c r="M257" s="10">
        <v>2035.81</v>
      </c>
      <c r="N257" s="8">
        <v>2</v>
      </c>
      <c r="O257" s="6">
        <v>3.4</v>
      </c>
    </row>
    <row r="258" spans="1:15" x14ac:dyDescent="0.25">
      <c r="A258" s="8">
        <v>98184</v>
      </c>
      <c r="B258" s="9" t="s">
        <v>0</v>
      </c>
      <c r="C258" s="9" t="s">
        <v>1</v>
      </c>
      <c r="D258" s="9" t="s">
        <v>19</v>
      </c>
      <c r="E258" s="9" t="s">
        <v>3</v>
      </c>
      <c r="F258" s="9" t="str">
        <f t="shared" si="3"/>
        <v>Not Delivered</v>
      </c>
      <c r="G258" s="9" t="b">
        <v>1</v>
      </c>
      <c r="H258" s="9" t="s">
        <v>9</v>
      </c>
      <c r="I258" s="8">
        <v>6085</v>
      </c>
      <c r="J258" s="10">
        <v>1549.02</v>
      </c>
      <c r="K258" s="10">
        <v>80.16</v>
      </c>
      <c r="L258" s="10">
        <v>194.33</v>
      </c>
      <c r="M258" s="10">
        <v>1823.51</v>
      </c>
      <c r="N258" s="8">
        <v>1</v>
      </c>
      <c r="O258" s="6">
        <v>4.2</v>
      </c>
    </row>
    <row r="259" spans="1:15" x14ac:dyDescent="0.25">
      <c r="A259" s="8">
        <v>39444</v>
      </c>
      <c r="B259" s="9" t="s">
        <v>5</v>
      </c>
      <c r="C259" s="9" t="s">
        <v>36</v>
      </c>
      <c r="D259" s="9" t="s">
        <v>16</v>
      </c>
      <c r="E259" s="9" t="s">
        <v>13</v>
      </c>
      <c r="F259" s="9" t="str">
        <f t="shared" ref="F259:F322" si="4">IF(OR(
E259="Failed Delivery",
E259="Cancelled",
E259="Pending",
E259="Rescheduled",
E259="In Transit"
),"Not Delivered","Delivered")</f>
        <v>Delivered</v>
      </c>
      <c r="G259" s="9" t="b">
        <v>1</v>
      </c>
      <c r="H259" s="9" t="s">
        <v>18</v>
      </c>
      <c r="I259" s="8">
        <v>4262</v>
      </c>
      <c r="J259" s="10">
        <v>1349.04</v>
      </c>
      <c r="K259" s="10">
        <v>102.83</v>
      </c>
      <c r="L259" s="10">
        <v>193.39</v>
      </c>
      <c r="M259" s="10">
        <v>1645.26</v>
      </c>
      <c r="N259" s="8">
        <v>3</v>
      </c>
      <c r="O259" s="6">
        <v>4.4000000000000004</v>
      </c>
    </row>
    <row r="260" spans="1:15" x14ac:dyDescent="0.25">
      <c r="A260" s="8">
        <v>29313</v>
      </c>
      <c r="B260" s="9" t="s">
        <v>0</v>
      </c>
      <c r="C260" s="9" t="s">
        <v>53</v>
      </c>
      <c r="D260" s="9" t="s">
        <v>25</v>
      </c>
      <c r="E260" s="9" t="s">
        <v>3</v>
      </c>
      <c r="F260" s="9" t="str">
        <f t="shared" si="4"/>
        <v>Not Delivered</v>
      </c>
      <c r="G260" s="9" t="b">
        <v>1</v>
      </c>
      <c r="H260" s="9" t="s">
        <v>18</v>
      </c>
      <c r="I260" s="8">
        <v>1400</v>
      </c>
      <c r="J260" s="10">
        <v>1408.5</v>
      </c>
      <c r="K260" s="10">
        <v>127.04</v>
      </c>
      <c r="L260" s="10">
        <v>25.34</v>
      </c>
      <c r="M260" s="10">
        <v>1560.88</v>
      </c>
      <c r="N260" s="8">
        <v>4</v>
      </c>
    </row>
    <row r="261" spans="1:15" x14ac:dyDescent="0.25">
      <c r="A261" s="8">
        <v>16057</v>
      </c>
      <c r="B261" s="9" t="s">
        <v>10</v>
      </c>
      <c r="C261" s="9" t="s">
        <v>15</v>
      </c>
      <c r="D261" s="9" t="s">
        <v>7</v>
      </c>
      <c r="E261" s="9" t="s">
        <v>21</v>
      </c>
      <c r="F261" s="9" t="str">
        <f t="shared" si="4"/>
        <v>Not Delivered</v>
      </c>
      <c r="G261" s="9" t="b">
        <v>1</v>
      </c>
      <c r="H261" s="9" t="s">
        <v>33</v>
      </c>
      <c r="I261" s="8">
        <v>5011</v>
      </c>
      <c r="J261" s="10">
        <v>1557.51</v>
      </c>
      <c r="K261" s="10">
        <v>90.23</v>
      </c>
      <c r="L261" s="10">
        <v>108.36</v>
      </c>
      <c r="M261" s="10">
        <v>1756.1</v>
      </c>
      <c r="N261" s="8">
        <v>2</v>
      </c>
      <c r="O261" s="6">
        <v>1.8</v>
      </c>
    </row>
    <row r="262" spans="1:15" x14ac:dyDescent="0.25">
      <c r="A262" s="8">
        <v>72277</v>
      </c>
      <c r="B262" s="9" t="s">
        <v>39</v>
      </c>
      <c r="C262" s="9" t="s">
        <v>55</v>
      </c>
      <c r="D262" s="9" t="s">
        <v>19</v>
      </c>
      <c r="E262" s="9" t="s">
        <v>17</v>
      </c>
      <c r="F262" s="9" t="str">
        <f t="shared" si="4"/>
        <v>Not Delivered</v>
      </c>
      <c r="G262" s="9" t="b">
        <v>1</v>
      </c>
      <c r="H262" s="9" t="s">
        <v>9</v>
      </c>
      <c r="I262" s="8">
        <v>2193</v>
      </c>
      <c r="J262" s="10">
        <v>980.7</v>
      </c>
      <c r="K262" s="10">
        <v>118.11</v>
      </c>
      <c r="L262" s="10">
        <v>169.87</v>
      </c>
      <c r="M262" s="10">
        <v>1268.68</v>
      </c>
      <c r="N262" s="8">
        <v>12</v>
      </c>
      <c r="O262" s="6">
        <v>2</v>
      </c>
    </row>
    <row r="263" spans="1:15" x14ac:dyDescent="0.25">
      <c r="A263" s="8">
        <v>69692</v>
      </c>
      <c r="B263" s="9" t="s">
        <v>5</v>
      </c>
      <c r="C263" s="9" t="s">
        <v>44</v>
      </c>
      <c r="D263" s="9" t="s">
        <v>35</v>
      </c>
      <c r="E263" s="9" t="s">
        <v>21</v>
      </c>
      <c r="F263" s="9" t="str">
        <f t="shared" si="4"/>
        <v>Not Delivered</v>
      </c>
      <c r="G263" s="9" t="b">
        <v>1</v>
      </c>
      <c r="H263" s="9" t="s">
        <v>18</v>
      </c>
      <c r="I263" s="8">
        <v>7790</v>
      </c>
      <c r="J263" s="10">
        <v>1608.28</v>
      </c>
      <c r="K263" s="10">
        <v>0</v>
      </c>
      <c r="L263" s="10">
        <v>25.32</v>
      </c>
      <c r="M263" s="10">
        <v>1633.6</v>
      </c>
      <c r="N263" s="8">
        <v>3</v>
      </c>
      <c r="O263" s="6">
        <v>1.7</v>
      </c>
    </row>
    <row r="264" spans="1:15" x14ac:dyDescent="0.25">
      <c r="A264" s="8">
        <v>92544</v>
      </c>
      <c r="B264" s="9" t="s">
        <v>0</v>
      </c>
      <c r="C264" s="9" t="s">
        <v>51</v>
      </c>
      <c r="D264" s="9" t="s">
        <v>25</v>
      </c>
      <c r="E264" s="9" t="s">
        <v>13</v>
      </c>
      <c r="F264" s="9" t="str">
        <f t="shared" si="4"/>
        <v>Delivered</v>
      </c>
      <c r="G264" s="9" t="b">
        <v>0</v>
      </c>
      <c r="H264" s="9" t="s">
        <v>14</v>
      </c>
      <c r="I264" s="8">
        <v>4185</v>
      </c>
      <c r="J264" s="10">
        <v>425.49</v>
      </c>
      <c r="K264" s="10">
        <v>34.520000000000003</v>
      </c>
      <c r="L264" s="10">
        <v>0</v>
      </c>
      <c r="M264" s="10">
        <v>460.01</v>
      </c>
      <c r="N264" s="8">
        <v>12</v>
      </c>
      <c r="O264" s="6">
        <v>4.0999999999999996</v>
      </c>
    </row>
    <row r="265" spans="1:15" x14ac:dyDescent="0.25">
      <c r="A265" s="8">
        <v>60328</v>
      </c>
      <c r="B265" s="9" t="s">
        <v>39</v>
      </c>
      <c r="C265" s="9" t="s">
        <v>52</v>
      </c>
      <c r="D265" s="9" t="s">
        <v>2</v>
      </c>
      <c r="E265" s="9" t="s">
        <v>32</v>
      </c>
      <c r="F265" s="9" t="str">
        <f t="shared" si="4"/>
        <v>Not Delivered</v>
      </c>
      <c r="G265" s="9" t="b">
        <v>1</v>
      </c>
      <c r="H265" s="9" t="s">
        <v>33</v>
      </c>
      <c r="I265" s="8">
        <v>9099</v>
      </c>
      <c r="J265" s="10">
        <v>823.87</v>
      </c>
      <c r="K265" s="10">
        <v>0</v>
      </c>
      <c r="L265" s="10">
        <v>218.28</v>
      </c>
      <c r="M265" s="10">
        <v>1042.1500000000001</v>
      </c>
      <c r="N265" s="8">
        <v>6</v>
      </c>
    </row>
    <row r="266" spans="1:15" x14ac:dyDescent="0.25">
      <c r="A266" s="8">
        <v>62383</v>
      </c>
      <c r="B266" s="9" t="s">
        <v>23</v>
      </c>
      <c r="C266" s="9" t="s">
        <v>49</v>
      </c>
      <c r="D266" s="9" t="s">
        <v>25</v>
      </c>
      <c r="E266" s="9" t="s">
        <v>32</v>
      </c>
      <c r="F266" s="9" t="str">
        <f t="shared" si="4"/>
        <v>Not Delivered</v>
      </c>
      <c r="G266" s="9" t="b">
        <v>1</v>
      </c>
      <c r="H266" s="9" t="s">
        <v>4</v>
      </c>
      <c r="I266" s="8">
        <v>4997</v>
      </c>
      <c r="J266" s="10">
        <v>2353.9899999999998</v>
      </c>
      <c r="K266" s="10">
        <v>117.41</v>
      </c>
      <c r="L266" s="10">
        <v>87.04</v>
      </c>
      <c r="M266" s="10">
        <v>2558.44</v>
      </c>
      <c r="N266" s="8">
        <v>1</v>
      </c>
    </row>
    <row r="267" spans="1:15" x14ac:dyDescent="0.25">
      <c r="A267" s="8">
        <v>29342</v>
      </c>
      <c r="B267" s="9" t="s">
        <v>39</v>
      </c>
      <c r="C267" s="9" t="s">
        <v>52</v>
      </c>
      <c r="D267" s="9" t="s">
        <v>50</v>
      </c>
      <c r="E267" s="9" t="s">
        <v>17</v>
      </c>
      <c r="F267" s="9" t="str">
        <f t="shared" si="4"/>
        <v>Not Delivered</v>
      </c>
      <c r="G267" s="9" t="b">
        <v>1</v>
      </c>
      <c r="H267" s="9" t="s">
        <v>18</v>
      </c>
      <c r="I267" s="8">
        <v>1090</v>
      </c>
      <c r="J267" s="10">
        <v>623.83000000000004</v>
      </c>
      <c r="K267" s="10">
        <v>0</v>
      </c>
      <c r="L267" s="10">
        <v>183.68</v>
      </c>
      <c r="M267" s="10">
        <v>807.51</v>
      </c>
      <c r="N267" s="8">
        <v>4</v>
      </c>
      <c r="O267" s="6">
        <v>3.9</v>
      </c>
    </row>
    <row r="268" spans="1:15" x14ac:dyDescent="0.25">
      <c r="A268" s="8">
        <v>23970</v>
      </c>
      <c r="B268" s="9" t="s">
        <v>10</v>
      </c>
      <c r="C268" s="9" t="s">
        <v>26</v>
      </c>
      <c r="D268" s="9" t="s">
        <v>50</v>
      </c>
      <c r="E268" s="9" t="s">
        <v>13</v>
      </c>
      <c r="F268" s="9" t="str">
        <f t="shared" si="4"/>
        <v>Delivered</v>
      </c>
      <c r="G268" s="9" t="b">
        <v>1</v>
      </c>
      <c r="H268" s="9" t="s">
        <v>4</v>
      </c>
      <c r="I268" s="8">
        <v>7965</v>
      </c>
      <c r="J268" s="10">
        <v>1053.8800000000001</v>
      </c>
      <c r="K268" s="10">
        <v>67.930000000000007</v>
      </c>
      <c r="L268" s="10">
        <v>160.34</v>
      </c>
      <c r="M268" s="10">
        <v>1282.1500000000001</v>
      </c>
      <c r="N268" s="8">
        <v>8</v>
      </c>
      <c r="O268" s="6">
        <v>4.0999999999999996</v>
      </c>
    </row>
    <row r="269" spans="1:15" x14ac:dyDescent="0.25">
      <c r="A269" s="8">
        <v>38683</v>
      </c>
      <c r="B269" s="9" t="s">
        <v>41</v>
      </c>
      <c r="C269" s="9" t="s">
        <v>42</v>
      </c>
      <c r="D269" s="9" t="s">
        <v>2</v>
      </c>
      <c r="E269" s="9" t="s">
        <v>3</v>
      </c>
      <c r="F269" s="9" t="str">
        <f t="shared" si="4"/>
        <v>Not Delivered</v>
      </c>
      <c r="G269" s="9" t="b">
        <v>0</v>
      </c>
      <c r="H269" s="9" t="s">
        <v>14</v>
      </c>
      <c r="I269" s="8">
        <v>3881</v>
      </c>
      <c r="J269" s="10">
        <v>317.52999999999997</v>
      </c>
      <c r="K269" s="10">
        <v>40.049999999999997</v>
      </c>
      <c r="L269" s="10">
        <v>0</v>
      </c>
      <c r="M269" s="10">
        <v>357.58</v>
      </c>
      <c r="N269" s="8">
        <v>12</v>
      </c>
      <c r="O269" s="6">
        <v>2.9</v>
      </c>
    </row>
    <row r="270" spans="1:15" x14ac:dyDescent="0.25">
      <c r="A270" s="8">
        <v>77889</v>
      </c>
      <c r="B270" s="9" t="s">
        <v>23</v>
      </c>
      <c r="C270" s="9" t="s">
        <v>48</v>
      </c>
      <c r="D270" s="9" t="s">
        <v>25</v>
      </c>
      <c r="E270" s="9" t="s">
        <v>13</v>
      </c>
      <c r="F270" s="9" t="str">
        <f t="shared" si="4"/>
        <v>Delivered</v>
      </c>
      <c r="G270" s="9" t="b">
        <v>1</v>
      </c>
      <c r="H270" s="9" t="s">
        <v>4</v>
      </c>
      <c r="I270" s="8">
        <v>8611</v>
      </c>
      <c r="J270" s="10">
        <v>2716.26</v>
      </c>
      <c r="K270" s="10">
        <v>74.510000000000005</v>
      </c>
      <c r="L270" s="10">
        <v>153.59</v>
      </c>
      <c r="M270" s="10">
        <v>2944.36</v>
      </c>
      <c r="N270" s="8">
        <v>9</v>
      </c>
      <c r="O270" s="6">
        <v>4.4000000000000004</v>
      </c>
    </row>
    <row r="271" spans="1:15" x14ac:dyDescent="0.25">
      <c r="A271" s="8">
        <v>16582</v>
      </c>
      <c r="B271" s="9" t="s">
        <v>0</v>
      </c>
      <c r="C271" s="9" t="s">
        <v>37</v>
      </c>
      <c r="D271" s="9" t="s">
        <v>50</v>
      </c>
      <c r="E271" s="9" t="s">
        <v>17</v>
      </c>
      <c r="F271" s="9" t="str">
        <f t="shared" si="4"/>
        <v>Not Delivered</v>
      </c>
      <c r="G271" s="9" t="b">
        <v>1</v>
      </c>
      <c r="H271" s="9" t="s">
        <v>4</v>
      </c>
      <c r="I271" s="8">
        <v>5082</v>
      </c>
      <c r="J271" s="10">
        <v>1550.86</v>
      </c>
      <c r="K271" s="10">
        <v>60.39</v>
      </c>
      <c r="L271" s="10">
        <v>223.8</v>
      </c>
      <c r="M271" s="10">
        <v>1835.05</v>
      </c>
      <c r="N271" s="8">
        <v>1</v>
      </c>
      <c r="O271" s="6">
        <v>1.6</v>
      </c>
    </row>
    <row r="272" spans="1:15" x14ac:dyDescent="0.25">
      <c r="A272" s="8">
        <v>25906</v>
      </c>
      <c r="B272" s="9" t="s">
        <v>23</v>
      </c>
      <c r="C272" s="9" t="s">
        <v>34</v>
      </c>
      <c r="E272" s="9" t="s">
        <v>17</v>
      </c>
      <c r="F272" s="9" t="str">
        <f t="shared" si="4"/>
        <v>Not Delivered</v>
      </c>
      <c r="G272" s="9" t="b">
        <v>1</v>
      </c>
      <c r="H272" s="9" t="s">
        <v>9</v>
      </c>
      <c r="I272" s="8">
        <v>8478</v>
      </c>
      <c r="J272" s="10">
        <v>1327.21</v>
      </c>
      <c r="K272" s="10">
        <v>95.85</v>
      </c>
      <c r="L272" s="10">
        <v>37.64</v>
      </c>
      <c r="M272" s="10">
        <v>1460.7</v>
      </c>
      <c r="N272" s="8">
        <v>11</v>
      </c>
      <c r="O272" s="6">
        <v>1.3</v>
      </c>
    </row>
    <row r="273" spans="1:15" x14ac:dyDescent="0.25">
      <c r="A273" s="8">
        <v>27477</v>
      </c>
      <c r="B273" s="9" t="s">
        <v>0</v>
      </c>
      <c r="C273" s="9" t="s">
        <v>53</v>
      </c>
      <c r="D273" s="9" t="s">
        <v>35</v>
      </c>
      <c r="E273" s="9" t="s">
        <v>13</v>
      </c>
      <c r="F273" s="9" t="str">
        <f t="shared" si="4"/>
        <v>Delivered</v>
      </c>
      <c r="G273" s="9" t="b">
        <v>0</v>
      </c>
      <c r="H273" s="9" t="s">
        <v>9</v>
      </c>
      <c r="I273" s="8">
        <v>8612</v>
      </c>
      <c r="J273" s="10">
        <v>540.66999999999996</v>
      </c>
      <c r="K273" s="10">
        <v>0</v>
      </c>
      <c r="L273" s="10">
        <v>0</v>
      </c>
      <c r="M273" s="10">
        <v>540.66999999999996</v>
      </c>
      <c r="N273" s="8">
        <v>13</v>
      </c>
      <c r="O273" s="6">
        <v>4.3</v>
      </c>
    </row>
    <row r="274" spans="1:15" x14ac:dyDescent="0.25">
      <c r="A274" s="8">
        <v>97500</v>
      </c>
      <c r="B274" s="9" t="s">
        <v>10</v>
      </c>
      <c r="C274" s="9" t="s">
        <v>29</v>
      </c>
      <c r="D274" s="9" t="s">
        <v>30</v>
      </c>
      <c r="E274" s="9" t="s">
        <v>13</v>
      </c>
      <c r="F274" s="9" t="str">
        <f t="shared" si="4"/>
        <v>Delivered</v>
      </c>
      <c r="G274" s="9" t="b">
        <v>1</v>
      </c>
      <c r="H274" s="9" t="s">
        <v>14</v>
      </c>
      <c r="I274" s="8">
        <v>9702</v>
      </c>
      <c r="J274" s="10">
        <v>241.91</v>
      </c>
      <c r="K274" s="10">
        <v>40.200000000000003</v>
      </c>
      <c r="L274" s="10">
        <v>55.28</v>
      </c>
      <c r="M274" s="10">
        <v>337.39</v>
      </c>
      <c r="N274" s="8">
        <v>8</v>
      </c>
      <c r="O274" s="6">
        <v>2.6</v>
      </c>
    </row>
    <row r="275" spans="1:15" x14ac:dyDescent="0.25">
      <c r="A275" s="8">
        <v>83259</v>
      </c>
      <c r="B275" s="9" t="s">
        <v>23</v>
      </c>
      <c r="C275" s="9" t="s">
        <v>54</v>
      </c>
      <c r="D275" s="9" t="s">
        <v>2</v>
      </c>
      <c r="E275" s="9" t="s">
        <v>17</v>
      </c>
      <c r="F275" s="9" t="str">
        <f t="shared" si="4"/>
        <v>Not Delivered</v>
      </c>
      <c r="G275" s="9" t="b">
        <v>1</v>
      </c>
      <c r="H275" s="9" t="s">
        <v>28</v>
      </c>
      <c r="I275" s="8">
        <v>6198</v>
      </c>
      <c r="J275" s="10">
        <v>1028.68</v>
      </c>
      <c r="K275" s="10">
        <v>0</v>
      </c>
      <c r="L275" s="10">
        <v>28.94</v>
      </c>
      <c r="M275" s="10">
        <v>1057.6199999999999</v>
      </c>
      <c r="N275" s="8">
        <v>11</v>
      </c>
      <c r="O275" s="6">
        <v>3.8</v>
      </c>
    </row>
    <row r="276" spans="1:15" x14ac:dyDescent="0.25">
      <c r="A276" s="8">
        <v>68008</v>
      </c>
      <c r="B276" s="9" t="s">
        <v>10</v>
      </c>
      <c r="C276" s="9" t="s">
        <v>29</v>
      </c>
      <c r="D276" s="9" t="s">
        <v>50</v>
      </c>
      <c r="E276" s="9" t="s">
        <v>32</v>
      </c>
      <c r="F276" s="9" t="str">
        <f t="shared" si="4"/>
        <v>Not Delivered</v>
      </c>
      <c r="G276" s="9" t="b">
        <v>0</v>
      </c>
      <c r="H276" s="9" t="s">
        <v>4</v>
      </c>
      <c r="I276" s="8">
        <v>9270</v>
      </c>
      <c r="J276" s="10">
        <v>273.3</v>
      </c>
      <c r="K276" s="10">
        <v>43.62</v>
      </c>
      <c r="L276" s="10">
        <v>0</v>
      </c>
      <c r="M276" s="10">
        <v>316.92</v>
      </c>
      <c r="N276" s="8">
        <v>7</v>
      </c>
      <c r="O276" s="6">
        <v>3.7</v>
      </c>
    </row>
    <row r="277" spans="1:15" x14ac:dyDescent="0.25">
      <c r="A277" s="8">
        <v>65933</v>
      </c>
      <c r="B277" s="9" t="s">
        <v>39</v>
      </c>
      <c r="C277" s="9" t="s">
        <v>58</v>
      </c>
      <c r="E277" s="9" t="s">
        <v>32</v>
      </c>
      <c r="F277" s="9" t="str">
        <f t="shared" si="4"/>
        <v>Not Delivered</v>
      </c>
      <c r="G277" s="9" t="b">
        <v>1</v>
      </c>
      <c r="H277" s="9" t="s">
        <v>14</v>
      </c>
      <c r="I277" s="8">
        <v>9976</v>
      </c>
      <c r="J277" s="10">
        <v>869.45</v>
      </c>
      <c r="K277" s="10">
        <v>59.47</v>
      </c>
      <c r="L277" s="10">
        <v>56.07</v>
      </c>
      <c r="M277" s="10">
        <v>984.99</v>
      </c>
      <c r="N277" s="8">
        <v>1</v>
      </c>
      <c r="O277" s="6">
        <v>4.9000000000000004</v>
      </c>
    </row>
    <row r="278" spans="1:15" x14ac:dyDescent="0.25">
      <c r="A278" s="8">
        <v>68446</v>
      </c>
      <c r="B278" s="9" t="s">
        <v>39</v>
      </c>
      <c r="C278" s="9" t="s">
        <v>52</v>
      </c>
      <c r="D278" s="9" t="s">
        <v>12</v>
      </c>
      <c r="E278" s="9" t="s">
        <v>32</v>
      </c>
      <c r="F278" s="9" t="str">
        <f t="shared" si="4"/>
        <v>Not Delivered</v>
      </c>
      <c r="G278" s="9" t="b">
        <v>0</v>
      </c>
      <c r="H278" s="9" t="s">
        <v>22</v>
      </c>
      <c r="I278" s="8">
        <v>3607</v>
      </c>
      <c r="J278" s="10">
        <v>1054.53</v>
      </c>
      <c r="K278" s="10">
        <v>58.4</v>
      </c>
      <c r="L278" s="10">
        <v>0</v>
      </c>
      <c r="M278" s="10">
        <v>1112.93</v>
      </c>
      <c r="N278" s="8">
        <v>14</v>
      </c>
    </row>
    <row r="279" spans="1:15" x14ac:dyDescent="0.25">
      <c r="A279" s="8">
        <v>72216</v>
      </c>
      <c r="B279" s="9" t="s">
        <v>39</v>
      </c>
      <c r="C279" s="9" t="s">
        <v>40</v>
      </c>
      <c r="D279" s="9" t="s">
        <v>45</v>
      </c>
      <c r="E279" s="9" t="s">
        <v>17</v>
      </c>
      <c r="F279" s="9" t="str">
        <f t="shared" si="4"/>
        <v>Not Delivered</v>
      </c>
      <c r="G279" s="9" t="b">
        <v>0</v>
      </c>
      <c r="H279" s="9" t="s">
        <v>28</v>
      </c>
      <c r="I279" s="8">
        <v>8373</v>
      </c>
      <c r="J279" s="10">
        <v>210.61</v>
      </c>
      <c r="K279" s="10">
        <v>88.55</v>
      </c>
      <c r="L279" s="10">
        <v>0</v>
      </c>
      <c r="M279" s="10">
        <v>299.16000000000003</v>
      </c>
      <c r="N279" s="8">
        <v>2</v>
      </c>
    </row>
    <row r="280" spans="1:15" x14ac:dyDescent="0.25">
      <c r="A280" s="8">
        <v>43972</v>
      </c>
      <c r="B280" s="9" t="s">
        <v>41</v>
      </c>
      <c r="C280" s="9" t="s">
        <v>42</v>
      </c>
      <c r="D280" s="9" t="s">
        <v>50</v>
      </c>
      <c r="E280" s="9" t="s">
        <v>13</v>
      </c>
      <c r="F280" s="9" t="str">
        <f t="shared" si="4"/>
        <v>Delivered</v>
      </c>
      <c r="G280" s="9" t="b">
        <v>0</v>
      </c>
      <c r="H280" s="9" t="s">
        <v>9</v>
      </c>
      <c r="I280" s="8">
        <v>5050</v>
      </c>
      <c r="J280" s="10">
        <v>2107.71</v>
      </c>
      <c r="K280" s="10">
        <v>52.95</v>
      </c>
      <c r="L280" s="10">
        <v>0</v>
      </c>
      <c r="M280" s="10">
        <v>2160.66</v>
      </c>
      <c r="N280" s="8">
        <v>3</v>
      </c>
      <c r="O280" s="6">
        <v>4.5999999999999996</v>
      </c>
    </row>
    <row r="281" spans="1:15" x14ac:dyDescent="0.25">
      <c r="A281" s="8">
        <v>93579</v>
      </c>
      <c r="B281" s="9" t="s">
        <v>23</v>
      </c>
      <c r="C281" s="9" t="s">
        <v>60</v>
      </c>
      <c r="D281" s="9" t="s">
        <v>12</v>
      </c>
      <c r="E281" s="9" t="s">
        <v>13</v>
      </c>
      <c r="F281" s="9" t="str">
        <f t="shared" si="4"/>
        <v>Delivered</v>
      </c>
      <c r="G281" s="9" t="b">
        <v>0</v>
      </c>
      <c r="H281" s="9" t="s">
        <v>9</v>
      </c>
      <c r="I281" s="8">
        <v>5543</v>
      </c>
      <c r="J281" s="10">
        <v>1900.2</v>
      </c>
      <c r="K281" s="10">
        <v>114.73</v>
      </c>
      <c r="L281" s="10">
        <v>0</v>
      </c>
      <c r="M281" s="10">
        <v>2014.93</v>
      </c>
      <c r="N281" s="8">
        <v>7</v>
      </c>
      <c r="O281" s="6">
        <v>2.9</v>
      </c>
    </row>
    <row r="282" spans="1:15" x14ac:dyDescent="0.25">
      <c r="A282" s="8">
        <v>78327</v>
      </c>
      <c r="B282" s="9" t="s">
        <v>23</v>
      </c>
      <c r="C282" s="9" t="s">
        <v>54</v>
      </c>
      <c r="D282" s="9" t="s">
        <v>35</v>
      </c>
      <c r="E282" s="9" t="s">
        <v>21</v>
      </c>
      <c r="F282" s="9" t="str">
        <f t="shared" si="4"/>
        <v>Not Delivered</v>
      </c>
      <c r="G282" s="9" t="b">
        <v>1</v>
      </c>
      <c r="H282" s="9" t="s">
        <v>18</v>
      </c>
      <c r="I282" s="8">
        <v>8939</v>
      </c>
      <c r="J282" s="10">
        <v>718.45</v>
      </c>
      <c r="K282" s="10">
        <v>102.58</v>
      </c>
      <c r="L282" s="10">
        <v>267.29000000000002</v>
      </c>
      <c r="M282" s="10">
        <v>1088.32</v>
      </c>
      <c r="N282" s="8">
        <v>6</v>
      </c>
      <c r="O282" s="6">
        <v>4.0999999999999996</v>
      </c>
    </row>
    <row r="283" spans="1:15" x14ac:dyDescent="0.25">
      <c r="A283" s="8">
        <v>92149</v>
      </c>
      <c r="B283" s="9" t="s">
        <v>10</v>
      </c>
      <c r="C283" s="9" t="s">
        <v>20</v>
      </c>
      <c r="D283" s="9" t="s">
        <v>45</v>
      </c>
      <c r="E283" s="9" t="s">
        <v>21</v>
      </c>
      <c r="F283" s="9" t="str">
        <f t="shared" si="4"/>
        <v>Not Delivered</v>
      </c>
      <c r="G283" s="9" t="b">
        <v>1</v>
      </c>
      <c r="H283" s="9" t="s">
        <v>33</v>
      </c>
      <c r="I283" s="8">
        <v>4919</v>
      </c>
      <c r="J283" s="10">
        <v>613.83000000000004</v>
      </c>
      <c r="K283" s="10">
        <v>0</v>
      </c>
      <c r="L283" s="10">
        <v>47.39</v>
      </c>
      <c r="M283" s="10">
        <v>661.22</v>
      </c>
      <c r="N283" s="8">
        <v>13</v>
      </c>
      <c r="O283" s="6">
        <v>4.2</v>
      </c>
    </row>
    <row r="284" spans="1:15" x14ac:dyDescent="0.25">
      <c r="A284" s="8">
        <v>45992</v>
      </c>
      <c r="B284" s="9" t="s">
        <v>41</v>
      </c>
      <c r="C284" s="9" t="s">
        <v>46</v>
      </c>
      <c r="D284" s="9" t="s">
        <v>19</v>
      </c>
      <c r="E284" s="9" t="s">
        <v>21</v>
      </c>
      <c r="F284" s="9" t="str">
        <f t="shared" si="4"/>
        <v>Not Delivered</v>
      </c>
      <c r="G284" s="9" t="b">
        <v>1</v>
      </c>
      <c r="H284" s="9" t="s">
        <v>14</v>
      </c>
      <c r="I284" s="8">
        <v>8206</v>
      </c>
      <c r="J284" s="10">
        <v>2442.7600000000002</v>
      </c>
      <c r="K284" s="10">
        <v>0</v>
      </c>
      <c r="L284" s="10">
        <v>153.37</v>
      </c>
      <c r="M284" s="10">
        <v>2596.13</v>
      </c>
      <c r="N284" s="8">
        <v>13</v>
      </c>
      <c r="O284" s="6">
        <v>1.2</v>
      </c>
    </row>
    <row r="285" spans="1:15" x14ac:dyDescent="0.25">
      <c r="A285" s="8">
        <v>20155</v>
      </c>
      <c r="B285" s="9" t="s">
        <v>39</v>
      </c>
      <c r="C285" s="9" t="s">
        <v>52</v>
      </c>
      <c r="D285" s="9" t="s">
        <v>38</v>
      </c>
      <c r="E285" s="9" t="s">
        <v>8</v>
      </c>
      <c r="F285" s="9" t="str">
        <f t="shared" si="4"/>
        <v>Not Delivered</v>
      </c>
      <c r="G285" s="9" t="b">
        <v>1</v>
      </c>
      <c r="H285" s="9" t="s">
        <v>33</v>
      </c>
      <c r="I285" s="8">
        <v>5681</v>
      </c>
      <c r="J285" s="10">
        <v>1407.99</v>
      </c>
      <c r="K285" s="10">
        <v>67.37</v>
      </c>
      <c r="L285" s="10">
        <v>180.62</v>
      </c>
      <c r="M285" s="10">
        <v>1655.98</v>
      </c>
      <c r="N285" s="8">
        <v>12</v>
      </c>
      <c r="O285" s="6">
        <v>3.4</v>
      </c>
    </row>
    <row r="286" spans="1:15" x14ac:dyDescent="0.25">
      <c r="A286" s="8">
        <v>40735</v>
      </c>
      <c r="B286" s="9" t="s">
        <v>41</v>
      </c>
      <c r="C286" s="9" t="s">
        <v>46</v>
      </c>
      <c r="D286" s="9" t="s">
        <v>12</v>
      </c>
      <c r="E286" s="9" t="s">
        <v>17</v>
      </c>
      <c r="F286" s="9" t="str">
        <f t="shared" si="4"/>
        <v>Not Delivered</v>
      </c>
      <c r="G286" s="9" t="b">
        <v>0</v>
      </c>
      <c r="H286" s="9" t="s">
        <v>28</v>
      </c>
      <c r="I286" s="8">
        <v>5451</v>
      </c>
      <c r="J286" s="10">
        <v>1538.84</v>
      </c>
      <c r="K286" s="10">
        <v>0</v>
      </c>
      <c r="M286" s="10">
        <v>1538.84</v>
      </c>
      <c r="N286" s="8">
        <v>9</v>
      </c>
      <c r="O286" s="6">
        <v>3</v>
      </c>
    </row>
    <row r="287" spans="1:15" x14ac:dyDescent="0.25">
      <c r="A287" s="8">
        <v>54020</v>
      </c>
      <c r="B287" s="9" t="s">
        <v>41</v>
      </c>
      <c r="C287" s="9" t="s">
        <v>46</v>
      </c>
      <c r="D287" s="9" t="s">
        <v>38</v>
      </c>
      <c r="E287" s="9" t="s">
        <v>32</v>
      </c>
      <c r="F287" s="9" t="str">
        <f t="shared" si="4"/>
        <v>Not Delivered</v>
      </c>
      <c r="G287" s="9" t="b">
        <v>0</v>
      </c>
      <c r="H287" s="9" t="s">
        <v>14</v>
      </c>
      <c r="I287" s="8">
        <v>6238</v>
      </c>
      <c r="J287" s="10">
        <v>343.84</v>
      </c>
      <c r="K287" s="10">
        <v>60.85</v>
      </c>
      <c r="L287" s="10">
        <v>0</v>
      </c>
      <c r="M287" s="10">
        <v>404.69</v>
      </c>
      <c r="N287" s="8">
        <v>10</v>
      </c>
      <c r="O287" s="6">
        <v>1.5</v>
      </c>
    </row>
    <row r="288" spans="1:15" x14ac:dyDescent="0.25">
      <c r="A288" s="8">
        <v>80798</v>
      </c>
      <c r="B288" s="9" t="s">
        <v>10</v>
      </c>
      <c r="C288" s="9" t="s">
        <v>26</v>
      </c>
      <c r="D288" s="9" t="s">
        <v>38</v>
      </c>
      <c r="E288" s="9" t="s">
        <v>8</v>
      </c>
      <c r="F288" s="9" t="str">
        <f t="shared" si="4"/>
        <v>Not Delivered</v>
      </c>
      <c r="G288" s="9" t="b">
        <v>1</v>
      </c>
      <c r="H288" s="9" t="s">
        <v>9</v>
      </c>
      <c r="I288" s="8">
        <v>2320</v>
      </c>
      <c r="J288" s="10">
        <v>141.63</v>
      </c>
      <c r="K288" s="10">
        <v>69</v>
      </c>
      <c r="L288" s="10">
        <v>46.16</v>
      </c>
      <c r="M288" s="10">
        <v>256.79000000000002</v>
      </c>
      <c r="N288" s="8">
        <v>14</v>
      </c>
      <c r="O288" s="6">
        <v>1.3</v>
      </c>
    </row>
    <row r="289" spans="1:15" x14ac:dyDescent="0.25">
      <c r="A289" s="8">
        <v>28136</v>
      </c>
      <c r="B289" s="9" t="s">
        <v>41</v>
      </c>
      <c r="C289" s="9" t="s">
        <v>47</v>
      </c>
      <c r="D289" s="9" t="s">
        <v>35</v>
      </c>
      <c r="E289" s="9" t="s">
        <v>32</v>
      </c>
      <c r="F289" s="9" t="str">
        <f t="shared" si="4"/>
        <v>Not Delivered</v>
      </c>
      <c r="G289" s="9" t="b">
        <v>0</v>
      </c>
      <c r="H289" s="9" t="s">
        <v>22</v>
      </c>
      <c r="I289" s="8">
        <v>3471</v>
      </c>
      <c r="J289" s="10">
        <v>1040.43</v>
      </c>
      <c r="K289" s="10">
        <v>147.59</v>
      </c>
      <c r="L289" s="10">
        <v>0</v>
      </c>
      <c r="M289" s="10">
        <v>1188.02</v>
      </c>
      <c r="N289" s="8">
        <v>13</v>
      </c>
      <c r="O289" s="6">
        <v>2.9</v>
      </c>
    </row>
    <row r="290" spans="1:15" x14ac:dyDescent="0.25">
      <c r="A290" s="8">
        <v>40311</v>
      </c>
      <c r="B290" s="9" t="s">
        <v>41</v>
      </c>
      <c r="C290" s="9" t="s">
        <v>61</v>
      </c>
      <c r="D290" s="9" t="s">
        <v>38</v>
      </c>
      <c r="E290" s="9" t="s">
        <v>17</v>
      </c>
      <c r="F290" s="9" t="str">
        <f t="shared" si="4"/>
        <v>Not Delivered</v>
      </c>
      <c r="G290" s="9" t="b">
        <v>0</v>
      </c>
      <c r="H290" s="9" t="s">
        <v>22</v>
      </c>
      <c r="I290" s="8">
        <v>7275</v>
      </c>
      <c r="J290" s="10">
        <v>791.12</v>
      </c>
      <c r="K290" s="10">
        <v>67.540000000000006</v>
      </c>
      <c r="L290" s="10">
        <v>0</v>
      </c>
      <c r="M290" s="10">
        <v>858.66</v>
      </c>
      <c r="N290" s="8">
        <v>12</v>
      </c>
      <c r="O290" s="6">
        <v>1.5</v>
      </c>
    </row>
    <row r="291" spans="1:15" x14ac:dyDescent="0.25">
      <c r="A291" s="8">
        <v>30028</v>
      </c>
      <c r="B291" s="9" t="s">
        <v>41</v>
      </c>
      <c r="C291" s="9" t="s">
        <v>42</v>
      </c>
      <c r="D291" s="9" t="s">
        <v>45</v>
      </c>
      <c r="E291" s="9" t="s">
        <v>32</v>
      </c>
      <c r="F291" s="9" t="str">
        <f t="shared" si="4"/>
        <v>Not Delivered</v>
      </c>
      <c r="G291" s="9" t="b">
        <v>1</v>
      </c>
      <c r="H291" s="9" t="s">
        <v>33</v>
      </c>
      <c r="I291" s="8">
        <v>4505</v>
      </c>
      <c r="J291" s="10">
        <v>2171.67</v>
      </c>
      <c r="K291" s="10">
        <v>106.75</v>
      </c>
      <c r="L291" s="10">
        <v>192.1</v>
      </c>
      <c r="M291" s="10">
        <v>2470.52</v>
      </c>
      <c r="N291" s="8">
        <v>10</v>
      </c>
      <c r="O291" s="6">
        <v>3.3</v>
      </c>
    </row>
    <row r="292" spans="1:15" x14ac:dyDescent="0.25">
      <c r="A292" s="8">
        <v>18418</v>
      </c>
      <c r="B292" s="9" t="s">
        <v>0</v>
      </c>
      <c r="C292" s="9" t="s">
        <v>1</v>
      </c>
      <c r="D292" s="9" t="s">
        <v>35</v>
      </c>
      <c r="E292" s="9" t="s">
        <v>13</v>
      </c>
      <c r="F292" s="9" t="str">
        <f t="shared" si="4"/>
        <v>Delivered</v>
      </c>
      <c r="G292" s="9" t="b">
        <v>1</v>
      </c>
      <c r="H292" s="9" t="s">
        <v>14</v>
      </c>
      <c r="I292" s="8">
        <v>7797</v>
      </c>
      <c r="J292" s="10">
        <v>542.69000000000005</v>
      </c>
      <c r="K292" s="10">
        <v>66.790000000000006</v>
      </c>
      <c r="L292" s="10">
        <v>144.66</v>
      </c>
      <c r="M292" s="10">
        <v>754.14</v>
      </c>
      <c r="N292" s="8">
        <v>5</v>
      </c>
      <c r="O292" s="6">
        <v>3.8</v>
      </c>
    </row>
    <row r="293" spans="1:15" x14ac:dyDescent="0.25">
      <c r="A293" s="8">
        <v>63424</v>
      </c>
      <c r="B293" s="9" t="s">
        <v>5</v>
      </c>
      <c r="C293" s="9" t="s">
        <v>31</v>
      </c>
      <c r="D293" s="9" t="s">
        <v>16</v>
      </c>
      <c r="E293" s="9" t="s">
        <v>13</v>
      </c>
      <c r="F293" s="9" t="str">
        <f t="shared" si="4"/>
        <v>Delivered</v>
      </c>
      <c r="G293" s="9" t="b">
        <v>0</v>
      </c>
      <c r="H293" s="9" t="s">
        <v>18</v>
      </c>
      <c r="I293" s="8">
        <v>6421</v>
      </c>
      <c r="J293" s="10">
        <v>202.95</v>
      </c>
      <c r="L293" s="10">
        <v>0</v>
      </c>
      <c r="M293" s="10">
        <v>256.89999999999998</v>
      </c>
      <c r="N293" s="8">
        <v>3</v>
      </c>
      <c r="O293" s="6">
        <v>3</v>
      </c>
    </row>
    <row r="294" spans="1:15" x14ac:dyDescent="0.25">
      <c r="A294" s="8">
        <v>81121</v>
      </c>
      <c r="B294" s="9" t="s">
        <v>39</v>
      </c>
      <c r="C294" s="9" t="s">
        <v>57</v>
      </c>
      <c r="D294" s="9" t="s">
        <v>35</v>
      </c>
      <c r="E294" s="9" t="s">
        <v>13</v>
      </c>
      <c r="F294" s="9" t="str">
        <f t="shared" si="4"/>
        <v>Delivered</v>
      </c>
      <c r="G294" s="9" t="b">
        <v>1</v>
      </c>
      <c r="H294" s="9" t="s">
        <v>4</v>
      </c>
      <c r="I294" s="8">
        <v>8633</v>
      </c>
      <c r="J294" s="10">
        <v>1256.9100000000001</v>
      </c>
      <c r="K294" s="10">
        <v>107.81</v>
      </c>
      <c r="L294" s="10">
        <v>72.56</v>
      </c>
      <c r="M294" s="10">
        <v>1437.28</v>
      </c>
      <c r="N294" s="8">
        <v>13</v>
      </c>
      <c r="O294" s="6">
        <v>2.2000000000000002</v>
      </c>
    </row>
    <row r="295" spans="1:15" x14ac:dyDescent="0.25">
      <c r="A295" s="8">
        <v>64496</v>
      </c>
      <c r="B295" s="9" t="s">
        <v>5</v>
      </c>
      <c r="C295" s="9" t="s">
        <v>56</v>
      </c>
      <c r="D295" s="9" t="s">
        <v>16</v>
      </c>
      <c r="E295" s="9" t="s">
        <v>8</v>
      </c>
      <c r="F295" s="9" t="str">
        <f t="shared" si="4"/>
        <v>Not Delivered</v>
      </c>
      <c r="G295" s="9" t="b">
        <v>1</v>
      </c>
      <c r="H295" s="9" t="s">
        <v>28</v>
      </c>
      <c r="I295" s="8">
        <v>2020</v>
      </c>
      <c r="J295" s="10">
        <v>591.24</v>
      </c>
      <c r="K295" s="10">
        <v>123.2</v>
      </c>
      <c r="L295" s="10">
        <v>159.4</v>
      </c>
      <c r="M295" s="10">
        <v>873.84</v>
      </c>
      <c r="N295" s="8">
        <v>10</v>
      </c>
      <c r="O295" s="6">
        <v>3.8</v>
      </c>
    </row>
    <row r="296" spans="1:15" x14ac:dyDescent="0.25">
      <c r="A296" s="8">
        <v>37110</v>
      </c>
      <c r="B296" s="9" t="s">
        <v>41</v>
      </c>
      <c r="C296" s="9" t="s">
        <v>42</v>
      </c>
      <c r="D296" s="9" t="s">
        <v>50</v>
      </c>
      <c r="E296" s="9" t="s">
        <v>8</v>
      </c>
      <c r="F296" s="9" t="str">
        <f t="shared" si="4"/>
        <v>Not Delivered</v>
      </c>
      <c r="G296" s="9" t="b">
        <v>1</v>
      </c>
      <c r="H296" s="9" t="s">
        <v>33</v>
      </c>
      <c r="I296" s="8">
        <v>7883</v>
      </c>
      <c r="J296" s="10">
        <v>645.63</v>
      </c>
      <c r="K296" s="10">
        <v>0</v>
      </c>
      <c r="L296" s="10">
        <v>70.459999999999994</v>
      </c>
      <c r="M296" s="10">
        <v>716.09</v>
      </c>
      <c r="N296" s="8">
        <v>9</v>
      </c>
      <c r="O296" s="6">
        <v>3.9</v>
      </c>
    </row>
    <row r="297" spans="1:15" x14ac:dyDescent="0.25">
      <c r="A297" s="8">
        <v>61049</v>
      </c>
      <c r="B297" s="9" t="s">
        <v>10</v>
      </c>
      <c r="C297" s="9" t="s">
        <v>29</v>
      </c>
      <c r="D297" s="9" t="s">
        <v>25</v>
      </c>
      <c r="E297" s="9" t="s">
        <v>3</v>
      </c>
      <c r="F297" s="9" t="str">
        <f t="shared" si="4"/>
        <v>Not Delivered</v>
      </c>
      <c r="G297" s="9" t="b">
        <v>0</v>
      </c>
      <c r="H297" s="9" t="s">
        <v>4</v>
      </c>
      <c r="I297" s="8">
        <v>1320</v>
      </c>
      <c r="J297" s="10">
        <v>282.24</v>
      </c>
      <c r="K297" s="10">
        <v>54.47</v>
      </c>
      <c r="L297" s="10">
        <v>0</v>
      </c>
      <c r="M297" s="10">
        <v>336.71</v>
      </c>
      <c r="N297" s="8">
        <v>3</v>
      </c>
    </row>
    <row r="298" spans="1:15" x14ac:dyDescent="0.25">
      <c r="A298" s="8">
        <v>85456</v>
      </c>
      <c r="B298" s="9" t="s">
        <v>10</v>
      </c>
      <c r="C298" s="9" t="s">
        <v>15</v>
      </c>
      <c r="D298" s="9" t="s">
        <v>16</v>
      </c>
      <c r="E298" s="9" t="s">
        <v>3</v>
      </c>
      <c r="F298" s="9" t="str">
        <f t="shared" si="4"/>
        <v>Not Delivered</v>
      </c>
      <c r="G298" s="9" t="b">
        <v>1</v>
      </c>
      <c r="H298" s="9" t="s">
        <v>9</v>
      </c>
      <c r="I298" s="8">
        <v>7232</v>
      </c>
      <c r="J298" s="10">
        <v>1012.62</v>
      </c>
      <c r="K298" s="10">
        <v>0</v>
      </c>
      <c r="L298" s="10">
        <v>81.91</v>
      </c>
      <c r="M298" s="10">
        <v>1094.53</v>
      </c>
      <c r="N298" s="8">
        <v>2</v>
      </c>
      <c r="O298" s="6">
        <v>1.5</v>
      </c>
    </row>
    <row r="299" spans="1:15" x14ac:dyDescent="0.25">
      <c r="A299" s="8">
        <v>72518</v>
      </c>
      <c r="B299" s="9" t="s">
        <v>0</v>
      </c>
      <c r="C299" s="9" t="s">
        <v>51</v>
      </c>
      <c r="E299" s="9" t="s">
        <v>3</v>
      </c>
      <c r="F299" s="9" t="str">
        <f t="shared" si="4"/>
        <v>Not Delivered</v>
      </c>
      <c r="G299" s="9" t="b">
        <v>1</v>
      </c>
      <c r="H299" s="9" t="s">
        <v>33</v>
      </c>
      <c r="I299" s="8">
        <v>1096</v>
      </c>
      <c r="J299" s="10">
        <v>300.38</v>
      </c>
      <c r="K299" s="10">
        <v>65.81</v>
      </c>
      <c r="M299" s="10">
        <v>554.74</v>
      </c>
      <c r="N299" s="8">
        <v>6</v>
      </c>
      <c r="O299" s="6">
        <v>1.2</v>
      </c>
    </row>
    <row r="300" spans="1:15" x14ac:dyDescent="0.25">
      <c r="A300" s="8">
        <v>56105</v>
      </c>
      <c r="B300" s="9" t="s">
        <v>23</v>
      </c>
      <c r="C300" s="9" t="s">
        <v>49</v>
      </c>
      <c r="E300" s="9" t="s">
        <v>32</v>
      </c>
      <c r="F300" s="9" t="str">
        <f t="shared" si="4"/>
        <v>Not Delivered</v>
      </c>
      <c r="G300" s="9" t="b">
        <v>1</v>
      </c>
      <c r="H300" s="9" t="s">
        <v>18</v>
      </c>
      <c r="I300" s="8">
        <v>5892</v>
      </c>
      <c r="J300" s="10">
        <v>1758.1</v>
      </c>
      <c r="K300" s="10">
        <v>0</v>
      </c>
      <c r="L300" s="10">
        <v>41.7</v>
      </c>
      <c r="M300" s="10">
        <v>1799.8</v>
      </c>
      <c r="N300" s="8">
        <v>13</v>
      </c>
      <c r="O300" s="6">
        <v>4.9000000000000004</v>
      </c>
    </row>
    <row r="301" spans="1:15" x14ac:dyDescent="0.25">
      <c r="A301" s="8">
        <v>61116</v>
      </c>
      <c r="B301" s="9" t="s">
        <v>5</v>
      </c>
      <c r="C301" s="9" t="s">
        <v>44</v>
      </c>
      <c r="D301" s="9" t="s">
        <v>12</v>
      </c>
      <c r="E301" s="9" t="s">
        <v>3</v>
      </c>
      <c r="F301" s="9" t="str">
        <f t="shared" si="4"/>
        <v>Not Delivered</v>
      </c>
      <c r="G301" s="9" t="b">
        <v>0</v>
      </c>
      <c r="H301" s="9" t="s">
        <v>14</v>
      </c>
      <c r="I301" s="8">
        <v>7865</v>
      </c>
      <c r="J301" s="10">
        <v>2082.33</v>
      </c>
      <c r="K301" s="10">
        <v>103.55</v>
      </c>
      <c r="L301" s="10">
        <v>0</v>
      </c>
      <c r="M301" s="10">
        <v>2185.88</v>
      </c>
      <c r="N301" s="8">
        <v>10</v>
      </c>
      <c r="O301" s="6">
        <v>2.9</v>
      </c>
    </row>
    <row r="302" spans="1:15" x14ac:dyDescent="0.25">
      <c r="A302" s="8">
        <v>80545</v>
      </c>
      <c r="B302" s="9" t="s">
        <v>0</v>
      </c>
      <c r="C302" s="9" t="s">
        <v>1</v>
      </c>
      <c r="D302" s="9" t="s">
        <v>19</v>
      </c>
      <c r="E302" s="9" t="s">
        <v>32</v>
      </c>
      <c r="F302" s="9" t="str">
        <f t="shared" si="4"/>
        <v>Not Delivered</v>
      </c>
      <c r="G302" s="9" t="b">
        <v>1</v>
      </c>
      <c r="H302" s="9" t="s">
        <v>28</v>
      </c>
      <c r="I302" s="8">
        <v>9947</v>
      </c>
      <c r="J302" s="10">
        <v>978.47</v>
      </c>
      <c r="K302" s="10">
        <v>130.05000000000001</v>
      </c>
      <c r="L302" s="10">
        <v>48.73</v>
      </c>
      <c r="M302" s="10">
        <v>1157.25</v>
      </c>
      <c r="N302" s="8">
        <v>8</v>
      </c>
      <c r="O302" s="6">
        <v>4.9000000000000004</v>
      </c>
    </row>
    <row r="303" spans="1:15" x14ac:dyDescent="0.25">
      <c r="A303" s="8">
        <v>89069</v>
      </c>
      <c r="B303" s="9" t="s">
        <v>5</v>
      </c>
      <c r="C303" s="9" t="s">
        <v>44</v>
      </c>
      <c r="D303" s="9" t="s">
        <v>12</v>
      </c>
      <c r="E303" s="9" t="s">
        <v>17</v>
      </c>
      <c r="F303" s="9" t="str">
        <f t="shared" si="4"/>
        <v>Not Delivered</v>
      </c>
      <c r="G303" s="9" t="b">
        <v>1</v>
      </c>
      <c r="H303" s="9" t="s">
        <v>9</v>
      </c>
      <c r="I303" s="8">
        <v>4613</v>
      </c>
      <c r="J303" s="10">
        <v>380.25</v>
      </c>
      <c r="K303" s="10">
        <v>76.23</v>
      </c>
      <c r="L303" s="10">
        <v>91.71</v>
      </c>
      <c r="M303" s="10">
        <v>548.19000000000005</v>
      </c>
      <c r="N303" s="8">
        <v>5</v>
      </c>
      <c r="O303" s="6">
        <v>3.9</v>
      </c>
    </row>
    <row r="304" spans="1:15" x14ac:dyDescent="0.25">
      <c r="A304" s="8">
        <v>73993</v>
      </c>
      <c r="B304" s="9" t="s">
        <v>41</v>
      </c>
      <c r="C304" s="9" t="s">
        <v>42</v>
      </c>
      <c r="D304" s="9" t="s">
        <v>2</v>
      </c>
      <c r="E304" s="9" t="s">
        <v>21</v>
      </c>
      <c r="F304" s="9" t="str">
        <f t="shared" si="4"/>
        <v>Not Delivered</v>
      </c>
      <c r="G304" s="9" t="b">
        <v>1</v>
      </c>
      <c r="H304" s="9" t="s">
        <v>14</v>
      </c>
      <c r="I304" s="8">
        <v>4595</v>
      </c>
      <c r="J304" s="10">
        <v>1514.52</v>
      </c>
      <c r="K304" s="10">
        <v>101.97</v>
      </c>
      <c r="L304" s="10">
        <v>166.88</v>
      </c>
      <c r="M304" s="10">
        <v>1783.37</v>
      </c>
      <c r="N304" s="8">
        <v>3</v>
      </c>
    </row>
    <row r="305" spans="1:15" x14ac:dyDescent="0.25">
      <c r="A305" s="8">
        <v>45774</v>
      </c>
      <c r="B305" s="9" t="s">
        <v>5</v>
      </c>
      <c r="C305" s="9" t="s">
        <v>6</v>
      </c>
      <c r="D305" s="9" t="s">
        <v>16</v>
      </c>
      <c r="E305" s="9" t="s">
        <v>13</v>
      </c>
      <c r="F305" s="9" t="str">
        <f t="shared" si="4"/>
        <v>Delivered</v>
      </c>
      <c r="G305" s="9" t="b">
        <v>0</v>
      </c>
      <c r="H305" s="9" t="s">
        <v>9</v>
      </c>
      <c r="I305" s="8">
        <v>8140</v>
      </c>
      <c r="J305" s="10">
        <v>1494.17</v>
      </c>
      <c r="K305" s="10">
        <v>0</v>
      </c>
      <c r="L305" s="10">
        <v>0</v>
      </c>
      <c r="M305" s="10">
        <v>1494.17</v>
      </c>
      <c r="N305" s="8">
        <v>14</v>
      </c>
      <c r="O305" s="6">
        <v>2.4</v>
      </c>
    </row>
    <row r="306" spans="1:15" x14ac:dyDescent="0.25">
      <c r="A306" s="8">
        <v>73654</v>
      </c>
      <c r="B306" s="9" t="s">
        <v>0</v>
      </c>
      <c r="C306" s="9" t="s">
        <v>37</v>
      </c>
      <c r="D306" s="9" t="s">
        <v>16</v>
      </c>
      <c r="E306" s="9" t="s">
        <v>17</v>
      </c>
      <c r="F306" s="9" t="str">
        <f t="shared" si="4"/>
        <v>Not Delivered</v>
      </c>
      <c r="G306" s="9" t="b">
        <v>0</v>
      </c>
      <c r="H306" s="9" t="s">
        <v>9</v>
      </c>
      <c r="I306" s="8">
        <v>1475</v>
      </c>
      <c r="J306" s="10">
        <v>1093.8399999999999</v>
      </c>
      <c r="K306" s="10">
        <v>67.22</v>
      </c>
      <c r="L306" s="10">
        <v>0</v>
      </c>
      <c r="M306" s="10">
        <v>1161.06</v>
      </c>
      <c r="N306" s="8">
        <v>3</v>
      </c>
      <c r="O306" s="6">
        <v>3.7</v>
      </c>
    </row>
    <row r="307" spans="1:15" x14ac:dyDescent="0.25">
      <c r="A307" s="8">
        <v>60968</v>
      </c>
      <c r="B307" s="9" t="s">
        <v>10</v>
      </c>
      <c r="C307" s="9" t="s">
        <v>29</v>
      </c>
      <c r="D307" s="9" t="s">
        <v>50</v>
      </c>
      <c r="E307" s="9" t="s">
        <v>13</v>
      </c>
      <c r="F307" s="9" t="str">
        <f t="shared" si="4"/>
        <v>Delivered</v>
      </c>
      <c r="G307" s="9" t="b">
        <v>0</v>
      </c>
      <c r="H307" s="9" t="s">
        <v>33</v>
      </c>
      <c r="I307" s="8">
        <v>6507</v>
      </c>
      <c r="J307" s="10">
        <v>193.65</v>
      </c>
      <c r="K307" s="10">
        <v>60.64</v>
      </c>
      <c r="L307" s="10">
        <v>0</v>
      </c>
      <c r="M307" s="10">
        <v>254.29</v>
      </c>
      <c r="N307" s="8">
        <v>6</v>
      </c>
    </row>
    <row r="308" spans="1:15" x14ac:dyDescent="0.25">
      <c r="A308" s="8">
        <v>97670</v>
      </c>
      <c r="B308" s="9" t="s">
        <v>39</v>
      </c>
      <c r="C308" s="9" t="s">
        <v>57</v>
      </c>
      <c r="D308" s="9" t="s">
        <v>50</v>
      </c>
      <c r="E308" s="9" t="s">
        <v>8</v>
      </c>
      <c r="F308" s="9" t="str">
        <f t="shared" si="4"/>
        <v>Not Delivered</v>
      </c>
      <c r="G308" s="9" t="b">
        <v>0</v>
      </c>
      <c r="H308" s="9" t="s">
        <v>9</v>
      </c>
      <c r="I308" s="8">
        <v>7624</v>
      </c>
      <c r="J308" s="10">
        <v>1460.95</v>
      </c>
      <c r="K308" s="10">
        <v>0</v>
      </c>
      <c r="L308" s="10">
        <v>0</v>
      </c>
      <c r="M308" s="10">
        <v>1460.95</v>
      </c>
      <c r="N308" s="8">
        <v>12</v>
      </c>
      <c r="O308" s="6">
        <v>4.3</v>
      </c>
    </row>
    <row r="309" spans="1:15" x14ac:dyDescent="0.25">
      <c r="A309" s="8">
        <v>31632</v>
      </c>
      <c r="B309" s="9" t="s">
        <v>41</v>
      </c>
      <c r="C309" s="9" t="s">
        <v>47</v>
      </c>
      <c r="E309" s="9" t="s">
        <v>17</v>
      </c>
      <c r="F309" s="9" t="str">
        <f t="shared" si="4"/>
        <v>Not Delivered</v>
      </c>
      <c r="G309" s="9" t="b">
        <v>0</v>
      </c>
      <c r="H309" s="9" t="s">
        <v>18</v>
      </c>
      <c r="I309" s="8">
        <v>8657</v>
      </c>
      <c r="J309" s="10">
        <v>713.46</v>
      </c>
      <c r="K309" s="10">
        <v>0</v>
      </c>
      <c r="L309" s="10">
        <v>0</v>
      </c>
      <c r="M309" s="10">
        <v>713.46</v>
      </c>
      <c r="N309" s="8">
        <v>12</v>
      </c>
      <c r="O309" s="6">
        <v>3.1</v>
      </c>
    </row>
    <row r="310" spans="1:15" x14ac:dyDescent="0.25">
      <c r="A310" s="8">
        <v>26728</v>
      </c>
      <c r="B310" s="9" t="s">
        <v>23</v>
      </c>
      <c r="C310" s="9" t="s">
        <v>60</v>
      </c>
      <c r="D310" s="9" t="s">
        <v>25</v>
      </c>
      <c r="E310" s="9" t="s">
        <v>3</v>
      </c>
      <c r="F310" s="9" t="str">
        <f t="shared" si="4"/>
        <v>Not Delivered</v>
      </c>
      <c r="G310" s="9" t="b">
        <v>1</v>
      </c>
      <c r="H310" s="9" t="s">
        <v>4</v>
      </c>
      <c r="I310" s="8">
        <v>9751</v>
      </c>
      <c r="J310" s="10">
        <v>1036.7</v>
      </c>
      <c r="K310" s="10">
        <v>63.56</v>
      </c>
      <c r="L310" s="10">
        <v>59.64</v>
      </c>
      <c r="M310" s="10">
        <v>1159.9000000000001</v>
      </c>
      <c r="N310" s="8">
        <v>14</v>
      </c>
      <c r="O310" s="6">
        <v>1.2</v>
      </c>
    </row>
    <row r="311" spans="1:15" x14ac:dyDescent="0.25">
      <c r="A311" s="8">
        <v>13534</v>
      </c>
      <c r="B311" s="9" t="s">
        <v>10</v>
      </c>
      <c r="C311" s="9" t="s">
        <v>29</v>
      </c>
      <c r="D311" s="9" t="s">
        <v>45</v>
      </c>
      <c r="E311" s="9" t="s">
        <v>21</v>
      </c>
      <c r="F311" s="9" t="str">
        <f t="shared" si="4"/>
        <v>Not Delivered</v>
      </c>
      <c r="G311" s="9" t="b">
        <v>1</v>
      </c>
      <c r="H311" s="9" t="s">
        <v>18</v>
      </c>
      <c r="I311" s="8">
        <v>7455</v>
      </c>
      <c r="J311" s="10">
        <v>620.55999999999995</v>
      </c>
      <c r="K311" s="10">
        <v>100.51</v>
      </c>
      <c r="L311" s="10">
        <v>31.05</v>
      </c>
      <c r="M311" s="10">
        <v>752.12</v>
      </c>
      <c r="N311" s="8">
        <v>8</v>
      </c>
      <c r="O311" s="6">
        <v>1.7</v>
      </c>
    </row>
    <row r="312" spans="1:15" x14ac:dyDescent="0.25">
      <c r="A312" s="8">
        <v>87580</v>
      </c>
      <c r="B312" s="9" t="s">
        <v>10</v>
      </c>
      <c r="C312" s="9" t="s">
        <v>11</v>
      </c>
      <c r="D312" s="9" t="s">
        <v>19</v>
      </c>
      <c r="E312" s="9" t="s">
        <v>32</v>
      </c>
      <c r="F312" s="9" t="str">
        <f t="shared" si="4"/>
        <v>Not Delivered</v>
      </c>
      <c r="G312" s="9" t="b">
        <v>1</v>
      </c>
      <c r="H312" s="9" t="s">
        <v>22</v>
      </c>
      <c r="I312" s="8">
        <v>1444</v>
      </c>
      <c r="J312" s="10">
        <v>410.68</v>
      </c>
      <c r="K312" s="10">
        <v>92.09</v>
      </c>
      <c r="L312" s="10">
        <v>102.75</v>
      </c>
      <c r="M312" s="10">
        <v>605.52</v>
      </c>
      <c r="N312" s="8">
        <v>1</v>
      </c>
      <c r="O312" s="6">
        <v>3.3</v>
      </c>
    </row>
    <row r="313" spans="1:15" x14ac:dyDescent="0.25">
      <c r="A313" s="8">
        <v>21003</v>
      </c>
      <c r="B313" s="9" t="s">
        <v>23</v>
      </c>
      <c r="C313" s="9" t="s">
        <v>48</v>
      </c>
      <c r="D313" s="9" t="s">
        <v>19</v>
      </c>
      <c r="E313" s="9" t="s">
        <v>13</v>
      </c>
      <c r="F313" s="9" t="str">
        <f t="shared" si="4"/>
        <v>Delivered</v>
      </c>
      <c r="G313" s="9" t="b">
        <v>1</v>
      </c>
      <c r="H313" s="9" t="s">
        <v>18</v>
      </c>
      <c r="I313" s="8">
        <v>8022</v>
      </c>
      <c r="J313" s="10">
        <v>739.18</v>
      </c>
      <c r="K313" s="10">
        <v>101.33</v>
      </c>
      <c r="L313" s="10">
        <v>286.73</v>
      </c>
      <c r="M313" s="10">
        <v>1127.24</v>
      </c>
      <c r="N313" s="8">
        <v>11</v>
      </c>
      <c r="O313" s="6">
        <v>4.2</v>
      </c>
    </row>
    <row r="314" spans="1:15" x14ac:dyDescent="0.25">
      <c r="A314" s="8">
        <v>27786</v>
      </c>
      <c r="B314" s="9" t="s">
        <v>10</v>
      </c>
      <c r="C314" s="9" t="s">
        <v>11</v>
      </c>
      <c r="D314" s="9" t="s">
        <v>2</v>
      </c>
      <c r="E314" s="9" t="s">
        <v>3</v>
      </c>
      <c r="F314" s="9" t="str">
        <f t="shared" si="4"/>
        <v>Not Delivered</v>
      </c>
      <c r="G314" s="9" t="b">
        <v>0</v>
      </c>
      <c r="H314" s="9" t="s">
        <v>18</v>
      </c>
      <c r="I314" s="8">
        <v>8564</v>
      </c>
      <c r="J314" s="10">
        <v>905.23</v>
      </c>
      <c r="K314" s="10">
        <v>84.87</v>
      </c>
      <c r="L314" s="10">
        <v>0</v>
      </c>
      <c r="M314" s="10">
        <v>990.1</v>
      </c>
      <c r="N314" s="8">
        <v>4</v>
      </c>
      <c r="O314" s="6">
        <v>3.7</v>
      </c>
    </row>
    <row r="315" spans="1:15" x14ac:dyDescent="0.25">
      <c r="A315" s="8">
        <v>33819</v>
      </c>
      <c r="B315" s="9" t="s">
        <v>5</v>
      </c>
      <c r="C315" s="9" t="s">
        <v>6</v>
      </c>
      <c r="D315" s="9" t="s">
        <v>50</v>
      </c>
      <c r="E315" s="9" t="s">
        <v>8</v>
      </c>
      <c r="F315" s="9" t="str">
        <f t="shared" si="4"/>
        <v>Not Delivered</v>
      </c>
      <c r="G315" s="9" t="b">
        <v>0</v>
      </c>
      <c r="H315" s="9" t="s">
        <v>4</v>
      </c>
      <c r="I315" s="8">
        <v>1823</v>
      </c>
      <c r="J315" s="10">
        <v>1376.48</v>
      </c>
      <c r="K315" s="10">
        <v>134.33000000000001</v>
      </c>
      <c r="L315" s="10">
        <v>0</v>
      </c>
      <c r="M315" s="10">
        <v>1510.81</v>
      </c>
      <c r="N315" s="8">
        <v>9</v>
      </c>
      <c r="O315" s="6">
        <v>3.4</v>
      </c>
    </row>
    <row r="316" spans="1:15" x14ac:dyDescent="0.25">
      <c r="A316" s="8">
        <v>44099</v>
      </c>
      <c r="B316" s="9" t="s">
        <v>39</v>
      </c>
      <c r="C316" s="9" t="s">
        <v>57</v>
      </c>
      <c r="D316" s="9" t="s">
        <v>27</v>
      </c>
      <c r="E316" s="9" t="s">
        <v>13</v>
      </c>
      <c r="F316" s="9" t="str">
        <f t="shared" si="4"/>
        <v>Delivered</v>
      </c>
      <c r="G316" s="9" t="b">
        <v>0</v>
      </c>
      <c r="H316" s="9" t="s">
        <v>28</v>
      </c>
      <c r="I316" s="8">
        <v>7211</v>
      </c>
      <c r="J316" s="10">
        <v>557.52</v>
      </c>
      <c r="K316" s="10">
        <v>0</v>
      </c>
      <c r="L316" s="10">
        <v>0</v>
      </c>
      <c r="M316" s="10">
        <v>557.52</v>
      </c>
      <c r="N316" s="8">
        <v>14</v>
      </c>
      <c r="O316" s="6">
        <v>3.6</v>
      </c>
    </row>
    <row r="317" spans="1:15" x14ac:dyDescent="0.25">
      <c r="A317" s="8">
        <v>52906</v>
      </c>
      <c r="B317" s="9" t="s">
        <v>23</v>
      </c>
      <c r="C317" s="9" t="s">
        <v>34</v>
      </c>
      <c r="D317" s="9" t="s">
        <v>25</v>
      </c>
      <c r="E317" s="9" t="s">
        <v>8</v>
      </c>
      <c r="F317" s="9" t="str">
        <f t="shared" si="4"/>
        <v>Not Delivered</v>
      </c>
      <c r="G317" s="9" t="b">
        <v>0</v>
      </c>
      <c r="H317" s="9" t="s">
        <v>9</v>
      </c>
      <c r="I317" s="8">
        <v>4467</v>
      </c>
      <c r="J317" s="10">
        <v>2331.6</v>
      </c>
      <c r="K317" s="10">
        <v>130.54</v>
      </c>
      <c r="L317" s="10">
        <v>0</v>
      </c>
      <c r="M317" s="10">
        <v>2462.14</v>
      </c>
      <c r="N317" s="8">
        <v>11</v>
      </c>
      <c r="O317" s="6">
        <v>1.6</v>
      </c>
    </row>
    <row r="318" spans="1:15" x14ac:dyDescent="0.25">
      <c r="A318" s="8">
        <v>69598</v>
      </c>
      <c r="B318" s="9" t="s">
        <v>10</v>
      </c>
      <c r="C318" s="9" t="s">
        <v>11</v>
      </c>
      <c r="D318" s="9" t="s">
        <v>45</v>
      </c>
      <c r="E318" s="9" t="s">
        <v>8</v>
      </c>
      <c r="F318" s="9" t="str">
        <f t="shared" si="4"/>
        <v>Not Delivered</v>
      </c>
      <c r="G318" s="9" t="b">
        <v>1</v>
      </c>
      <c r="H318" s="9" t="s">
        <v>33</v>
      </c>
      <c r="I318" s="8">
        <v>6355</v>
      </c>
      <c r="J318" s="10">
        <v>1823.13</v>
      </c>
      <c r="K318" s="10">
        <v>123.67</v>
      </c>
      <c r="L318" s="10">
        <v>172.65</v>
      </c>
      <c r="M318" s="10">
        <v>2119.4499999999998</v>
      </c>
      <c r="N318" s="8">
        <v>4</v>
      </c>
      <c r="O318" s="6">
        <v>3.6</v>
      </c>
    </row>
    <row r="319" spans="1:15" x14ac:dyDescent="0.25">
      <c r="A319" s="8">
        <v>54236</v>
      </c>
      <c r="B319" s="9" t="s">
        <v>41</v>
      </c>
      <c r="C319" s="9" t="s">
        <v>61</v>
      </c>
      <c r="D319" s="9" t="s">
        <v>30</v>
      </c>
      <c r="E319" s="9" t="s">
        <v>32</v>
      </c>
      <c r="F319" s="9" t="str">
        <f t="shared" si="4"/>
        <v>Not Delivered</v>
      </c>
      <c r="G319" s="9" t="b">
        <v>1</v>
      </c>
      <c r="H319" s="9" t="s">
        <v>22</v>
      </c>
      <c r="I319" s="8">
        <v>7211</v>
      </c>
      <c r="J319" s="10">
        <v>2159.92</v>
      </c>
      <c r="K319" s="10">
        <v>137.65</v>
      </c>
      <c r="L319" s="10">
        <v>109.76</v>
      </c>
      <c r="M319" s="10">
        <v>2407.33</v>
      </c>
      <c r="N319" s="8">
        <v>3</v>
      </c>
      <c r="O319" s="6">
        <v>3.9</v>
      </c>
    </row>
    <row r="320" spans="1:15" x14ac:dyDescent="0.25">
      <c r="A320" s="8">
        <v>46471</v>
      </c>
      <c r="B320" s="9" t="s">
        <v>10</v>
      </c>
      <c r="C320" s="9" t="s">
        <v>26</v>
      </c>
      <c r="D320" s="9" t="s">
        <v>50</v>
      </c>
      <c r="E320" s="9" t="s">
        <v>21</v>
      </c>
      <c r="F320" s="9" t="str">
        <f t="shared" si="4"/>
        <v>Not Delivered</v>
      </c>
      <c r="G320" s="9" t="b">
        <v>0</v>
      </c>
      <c r="H320" s="9" t="s">
        <v>33</v>
      </c>
      <c r="I320" s="8">
        <v>7906</v>
      </c>
      <c r="J320" s="10">
        <v>522.28</v>
      </c>
      <c r="K320" s="10">
        <v>0</v>
      </c>
      <c r="L320" s="10">
        <v>0</v>
      </c>
      <c r="M320" s="10">
        <v>522.28</v>
      </c>
      <c r="N320" s="8">
        <v>7</v>
      </c>
      <c r="O320" s="6">
        <v>2.2999999999999998</v>
      </c>
    </row>
    <row r="321" spans="1:15" x14ac:dyDescent="0.25">
      <c r="A321" s="8">
        <v>43065</v>
      </c>
      <c r="B321" s="9" t="s">
        <v>39</v>
      </c>
      <c r="C321" s="9" t="s">
        <v>57</v>
      </c>
      <c r="D321" s="9" t="s">
        <v>27</v>
      </c>
      <c r="E321" s="9" t="s">
        <v>3</v>
      </c>
      <c r="F321" s="9" t="str">
        <f t="shared" si="4"/>
        <v>Not Delivered</v>
      </c>
      <c r="G321" s="9" t="b">
        <v>1</v>
      </c>
      <c r="H321" s="9" t="s">
        <v>18</v>
      </c>
      <c r="I321" s="8">
        <v>2341</v>
      </c>
      <c r="J321" s="10">
        <v>748.16</v>
      </c>
      <c r="K321" s="10">
        <v>108.36</v>
      </c>
      <c r="M321" s="10">
        <v>1139.93</v>
      </c>
      <c r="N321" s="8">
        <v>9</v>
      </c>
    </row>
    <row r="322" spans="1:15" x14ac:dyDescent="0.25">
      <c r="A322" s="8">
        <v>71644</v>
      </c>
      <c r="B322" s="9" t="s">
        <v>10</v>
      </c>
      <c r="C322" s="9" t="s">
        <v>20</v>
      </c>
      <c r="D322" s="9" t="s">
        <v>7</v>
      </c>
      <c r="E322" s="9" t="s">
        <v>13</v>
      </c>
      <c r="F322" s="9" t="str">
        <f t="shared" si="4"/>
        <v>Delivered</v>
      </c>
      <c r="G322" s="9" t="b">
        <v>1</v>
      </c>
      <c r="H322" s="9" t="s">
        <v>14</v>
      </c>
      <c r="I322" s="8">
        <v>1317</v>
      </c>
      <c r="J322" s="10">
        <v>202.72</v>
      </c>
      <c r="K322" s="10">
        <v>89.07</v>
      </c>
      <c r="L322" s="10">
        <v>67.13</v>
      </c>
      <c r="M322" s="10">
        <v>358.92</v>
      </c>
      <c r="N322" s="8">
        <v>10</v>
      </c>
      <c r="O322" s="6">
        <v>4.9000000000000004</v>
      </c>
    </row>
    <row r="323" spans="1:15" x14ac:dyDescent="0.25">
      <c r="A323" s="8">
        <v>80702</v>
      </c>
      <c r="B323" s="9" t="s">
        <v>0</v>
      </c>
      <c r="C323" s="9" t="s">
        <v>53</v>
      </c>
      <c r="D323" s="9" t="s">
        <v>7</v>
      </c>
      <c r="E323" s="9" t="s">
        <v>21</v>
      </c>
      <c r="F323" s="9" t="str">
        <f t="shared" ref="F323:F386" si="5">IF(OR(
E323="Failed Delivery",
E323="Cancelled",
E323="Pending",
E323="Rescheduled",
E323="In Transit"
),"Not Delivered","Delivered")</f>
        <v>Not Delivered</v>
      </c>
      <c r="G323" s="9" t="b">
        <v>1</v>
      </c>
      <c r="H323" s="9" t="s">
        <v>14</v>
      </c>
      <c r="I323" s="8">
        <v>1853</v>
      </c>
      <c r="J323" s="10">
        <v>1435.25</v>
      </c>
      <c r="K323" s="10">
        <v>113.1</v>
      </c>
      <c r="L323" s="10">
        <v>163.44999999999999</v>
      </c>
      <c r="M323" s="10">
        <v>1711.8</v>
      </c>
      <c r="N323" s="8">
        <v>1</v>
      </c>
      <c r="O323" s="6">
        <v>1.8</v>
      </c>
    </row>
    <row r="324" spans="1:15" x14ac:dyDescent="0.25">
      <c r="A324" s="8">
        <v>55870</v>
      </c>
      <c r="B324" s="9" t="s">
        <v>23</v>
      </c>
      <c r="C324" s="9" t="s">
        <v>54</v>
      </c>
      <c r="D324" s="9" t="s">
        <v>45</v>
      </c>
      <c r="E324" s="9" t="s">
        <v>3</v>
      </c>
      <c r="F324" s="9" t="str">
        <f t="shared" si="5"/>
        <v>Not Delivered</v>
      </c>
      <c r="G324" s="9" t="b">
        <v>0</v>
      </c>
      <c r="H324" s="9" t="s">
        <v>4</v>
      </c>
      <c r="I324" s="8">
        <v>4673</v>
      </c>
      <c r="J324" s="10">
        <v>2387.85</v>
      </c>
      <c r="K324" s="10">
        <v>62.94</v>
      </c>
      <c r="L324" s="10">
        <v>0</v>
      </c>
      <c r="M324" s="10">
        <v>2450.79</v>
      </c>
      <c r="N324" s="8">
        <v>11</v>
      </c>
      <c r="O324" s="6">
        <v>2.7</v>
      </c>
    </row>
    <row r="325" spans="1:15" x14ac:dyDescent="0.25">
      <c r="A325" s="8">
        <v>95215</v>
      </c>
      <c r="B325" s="9" t="s">
        <v>5</v>
      </c>
      <c r="C325" s="9" t="s">
        <v>59</v>
      </c>
      <c r="D325" s="9" t="s">
        <v>27</v>
      </c>
      <c r="E325" s="9" t="s">
        <v>17</v>
      </c>
      <c r="F325" s="9" t="str">
        <f t="shared" si="5"/>
        <v>Not Delivered</v>
      </c>
      <c r="G325" s="9" t="b">
        <v>0</v>
      </c>
      <c r="H325" s="9" t="s">
        <v>22</v>
      </c>
      <c r="I325" s="8">
        <v>2124</v>
      </c>
      <c r="J325" s="10">
        <v>658.65</v>
      </c>
      <c r="K325" s="10">
        <v>51.41</v>
      </c>
      <c r="L325" s="10">
        <v>0</v>
      </c>
      <c r="M325" s="10">
        <v>710.06</v>
      </c>
      <c r="N325" s="8">
        <v>13</v>
      </c>
      <c r="O325" s="6">
        <v>1.8</v>
      </c>
    </row>
    <row r="326" spans="1:15" x14ac:dyDescent="0.25">
      <c r="A326" s="8">
        <v>95426</v>
      </c>
      <c r="B326" s="9" t="s">
        <v>0</v>
      </c>
      <c r="C326" s="9" t="s">
        <v>53</v>
      </c>
      <c r="E326" s="9" t="s">
        <v>13</v>
      </c>
      <c r="F326" s="9" t="str">
        <f t="shared" si="5"/>
        <v>Delivered</v>
      </c>
      <c r="G326" s="9" t="b">
        <v>1</v>
      </c>
      <c r="H326" s="9" t="s">
        <v>9</v>
      </c>
      <c r="I326" s="8">
        <v>1659</v>
      </c>
      <c r="J326" s="10">
        <v>523.34</v>
      </c>
      <c r="K326" s="10">
        <v>81.209999999999994</v>
      </c>
      <c r="L326" s="10">
        <v>225.5</v>
      </c>
      <c r="M326" s="10">
        <v>830.05</v>
      </c>
      <c r="N326" s="8">
        <v>5</v>
      </c>
      <c r="O326" s="6">
        <v>4.3</v>
      </c>
    </row>
    <row r="327" spans="1:15" x14ac:dyDescent="0.25">
      <c r="A327" s="8">
        <v>14067</v>
      </c>
      <c r="B327" s="9" t="s">
        <v>0</v>
      </c>
      <c r="C327" s="9" t="s">
        <v>43</v>
      </c>
      <c r="D327" s="9" t="s">
        <v>16</v>
      </c>
      <c r="E327" s="9" t="s">
        <v>17</v>
      </c>
      <c r="F327" s="9" t="str">
        <f t="shared" si="5"/>
        <v>Not Delivered</v>
      </c>
      <c r="G327" s="9" t="b">
        <v>1</v>
      </c>
      <c r="H327" s="9" t="s">
        <v>28</v>
      </c>
      <c r="I327" s="8">
        <v>5051</v>
      </c>
      <c r="J327" s="10">
        <v>1134.01</v>
      </c>
      <c r="K327" s="10">
        <v>138.80000000000001</v>
      </c>
      <c r="L327" s="10">
        <v>199.61</v>
      </c>
      <c r="M327" s="10">
        <v>1472.42</v>
      </c>
      <c r="N327" s="8">
        <v>8</v>
      </c>
      <c r="O327" s="6">
        <v>1.8</v>
      </c>
    </row>
    <row r="328" spans="1:15" x14ac:dyDescent="0.25">
      <c r="A328" s="8">
        <v>36130</v>
      </c>
      <c r="B328" s="9" t="s">
        <v>23</v>
      </c>
      <c r="C328" s="9" t="s">
        <v>48</v>
      </c>
      <c r="D328" s="9" t="s">
        <v>27</v>
      </c>
      <c r="E328" s="9" t="s">
        <v>13</v>
      </c>
      <c r="F328" s="9" t="str">
        <f t="shared" si="5"/>
        <v>Delivered</v>
      </c>
      <c r="G328" s="9" t="b">
        <v>1</v>
      </c>
      <c r="H328" s="9" t="s">
        <v>14</v>
      </c>
      <c r="I328" s="8">
        <v>1333</v>
      </c>
      <c r="J328" s="10">
        <v>2956.91</v>
      </c>
      <c r="K328" s="10">
        <v>0</v>
      </c>
      <c r="L328" s="10">
        <v>56.16</v>
      </c>
      <c r="M328" s="10">
        <v>3013.07</v>
      </c>
      <c r="N328" s="8">
        <v>12</v>
      </c>
      <c r="O328" s="6">
        <v>1.1000000000000001</v>
      </c>
    </row>
    <row r="329" spans="1:15" x14ac:dyDescent="0.25">
      <c r="A329" s="8">
        <v>91439</v>
      </c>
      <c r="B329" s="9" t="s">
        <v>41</v>
      </c>
      <c r="C329" s="9" t="s">
        <v>47</v>
      </c>
      <c r="D329" s="9" t="s">
        <v>30</v>
      </c>
      <c r="E329" s="9" t="s">
        <v>13</v>
      </c>
      <c r="F329" s="9" t="str">
        <f t="shared" si="5"/>
        <v>Delivered</v>
      </c>
      <c r="G329" s="9" t="b">
        <v>1</v>
      </c>
      <c r="H329" s="9" t="s">
        <v>9</v>
      </c>
      <c r="I329" s="8">
        <v>3496</v>
      </c>
      <c r="J329" s="10">
        <v>1606.63</v>
      </c>
      <c r="K329" s="10">
        <v>0</v>
      </c>
      <c r="L329" s="10">
        <v>26.21</v>
      </c>
      <c r="M329" s="10">
        <v>1632.84</v>
      </c>
      <c r="N329" s="8">
        <v>2</v>
      </c>
      <c r="O329" s="6">
        <v>2.5</v>
      </c>
    </row>
    <row r="330" spans="1:15" x14ac:dyDescent="0.25">
      <c r="A330" s="8">
        <v>41266</v>
      </c>
      <c r="B330" s="9" t="s">
        <v>0</v>
      </c>
      <c r="C330" s="9" t="s">
        <v>53</v>
      </c>
      <c r="D330" s="9" t="s">
        <v>2</v>
      </c>
      <c r="E330" s="9" t="s">
        <v>8</v>
      </c>
      <c r="F330" s="9" t="str">
        <f t="shared" si="5"/>
        <v>Not Delivered</v>
      </c>
      <c r="G330" s="9" t="b">
        <v>1</v>
      </c>
      <c r="H330" s="9" t="s">
        <v>28</v>
      </c>
      <c r="I330" s="8">
        <v>3068</v>
      </c>
      <c r="J330" s="10">
        <v>489.07</v>
      </c>
      <c r="K330" s="10">
        <v>76.430000000000007</v>
      </c>
      <c r="L330" s="10">
        <v>142.09</v>
      </c>
      <c r="M330" s="10">
        <v>707.59</v>
      </c>
      <c r="N330" s="8">
        <v>2</v>
      </c>
      <c r="O330" s="6">
        <v>2.1</v>
      </c>
    </row>
    <row r="331" spans="1:15" x14ac:dyDescent="0.25">
      <c r="A331" s="8">
        <v>72070</v>
      </c>
      <c r="B331" s="9" t="s">
        <v>39</v>
      </c>
      <c r="C331" s="9" t="s">
        <v>57</v>
      </c>
      <c r="D331" s="9" t="s">
        <v>19</v>
      </c>
      <c r="E331" s="9" t="s">
        <v>13</v>
      </c>
      <c r="F331" s="9" t="str">
        <f t="shared" si="5"/>
        <v>Delivered</v>
      </c>
      <c r="G331" s="9" t="b">
        <v>1</v>
      </c>
      <c r="H331" s="9" t="s">
        <v>22</v>
      </c>
      <c r="I331" s="8">
        <v>2874</v>
      </c>
      <c r="J331" s="10">
        <v>806.45</v>
      </c>
      <c r="K331" s="10">
        <v>78.27</v>
      </c>
      <c r="L331" s="10">
        <v>179.8</v>
      </c>
      <c r="M331" s="10">
        <v>1064.52</v>
      </c>
      <c r="N331" s="8">
        <v>4</v>
      </c>
      <c r="O331" s="6">
        <v>4.3</v>
      </c>
    </row>
    <row r="332" spans="1:15" x14ac:dyDescent="0.25">
      <c r="A332" s="8">
        <v>83920</v>
      </c>
      <c r="B332" s="9" t="s">
        <v>39</v>
      </c>
      <c r="C332" s="9" t="s">
        <v>52</v>
      </c>
      <c r="D332" s="9" t="s">
        <v>12</v>
      </c>
      <c r="E332" s="9" t="s">
        <v>17</v>
      </c>
      <c r="F332" s="9" t="str">
        <f t="shared" si="5"/>
        <v>Not Delivered</v>
      </c>
      <c r="G332" s="9" t="b">
        <v>1</v>
      </c>
      <c r="H332" s="9" t="s">
        <v>14</v>
      </c>
      <c r="I332" s="8">
        <v>4571</v>
      </c>
      <c r="J332" s="10">
        <v>307.73</v>
      </c>
      <c r="K332" s="10">
        <v>66.11</v>
      </c>
      <c r="L332" s="10">
        <v>199.59</v>
      </c>
      <c r="M332" s="10">
        <v>573.42999999999995</v>
      </c>
      <c r="N332" s="8">
        <v>1</v>
      </c>
    </row>
    <row r="333" spans="1:15" x14ac:dyDescent="0.25">
      <c r="A333" s="8">
        <v>70952</v>
      </c>
      <c r="B333" s="9" t="s">
        <v>41</v>
      </c>
      <c r="C333" s="9" t="s">
        <v>42</v>
      </c>
      <c r="D333" s="9" t="s">
        <v>50</v>
      </c>
      <c r="E333" s="9" t="s">
        <v>13</v>
      </c>
      <c r="F333" s="9" t="str">
        <f t="shared" si="5"/>
        <v>Delivered</v>
      </c>
      <c r="G333" s="9" t="b">
        <v>1</v>
      </c>
      <c r="H333" s="9" t="s">
        <v>9</v>
      </c>
      <c r="I333" s="8">
        <v>5198</v>
      </c>
      <c r="J333" s="10">
        <v>628.12</v>
      </c>
      <c r="K333" s="10">
        <v>0</v>
      </c>
      <c r="L333" s="10">
        <v>47.62</v>
      </c>
      <c r="M333" s="10">
        <v>675.74</v>
      </c>
      <c r="N333" s="8">
        <v>11</v>
      </c>
      <c r="O333" s="6">
        <v>5</v>
      </c>
    </row>
    <row r="334" spans="1:15" x14ac:dyDescent="0.25">
      <c r="A334" s="8">
        <v>58351</v>
      </c>
      <c r="B334" s="9" t="s">
        <v>5</v>
      </c>
      <c r="C334" s="9" t="s">
        <v>6</v>
      </c>
      <c r="D334" s="9" t="s">
        <v>12</v>
      </c>
      <c r="E334" s="9" t="s">
        <v>17</v>
      </c>
      <c r="F334" s="9" t="str">
        <f t="shared" si="5"/>
        <v>Not Delivered</v>
      </c>
      <c r="G334" s="9" t="b">
        <v>0</v>
      </c>
      <c r="H334" s="9" t="s">
        <v>14</v>
      </c>
      <c r="I334" s="8">
        <v>3749</v>
      </c>
      <c r="J334" s="10">
        <v>2070.31</v>
      </c>
      <c r="K334" s="10">
        <v>135.22</v>
      </c>
      <c r="L334" s="10">
        <v>0</v>
      </c>
      <c r="M334" s="10">
        <v>2205.5300000000002</v>
      </c>
      <c r="N334" s="8">
        <v>13</v>
      </c>
      <c r="O334" s="6">
        <v>2.7</v>
      </c>
    </row>
    <row r="335" spans="1:15" x14ac:dyDescent="0.25">
      <c r="A335" s="8">
        <v>89415</v>
      </c>
      <c r="B335" s="9" t="s">
        <v>5</v>
      </c>
      <c r="C335" s="9" t="s">
        <v>6</v>
      </c>
      <c r="D335" s="9" t="s">
        <v>38</v>
      </c>
      <c r="E335" s="9" t="s">
        <v>17</v>
      </c>
      <c r="F335" s="9" t="str">
        <f t="shared" si="5"/>
        <v>Not Delivered</v>
      </c>
      <c r="G335" s="9" t="b">
        <v>0</v>
      </c>
      <c r="H335" s="9" t="s">
        <v>33</v>
      </c>
      <c r="I335" s="8">
        <v>2876</v>
      </c>
      <c r="J335" s="10">
        <v>2159.6</v>
      </c>
      <c r="K335" s="10">
        <v>67.05</v>
      </c>
      <c r="L335" s="10">
        <v>0</v>
      </c>
      <c r="M335" s="10">
        <v>2226.65</v>
      </c>
      <c r="N335" s="8">
        <v>8</v>
      </c>
      <c r="O335" s="6">
        <v>2.1</v>
      </c>
    </row>
    <row r="336" spans="1:15" x14ac:dyDescent="0.25">
      <c r="A336" s="8">
        <v>31465</v>
      </c>
      <c r="B336" s="9" t="s">
        <v>10</v>
      </c>
      <c r="C336" s="9" t="s">
        <v>29</v>
      </c>
      <c r="D336" s="9" t="s">
        <v>45</v>
      </c>
      <c r="E336" s="9" t="s">
        <v>3</v>
      </c>
      <c r="F336" s="9" t="str">
        <f t="shared" si="5"/>
        <v>Not Delivered</v>
      </c>
      <c r="G336" s="9" t="b">
        <v>0</v>
      </c>
      <c r="H336" s="9" t="s">
        <v>22</v>
      </c>
      <c r="I336" s="8">
        <v>6096</v>
      </c>
      <c r="J336" s="10">
        <v>316.27999999999997</v>
      </c>
      <c r="K336" s="10">
        <v>55.02</v>
      </c>
      <c r="L336" s="10">
        <v>0</v>
      </c>
      <c r="M336" s="10">
        <v>371.3</v>
      </c>
      <c r="N336" s="8">
        <v>5</v>
      </c>
      <c r="O336" s="6">
        <v>3.8</v>
      </c>
    </row>
    <row r="337" spans="1:15" x14ac:dyDescent="0.25">
      <c r="A337" s="8">
        <v>24168</v>
      </c>
      <c r="B337" s="9" t="s">
        <v>23</v>
      </c>
      <c r="C337" s="9" t="s">
        <v>60</v>
      </c>
      <c r="D337" s="9" t="s">
        <v>45</v>
      </c>
      <c r="E337" s="9" t="s">
        <v>32</v>
      </c>
      <c r="F337" s="9" t="str">
        <f t="shared" si="5"/>
        <v>Not Delivered</v>
      </c>
      <c r="G337" s="9" t="b">
        <v>1</v>
      </c>
      <c r="H337" s="9" t="s">
        <v>18</v>
      </c>
      <c r="I337" s="8">
        <v>1420</v>
      </c>
      <c r="J337" s="10">
        <v>527.66</v>
      </c>
      <c r="K337" s="10">
        <v>148.16</v>
      </c>
      <c r="L337" s="10">
        <v>35.4</v>
      </c>
      <c r="M337" s="10">
        <v>711.22</v>
      </c>
      <c r="N337" s="8">
        <v>10</v>
      </c>
      <c r="O337" s="6">
        <v>3.3</v>
      </c>
    </row>
    <row r="338" spans="1:15" x14ac:dyDescent="0.25">
      <c r="A338" s="8">
        <v>50888</v>
      </c>
      <c r="B338" s="9" t="s">
        <v>39</v>
      </c>
      <c r="C338" s="9" t="s">
        <v>52</v>
      </c>
      <c r="D338" s="9" t="s">
        <v>12</v>
      </c>
      <c r="E338" s="9" t="s">
        <v>13</v>
      </c>
      <c r="F338" s="9" t="str">
        <f t="shared" si="5"/>
        <v>Delivered</v>
      </c>
      <c r="G338" s="9" t="b">
        <v>1</v>
      </c>
      <c r="H338" s="9" t="s">
        <v>22</v>
      </c>
      <c r="I338" s="8">
        <v>7149</v>
      </c>
      <c r="J338" s="10">
        <v>948.13</v>
      </c>
      <c r="L338" s="10">
        <v>288.06</v>
      </c>
      <c r="M338" s="10">
        <v>1374.19</v>
      </c>
      <c r="N338" s="8">
        <v>2</v>
      </c>
      <c r="O338" s="6">
        <v>2.8</v>
      </c>
    </row>
    <row r="339" spans="1:15" x14ac:dyDescent="0.25">
      <c r="A339" s="8">
        <v>61990</v>
      </c>
      <c r="B339" s="9" t="s">
        <v>10</v>
      </c>
      <c r="C339" s="9" t="s">
        <v>26</v>
      </c>
      <c r="D339" s="9" t="s">
        <v>27</v>
      </c>
      <c r="E339" s="9" t="s">
        <v>8</v>
      </c>
      <c r="F339" s="9" t="str">
        <f t="shared" si="5"/>
        <v>Not Delivered</v>
      </c>
      <c r="G339" s="9" t="b">
        <v>1</v>
      </c>
      <c r="H339" s="9" t="s">
        <v>28</v>
      </c>
      <c r="I339" s="8">
        <v>4249</v>
      </c>
      <c r="J339" s="10">
        <v>1438.68</v>
      </c>
      <c r="K339" s="10">
        <v>126.75</v>
      </c>
      <c r="L339" s="10">
        <v>151.91</v>
      </c>
      <c r="M339" s="10">
        <v>1717.34</v>
      </c>
      <c r="N339" s="8">
        <v>12</v>
      </c>
      <c r="O339" s="6">
        <v>1.4</v>
      </c>
    </row>
    <row r="340" spans="1:15" x14ac:dyDescent="0.25">
      <c r="A340" s="8">
        <v>19961</v>
      </c>
      <c r="B340" s="9" t="s">
        <v>39</v>
      </c>
      <c r="C340" s="9" t="s">
        <v>52</v>
      </c>
      <c r="D340" s="9" t="s">
        <v>45</v>
      </c>
      <c r="E340" s="9" t="s">
        <v>32</v>
      </c>
      <c r="F340" s="9" t="str">
        <f t="shared" si="5"/>
        <v>Not Delivered</v>
      </c>
      <c r="G340" s="9" t="b">
        <v>1</v>
      </c>
      <c r="H340" s="9" t="s">
        <v>4</v>
      </c>
      <c r="I340" s="8">
        <v>4978</v>
      </c>
      <c r="J340" s="10">
        <v>1022.47</v>
      </c>
      <c r="L340" s="10">
        <v>41.08</v>
      </c>
      <c r="M340" s="10">
        <v>1128.42</v>
      </c>
      <c r="N340" s="8">
        <v>3</v>
      </c>
      <c r="O340" s="6">
        <v>2.9</v>
      </c>
    </row>
    <row r="341" spans="1:15" x14ac:dyDescent="0.25">
      <c r="A341" s="8">
        <v>23356</v>
      </c>
      <c r="B341" s="9" t="s">
        <v>39</v>
      </c>
      <c r="C341" s="9" t="s">
        <v>52</v>
      </c>
      <c r="D341" s="9" t="s">
        <v>45</v>
      </c>
      <c r="E341" s="9" t="s">
        <v>3</v>
      </c>
      <c r="F341" s="9" t="str">
        <f t="shared" si="5"/>
        <v>Not Delivered</v>
      </c>
      <c r="G341" s="9" t="b">
        <v>1</v>
      </c>
      <c r="H341" s="9" t="s">
        <v>14</v>
      </c>
      <c r="I341" s="8">
        <v>5941</v>
      </c>
      <c r="J341" s="10">
        <v>422.07</v>
      </c>
      <c r="K341" s="10">
        <v>97.76</v>
      </c>
      <c r="L341" s="10">
        <v>77.52</v>
      </c>
      <c r="M341" s="10">
        <v>597.35</v>
      </c>
      <c r="N341" s="8">
        <v>7</v>
      </c>
      <c r="O341" s="6">
        <v>1.9</v>
      </c>
    </row>
    <row r="342" spans="1:15" x14ac:dyDescent="0.25">
      <c r="A342" s="8">
        <v>99687</v>
      </c>
      <c r="B342" s="9" t="s">
        <v>41</v>
      </c>
      <c r="C342" s="9" t="s">
        <v>42</v>
      </c>
      <c r="D342" s="9" t="s">
        <v>25</v>
      </c>
      <c r="E342" s="9" t="s">
        <v>17</v>
      </c>
      <c r="F342" s="9" t="str">
        <f t="shared" si="5"/>
        <v>Not Delivered</v>
      </c>
      <c r="G342" s="9" t="b">
        <v>0</v>
      </c>
      <c r="H342" s="9" t="s">
        <v>9</v>
      </c>
      <c r="I342" s="8">
        <v>2983</v>
      </c>
      <c r="J342" s="10">
        <v>493.64</v>
      </c>
      <c r="K342" s="10">
        <v>62.38</v>
      </c>
      <c r="L342" s="10">
        <v>0</v>
      </c>
      <c r="M342" s="10">
        <v>556.02</v>
      </c>
      <c r="N342" s="8">
        <v>2</v>
      </c>
      <c r="O342" s="6">
        <v>4</v>
      </c>
    </row>
    <row r="343" spans="1:15" x14ac:dyDescent="0.25">
      <c r="A343" s="8">
        <v>84177</v>
      </c>
      <c r="B343" s="9" t="s">
        <v>39</v>
      </c>
      <c r="C343" s="9" t="s">
        <v>57</v>
      </c>
      <c r="D343" s="9" t="s">
        <v>35</v>
      </c>
      <c r="E343" s="9" t="s">
        <v>13</v>
      </c>
      <c r="F343" s="9" t="str">
        <f t="shared" si="5"/>
        <v>Delivered</v>
      </c>
      <c r="G343" s="9" t="b">
        <v>1</v>
      </c>
      <c r="H343" s="9" t="s">
        <v>14</v>
      </c>
      <c r="I343" s="8">
        <v>1672</v>
      </c>
      <c r="J343" s="10">
        <v>871.13</v>
      </c>
      <c r="K343" s="10">
        <v>0</v>
      </c>
      <c r="L343" s="10">
        <v>189.01</v>
      </c>
      <c r="M343" s="10">
        <v>1060.1400000000001</v>
      </c>
      <c r="N343" s="8">
        <v>9</v>
      </c>
      <c r="O343" s="6">
        <v>3.7</v>
      </c>
    </row>
    <row r="344" spans="1:15" x14ac:dyDescent="0.25">
      <c r="A344" s="8">
        <v>55508</v>
      </c>
      <c r="B344" s="9" t="s">
        <v>5</v>
      </c>
      <c r="C344" s="9" t="s">
        <v>36</v>
      </c>
      <c r="E344" s="9" t="s">
        <v>17</v>
      </c>
      <c r="F344" s="9" t="str">
        <f t="shared" si="5"/>
        <v>Not Delivered</v>
      </c>
      <c r="G344" s="9" t="b">
        <v>0</v>
      </c>
      <c r="H344" s="9" t="s">
        <v>14</v>
      </c>
      <c r="I344" s="8">
        <v>9728</v>
      </c>
      <c r="J344" s="10">
        <v>2141.9299999999998</v>
      </c>
      <c r="K344" s="10">
        <v>126.74</v>
      </c>
      <c r="L344" s="10">
        <v>0</v>
      </c>
      <c r="M344" s="10">
        <v>2268.67</v>
      </c>
      <c r="N344" s="8">
        <v>12</v>
      </c>
      <c r="O344" s="6">
        <v>3.9</v>
      </c>
    </row>
    <row r="345" spans="1:15" x14ac:dyDescent="0.25">
      <c r="A345" s="8">
        <v>66148</v>
      </c>
      <c r="B345" s="9" t="s">
        <v>0</v>
      </c>
      <c r="C345" s="9" t="s">
        <v>53</v>
      </c>
      <c r="D345" s="9" t="s">
        <v>25</v>
      </c>
      <c r="E345" s="9" t="s">
        <v>32</v>
      </c>
      <c r="F345" s="9" t="str">
        <f t="shared" si="5"/>
        <v>Not Delivered</v>
      </c>
      <c r="G345" s="9" t="b">
        <v>0</v>
      </c>
      <c r="H345" s="9" t="s">
        <v>9</v>
      </c>
      <c r="I345" s="8">
        <v>7071</v>
      </c>
      <c r="J345" s="10">
        <v>153.62</v>
      </c>
      <c r="K345" s="10">
        <v>51.64</v>
      </c>
      <c r="L345" s="10">
        <v>0</v>
      </c>
      <c r="M345" s="10">
        <v>205.26</v>
      </c>
      <c r="N345" s="8">
        <v>9</v>
      </c>
      <c r="O345" s="6">
        <v>3.8</v>
      </c>
    </row>
    <row r="346" spans="1:15" x14ac:dyDescent="0.25">
      <c r="A346" s="8">
        <v>19038</v>
      </c>
      <c r="B346" s="9" t="s">
        <v>23</v>
      </c>
      <c r="C346" s="9" t="s">
        <v>48</v>
      </c>
      <c r="D346" s="9" t="s">
        <v>19</v>
      </c>
      <c r="E346" s="9" t="s">
        <v>8</v>
      </c>
      <c r="F346" s="9" t="str">
        <f t="shared" si="5"/>
        <v>Not Delivered</v>
      </c>
      <c r="G346" s="9" t="b">
        <v>1</v>
      </c>
      <c r="H346" s="9" t="s">
        <v>33</v>
      </c>
      <c r="I346" s="8">
        <v>9289</v>
      </c>
      <c r="J346" s="10">
        <v>2266.16</v>
      </c>
      <c r="K346" s="10">
        <v>75.430000000000007</v>
      </c>
      <c r="L346" s="10">
        <v>56.04</v>
      </c>
      <c r="M346" s="10">
        <v>2397.63</v>
      </c>
      <c r="N346" s="8">
        <v>14</v>
      </c>
      <c r="O346" s="6">
        <v>2.8</v>
      </c>
    </row>
    <row r="347" spans="1:15" x14ac:dyDescent="0.25">
      <c r="A347" s="8">
        <v>94874</v>
      </c>
      <c r="B347" s="9" t="s">
        <v>5</v>
      </c>
      <c r="C347" s="9" t="s">
        <v>44</v>
      </c>
      <c r="D347" s="9" t="s">
        <v>45</v>
      </c>
      <c r="E347" s="9" t="s">
        <v>17</v>
      </c>
      <c r="F347" s="9" t="str">
        <f t="shared" si="5"/>
        <v>Not Delivered</v>
      </c>
      <c r="G347" s="9" t="b">
        <v>1</v>
      </c>
      <c r="H347" s="9" t="s">
        <v>18</v>
      </c>
      <c r="I347" s="8">
        <v>6590</v>
      </c>
      <c r="J347" s="10">
        <v>306.95</v>
      </c>
      <c r="K347" s="10">
        <v>72.489999999999995</v>
      </c>
      <c r="L347" s="10">
        <v>218.61</v>
      </c>
      <c r="M347" s="10">
        <v>598.04999999999995</v>
      </c>
      <c r="N347" s="8">
        <v>10</v>
      </c>
      <c r="O347" s="6">
        <v>1.5</v>
      </c>
    </row>
    <row r="348" spans="1:15" x14ac:dyDescent="0.25">
      <c r="A348" s="8">
        <v>11658</v>
      </c>
      <c r="B348" s="9" t="s">
        <v>0</v>
      </c>
      <c r="C348" s="9" t="s">
        <v>1</v>
      </c>
      <c r="D348" s="9" t="s">
        <v>27</v>
      </c>
      <c r="E348" s="9" t="s">
        <v>21</v>
      </c>
      <c r="F348" s="9" t="str">
        <f t="shared" si="5"/>
        <v>Not Delivered</v>
      </c>
      <c r="G348" s="9" t="b">
        <v>1</v>
      </c>
      <c r="H348" s="9" t="s">
        <v>18</v>
      </c>
      <c r="I348" s="8">
        <v>7882</v>
      </c>
      <c r="J348" s="10">
        <v>1062.82</v>
      </c>
      <c r="K348" s="10">
        <v>108.51</v>
      </c>
      <c r="L348" s="10">
        <v>86.52</v>
      </c>
      <c r="M348" s="10">
        <v>1257.8499999999999</v>
      </c>
      <c r="N348" s="8">
        <v>3</v>
      </c>
    </row>
    <row r="349" spans="1:15" x14ac:dyDescent="0.25">
      <c r="A349" s="8">
        <v>74251</v>
      </c>
      <c r="B349" s="9" t="s">
        <v>10</v>
      </c>
      <c r="C349" s="9" t="s">
        <v>15</v>
      </c>
      <c r="D349" s="9" t="s">
        <v>7</v>
      </c>
      <c r="E349" s="9" t="s">
        <v>32</v>
      </c>
      <c r="F349" s="9" t="str">
        <f t="shared" si="5"/>
        <v>Not Delivered</v>
      </c>
      <c r="G349" s="9" t="b">
        <v>1</v>
      </c>
      <c r="H349" s="9" t="s">
        <v>9</v>
      </c>
      <c r="I349" s="8">
        <v>2729</v>
      </c>
      <c r="J349" s="10">
        <v>1774.64</v>
      </c>
      <c r="K349" s="10">
        <v>110.9</v>
      </c>
      <c r="L349" s="10">
        <v>139.79</v>
      </c>
      <c r="M349" s="10">
        <v>2025.33</v>
      </c>
      <c r="N349" s="8">
        <v>6</v>
      </c>
      <c r="O349" s="6">
        <v>2.8</v>
      </c>
    </row>
    <row r="350" spans="1:15" x14ac:dyDescent="0.25">
      <c r="A350" s="8">
        <v>66822</v>
      </c>
      <c r="B350" s="9" t="s">
        <v>41</v>
      </c>
      <c r="C350" s="9" t="s">
        <v>61</v>
      </c>
      <c r="D350" s="9" t="s">
        <v>27</v>
      </c>
      <c r="E350" s="9" t="s">
        <v>32</v>
      </c>
      <c r="F350" s="9" t="str">
        <f t="shared" si="5"/>
        <v>Not Delivered</v>
      </c>
      <c r="G350" s="9" t="b">
        <v>1</v>
      </c>
      <c r="H350" s="9" t="s">
        <v>22</v>
      </c>
      <c r="I350" s="8">
        <v>6934</v>
      </c>
      <c r="J350" s="10">
        <v>2154.7600000000002</v>
      </c>
      <c r="K350" s="10">
        <v>81.39</v>
      </c>
      <c r="L350" s="10">
        <v>60.49</v>
      </c>
      <c r="M350" s="10">
        <v>2296.64</v>
      </c>
      <c r="N350" s="8">
        <v>12</v>
      </c>
      <c r="O350" s="6">
        <v>2.4</v>
      </c>
    </row>
    <row r="351" spans="1:15" x14ac:dyDescent="0.25">
      <c r="A351" s="8">
        <v>93307</v>
      </c>
      <c r="B351" s="9" t="s">
        <v>0</v>
      </c>
      <c r="C351" s="9" t="s">
        <v>53</v>
      </c>
      <c r="D351" s="9" t="s">
        <v>16</v>
      </c>
      <c r="E351" s="9" t="s">
        <v>8</v>
      </c>
      <c r="F351" s="9" t="str">
        <f t="shared" si="5"/>
        <v>Not Delivered</v>
      </c>
      <c r="G351" s="9" t="b">
        <v>1</v>
      </c>
      <c r="H351" s="9" t="s">
        <v>22</v>
      </c>
      <c r="I351" s="8">
        <v>8532</v>
      </c>
      <c r="J351" s="10">
        <v>981.42</v>
      </c>
      <c r="K351" s="10">
        <v>82.24</v>
      </c>
      <c r="L351" s="10">
        <v>156.22999999999999</v>
      </c>
      <c r="M351" s="10">
        <v>1219.8900000000001</v>
      </c>
      <c r="N351" s="8">
        <v>10</v>
      </c>
      <c r="O351" s="6">
        <v>3.7</v>
      </c>
    </row>
    <row r="352" spans="1:15" x14ac:dyDescent="0.25">
      <c r="A352" s="8">
        <v>30052</v>
      </c>
      <c r="B352" s="9" t="s">
        <v>41</v>
      </c>
      <c r="C352" s="9" t="s">
        <v>61</v>
      </c>
      <c r="E352" s="9" t="s">
        <v>13</v>
      </c>
      <c r="F352" s="9" t="str">
        <f t="shared" si="5"/>
        <v>Delivered</v>
      </c>
      <c r="G352" s="9" t="b">
        <v>1</v>
      </c>
      <c r="H352" s="9" t="s">
        <v>22</v>
      </c>
      <c r="I352" s="8">
        <v>8135</v>
      </c>
      <c r="J352" s="10">
        <v>2230.4499999999998</v>
      </c>
      <c r="K352" s="10">
        <v>51.28</v>
      </c>
      <c r="L352" s="10">
        <v>34.520000000000003</v>
      </c>
      <c r="M352" s="10">
        <v>2316.25</v>
      </c>
      <c r="N352" s="8">
        <v>1</v>
      </c>
      <c r="O352" s="6">
        <v>1.8</v>
      </c>
    </row>
    <row r="353" spans="1:15" x14ac:dyDescent="0.25">
      <c r="A353" s="8">
        <v>33086</v>
      </c>
      <c r="B353" s="9" t="s">
        <v>10</v>
      </c>
      <c r="C353" s="9" t="s">
        <v>29</v>
      </c>
      <c r="D353" s="9" t="s">
        <v>30</v>
      </c>
      <c r="E353" s="9" t="s">
        <v>32</v>
      </c>
      <c r="F353" s="9" t="str">
        <f t="shared" si="5"/>
        <v>Not Delivered</v>
      </c>
      <c r="G353" s="9" t="b">
        <v>1</v>
      </c>
      <c r="H353" s="9" t="s">
        <v>22</v>
      </c>
      <c r="I353" s="8">
        <v>9548</v>
      </c>
      <c r="J353" s="10">
        <v>1694.83</v>
      </c>
      <c r="K353" s="10">
        <v>79.510000000000005</v>
      </c>
      <c r="L353" s="10">
        <v>181.4</v>
      </c>
      <c r="M353" s="10">
        <v>1955.74</v>
      </c>
      <c r="N353" s="8">
        <v>2</v>
      </c>
      <c r="O353" s="6">
        <v>3.7</v>
      </c>
    </row>
    <row r="354" spans="1:15" x14ac:dyDescent="0.25">
      <c r="A354" s="8">
        <v>95256</v>
      </c>
      <c r="B354" s="9" t="s">
        <v>0</v>
      </c>
      <c r="C354" s="9" t="s">
        <v>43</v>
      </c>
      <c r="D354" s="9" t="s">
        <v>16</v>
      </c>
      <c r="E354" s="9" t="s">
        <v>3</v>
      </c>
      <c r="F354" s="9" t="str">
        <f t="shared" si="5"/>
        <v>Not Delivered</v>
      </c>
      <c r="G354" s="9" t="b">
        <v>0</v>
      </c>
      <c r="H354" s="9" t="s">
        <v>14</v>
      </c>
      <c r="I354" s="8">
        <v>5425</v>
      </c>
      <c r="J354" s="10">
        <v>791.66</v>
      </c>
      <c r="K354" s="10">
        <v>129.68</v>
      </c>
      <c r="L354" s="10">
        <v>0</v>
      </c>
      <c r="M354" s="10">
        <v>921.34</v>
      </c>
      <c r="N354" s="8">
        <v>12</v>
      </c>
      <c r="O354" s="6">
        <v>4.7</v>
      </c>
    </row>
    <row r="355" spans="1:15" x14ac:dyDescent="0.25">
      <c r="A355" s="8">
        <v>90728</v>
      </c>
      <c r="B355" s="9" t="s">
        <v>0</v>
      </c>
      <c r="C355" s="9" t="s">
        <v>51</v>
      </c>
      <c r="D355" s="9" t="s">
        <v>45</v>
      </c>
      <c r="E355" s="9" t="s">
        <v>32</v>
      </c>
      <c r="F355" s="9" t="str">
        <f t="shared" si="5"/>
        <v>Not Delivered</v>
      </c>
      <c r="G355" s="9" t="b">
        <v>0</v>
      </c>
      <c r="H355" s="9" t="s">
        <v>22</v>
      </c>
      <c r="I355" s="8">
        <v>9817</v>
      </c>
      <c r="J355" s="10">
        <v>1743.62</v>
      </c>
      <c r="K355" s="10">
        <v>0</v>
      </c>
      <c r="L355" s="10">
        <v>0</v>
      </c>
      <c r="M355" s="10">
        <v>1743.62</v>
      </c>
      <c r="N355" s="8">
        <v>4</v>
      </c>
      <c r="O355" s="6">
        <v>4.0999999999999996</v>
      </c>
    </row>
    <row r="356" spans="1:15" x14ac:dyDescent="0.25">
      <c r="A356" s="8">
        <v>73372</v>
      </c>
      <c r="B356" s="9" t="s">
        <v>0</v>
      </c>
      <c r="C356" s="9" t="s">
        <v>51</v>
      </c>
      <c r="D356" s="9" t="s">
        <v>7</v>
      </c>
      <c r="E356" s="9" t="s">
        <v>8</v>
      </c>
      <c r="F356" s="9" t="str">
        <f t="shared" si="5"/>
        <v>Not Delivered</v>
      </c>
      <c r="G356" s="9" t="b">
        <v>1</v>
      </c>
      <c r="H356" s="9" t="s">
        <v>18</v>
      </c>
      <c r="I356" s="8">
        <v>8616</v>
      </c>
      <c r="J356" s="10">
        <v>1395.93</v>
      </c>
      <c r="K356" s="10">
        <v>110.34</v>
      </c>
      <c r="L356" s="10">
        <v>144.88</v>
      </c>
      <c r="M356" s="10">
        <v>1651.15</v>
      </c>
      <c r="N356" s="8">
        <v>11</v>
      </c>
    </row>
    <row r="357" spans="1:15" x14ac:dyDescent="0.25">
      <c r="A357" s="8">
        <v>67091</v>
      </c>
      <c r="B357" s="9" t="s">
        <v>5</v>
      </c>
      <c r="C357" s="9" t="s">
        <v>44</v>
      </c>
      <c r="D357" s="9" t="s">
        <v>25</v>
      </c>
      <c r="E357" s="9" t="s">
        <v>13</v>
      </c>
      <c r="F357" s="9" t="str">
        <f t="shared" si="5"/>
        <v>Delivered</v>
      </c>
      <c r="G357" s="9" t="b">
        <v>0</v>
      </c>
      <c r="H357" s="9" t="s">
        <v>9</v>
      </c>
      <c r="I357" s="8">
        <v>5397</v>
      </c>
      <c r="J357" s="10">
        <v>293.45999999999998</v>
      </c>
      <c r="K357" s="10">
        <v>45.93</v>
      </c>
      <c r="L357" s="10">
        <v>0</v>
      </c>
      <c r="M357" s="10">
        <v>339.39</v>
      </c>
      <c r="N357" s="8">
        <v>3</v>
      </c>
      <c r="O357" s="6">
        <v>4.4000000000000004</v>
      </c>
    </row>
    <row r="358" spans="1:15" x14ac:dyDescent="0.25">
      <c r="A358" s="8">
        <v>52245</v>
      </c>
      <c r="B358" s="9" t="s">
        <v>0</v>
      </c>
      <c r="C358" s="9" t="s">
        <v>53</v>
      </c>
      <c r="D358" s="9" t="s">
        <v>38</v>
      </c>
      <c r="E358" s="9" t="s">
        <v>13</v>
      </c>
      <c r="F358" s="9" t="str">
        <f t="shared" si="5"/>
        <v>Delivered</v>
      </c>
      <c r="G358" s="9" t="b">
        <v>1</v>
      </c>
      <c r="H358" s="9" t="s">
        <v>18</v>
      </c>
      <c r="I358" s="8">
        <v>5022</v>
      </c>
      <c r="J358" s="10">
        <v>215.9</v>
      </c>
      <c r="K358" s="10">
        <v>94.65</v>
      </c>
      <c r="L358" s="10">
        <v>149.06</v>
      </c>
      <c r="M358" s="10">
        <v>459.61</v>
      </c>
      <c r="N358" s="8">
        <v>10</v>
      </c>
      <c r="O358" s="6">
        <v>1.3</v>
      </c>
    </row>
    <row r="359" spans="1:15" x14ac:dyDescent="0.25">
      <c r="A359" s="8">
        <v>21359</v>
      </c>
      <c r="B359" s="9" t="s">
        <v>23</v>
      </c>
      <c r="C359" s="9" t="s">
        <v>24</v>
      </c>
      <c r="D359" s="9" t="s">
        <v>27</v>
      </c>
      <c r="E359" s="9" t="s">
        <v>13</v>
      </c>
      <c r="F359" s="9" t="str">
        <f t="shared" si="5"/>
        <v>Delivered</v>
      </c>
      <c r="G359" s="9" t="b">
        <v>0</v>
      </c>
      <c r="H359" s="9" t="s">
        <v>33</v>
      </c>
      <c r="I359" s="8">
        <v>5569</v>
      </c>
      <c r="J359" s="10">
        <v>1633.73</v>
      </c>
      <c r="K359" s="10">
        <v>65.94</v>
      </c>
      <c r="L359" s="10">
        <v>0</v>
      </c>
      <c r="M359" s="10">
        <v>1699.67</v>
      </c>
      <c r="N359" s="8">
        <v>2</v>
      </c>
      <c r="O359" s="6">
        <v>4.5</v>
      </c>
    </row>
    <row r="360" spans="1:15" x14ac:dyDescent="0.25">
      <c r="A360" s="8">
        <v>69087</v>
      </c>
      <c r="B360" s="9" t="s">
        <v>10</v>
      </c>
      <c r="C360" s="9" t="s">
        <v>11</v>
      </c>
      <c r="D360" s="9" t="s">
        <v>2</v>
      </c>
      <c r="E360" s="9" t="s">
        <v>32</v>
      </c>
      <c r="F360" s="9" t="str">
        <f t="shared" si="5"/>
        <v>Not Delivered</v>
      </c>
      <c r="G360" s="9" t="b">
        <v>1</v>
      </c>
      <c r="H360" s="9" t="s">
        <v>4</v>
      </c>
      <c r="I360" s="8">
        <v>4995</v>
      </c>
      <c r="J360" s="10">
        <v>515.04999999999995</v>
      </c>
      <c r="K360" s="10">
        <v>103.05</v>
      </c>
      <c r="L360" s="10">
        <v>41.72</v>
      </c>
      <c r="M360" s="10">
        <v>659.82</v>
      </c>
      <c r="N360" s="8">
        <v>8</v>
      </c>
      <c r="O360" s="6">
        <v>3.6</v>
      </c>
    </row>
    <row r="361" spans="1:15" x14ac:dyDescent="0.25">
      <c r="A361" s="8">
        <v>70910</v>
      </c>
      <c r="B361" s="9" t="s">
        <v>0</v>
      </c>
      <c r="C361" s="9" t="s">
        <v>51</v>
      </c>
      <c r="D361" s="9" t="s">
        <v>30</v>
      </c>
      <c r="E361" s="9" t="s">
        <v>13</v>
      </c>
      <c r="F361" s="9" t="str">
        <f t="shared" si="5"/>
        <v>Delivered</v>
      </c>
      <c r="G361" s="9" t="b">
        <v>0</v>
      </c>
      <c r="H361" s="9" t="s">
        <v>18</v>
      </c>
      <c r="I361" s="8">
        <v>7209</v>
      </c>
      <c r="J361" s="10">
        <v>779.26</v>
      </c>
      <c r="K361" s="10">
        <v>61.34</v>
      </c>
      <c r="L361" s="10">
        <v>0</v>
      </c>
      <c r="M361" s="10">
        <v>840.6</v>
      </c>
      <c r="N361" s="8">
        <v>9</v>
      </c>
      <c r="O361" s="6">
        <v>1.1000000000000001</v>
      </c>
    </row>
    <row r="362" spans="1:15" x14ac:dyDescent="0.25">
      <c r="A362" s="8">
        <v>54092</v>
      </c>
      <c r="B362" s="9" t="s">
        <v>41</v>
      </c>
      <c r="C362" s="9" t="s">
        <v>42</v>
      </c>
      <c r="D362" s="9" t="s">
        <v>30</v>
      </c>
      <c r="E362" s="9" t="s">
        <v>21</v>
      </c>
      <c r="F362" s="9" t="str">
        <f t="shared" si="5"/>
        <v>Not Delivered</v>
      </c>
      <c r="G362" s="9" t="b">
        <v>1</v>
      </c>
      <c r="H362" s="9" t="s">
        <v>4</v>
      </c>
      <c r="I362" s="8">
        <v>1470</v>
      </c>
      <c r="J362" s="10">
        <v>1370.97</v>
      </c>
      <c r="K362" s="10">
        <v>0</v>
      </c>
      <c r="L362" s="10">
        <v>151.38999999999999</v>
      </c>
      <c r="M362" s="10">
        <v>1522.36</v>
      </c>
      <c r="N362" s="8">
        <v>2</v>
      </c>
      <c r="O362" s="6">
        <v>4.8</v>
      </c>
    </row>
    <row r="363" spans="1:15" x14ac:dyDescent="0.25">
      <c r="A363" s="8">
        <v>74789</v>
      </c>
      <c r="B363" s="9" t="s">
        <v>0</v>
      </c>
      <c r="C363" s="9" t="s">
        <v>1</v>
      </c>
      <c r="D363" s="9" t="s">
        <v>38</v>
      </c>
      <c r="E363" s="9" t="s">
        <v>3</v>
      </c>
      <c r="F363" s="9" t="str">
        <f t="shared" si="5"/>
        <v>Not Delivered</v>
      </c>
      <c r="G363" s="9" t="b">
        <v>1</v>
      </c>
      <c r="H363" s="9" t="s">
        <v>22</v>
      </c>
      <c r="I363" s="8">
        <v>6325</v>
      </c>
      <c r="J363" s="10">
        <v>497.79</v>
      </c>
      <c r="K363" s="10">
        <v>72.209999999999994</v>
      </c>
      <c r="L363" s="10">
        <v>275.35000000000002</v>
      </c>
      <c r="M363" s="10">
        <v>845.35</v>
      </c>
      <c r="N363" s="8">
        <v>4</v>
      </c>
      <c r="O363" s="6">
        <v>3.8</v>
      </c>
    </row>
    <row r="364" spans="1:15" x14ac:dyDescent="0.25">
      <c r="A364" s="8">
        <v>33834</v>
      </c>
      <c r="B364" s="9" t="s">
        <v>5</v>
      </c>
      <c r="C364" s="9" t="s">
        <v>31</v>
      </c>
      <c r="D364" s="9" t="s">
        <v>25</v>
      </c>
      <c r="E364" s="9" t="s">
        <v>32</v>
      </c>
      <c r="F364" s="9" t="str">
        <f t="shared" si="5"/>
        <v>Not Delivered</v>
      </c>
      <c r="G364" s="9" t="b">
        <v>0</v>
      </c>
      <c r="H364" s="9" t="s">
        <v>14</v>
      </c>
      <c r="I364" s="8">
        <v>8988</v>
      </c>
      <c r="J364" s="10">
        <v>1777.9</v>
      </c>
      <c r="K364" s="10">
        <v>0</v>
      </c>
      <c r="L364" s="10">
        <v>0</v>
      </c>
      <c r="M364" s="10">
        <v>1777.9</v>
      </c>
      <c r="N364" s="8">
        <v>1</v>
      </c>
    </row>
    <row r="365" spans="1:15" x14ac:dyDescent="0.25">
      <c r="A365" s="8">
        <v>37802</v>
      </c>
      <c r="B365" s="9" t="s">
        <v>10</v>
      </c>
      <c r="C365" s="9" t="s">
        <v>15</v>
      </c>
      <c r="D365" s="9" t="s">
        <v>16</v>
      </c>
      <c r="E365" s="9" t="s">
        <v>13</v>
      </c>
      <c r="F365" s="9" t="str">
        <f t="shared" si="5"/>
        <v>Delivered</v>
      </c>
      <c r="G365" s="9" t="b">
        <v>0</v>
      </c>
      <c r="H365" s="9" t="s">
        <v>4</v>
      </c>
      <c r="I365" s="8">
        <v>6813</v>
      </c>
      <c r="J365" s="10">
        <v>233.84</v>
      </c>
      <c r="K365" s="10">
        <v>86.62</v>
      </c>
      <c r="L365" s="10">
        <v>0</v>
      </c>
      <c r="M365" s="10">
        <v>320.45999999999998</v>
      </c>
      <c r="N365" s="8">
        <v>7</v>
      </c>
      <c r="O365" s="6">
        <v>3.5</v>
      </c>
    </row>
    <row r="366" spans="1:15" x14ac:dyDescent="0.25">
      <c r="A366" s="8">
        <v>43862</v>
      </c>
      <c r="B366" s="9" t="s">
        <v>39</v>
      </c>
      <c r="C366" s="9" t="s">
        <v>57</v>
      </c>
      <c r="D366" s="9" t="s">
        <v>27</v>
      </c>
      <c r="E366" s="9" t="s">
        <v>13</v>
      </c>
      <c r="F366" s="9" t="str">
        <f t="shared" si="5"/>
        <v>Delivered</v>
      </c>
      <c r="G366" s="9" t="b">
        <v>1</v>
      </c>
      <c r="H366" s="9" t="s">
        <v>18</v>
      </c>
      <c r="I366" s="8">
        <v>6576</v>
      </c>
      <c r="J366" s="10">
        <v>839.46</v>
      </c>
      <c r="K366" s="10">
        <v>111.83</v>
      </c>
      <c r="L366" s="10">
        <v>33.94</v>
      </c>
      <c r="M366" s="10">
        <v>985.23</v>
      </c>
      <c r="N366" s="8">
        <v>9</v>
      </c>
    </row>
    <row r="367" spans="1:15" x14ac:dyDescent="0.25">
      <c r="A367" s="8">
        <v>46655</v>
      </c>
      <c r="B367" s="9" t="s">
        <v>5</v>
      </c>
      <c r="C367" s="9" t="s">
        <v>56</v>
      </c>
      <c r="D367" s="9" t="s">
        <v>16</v>
      </c>
      <c r="E367" s="9" t="s">
        <v>21</v>
      </c>
      <c r="F367" s="9" t="str">
        <f t="shared" si="5"/>
        <v>Not Delivered</v>
      </c>
      <c r="G367" s="9" t="b">
        <v>1</v>
      </c>
      <c r="H367" s="9" t="s">
        <v>33</v>
      </c>
      <c r="I367" s="8">
        <v>5526</v>
      </c>
      <c r="J367" s="10">
        <v>1960.13</v>
      </c>
      <c r="K367" s="10">
        <v>89.51</v>
      </c>
      <c r="L367" s="10">
        <v>173.45</v>
      </c>
      <c r="M367" s="10">
        <v>2223.09</v>
      </c>
      <c r="N367" s="8">
        <v>4</v>
      </c>
    </row>
    <row r="368" spans="1:15" x14ac:dyDescent="0.25">
      <c r="A368" s="8">
        <v>82848</v>
      </c>
      <c r="B368" s="9" t="s">
        <v>0</v>
      </c>
      <c r="C368" s="9" t="s">
        <v>53</v>
      </c>
      <c r="D368" s="9" t="s">
        <v>12</v>
      </c>
      <c r="E368" s="9" t="s">
        <v>17</v>
      </c>
      <c r="F368" s="9" t="str">
        <f t="shared" si="5"/>
        <v>Not Delivered</v>
      </c>
      <c r="G368" s="9" t="b">
        <v>0</v>
      </c>
      <c r="H368" s="9" t="s">
        <v>4</v>
      </c>
      <c r="I368" s="8">
        <v>1166</v>
      </c>
      <c r="J368" s="10">
        <v>641.79</v>
      </c>
      <c r="K368" s="10">
        <v>146.54</v>
      </c>
      <c r="L368" s="10">
        <v>0</v>
      </c>
      <c r="M368" s="10">
        <v>788.33</v>
      </c>
      <c r="N368" s="8">
        <v>1</v>
      </c>
      <c r="O368" s="6">
        <v>3.2</v>
      </c>
    </row>
    <row r="369" spans="1:15" x14ac:dyDescent="0.25">
      <c r="A369" s="8">
        <v>77715</v>
      </c>
      <c r="B369" s="9" t="s">
        <v>41</v>
      </c>
      <c r="C369" s="9" t="s">
        <v>42</v>
      </c>
      <c r="E369" s="9" t="s">
        <v>32</v>
      </c>
      <c r="F369" s="9" t="str">
        <f t="shared" si="5"/>
        <v>Not Delivered</v>
      </c>
      <c r="G369" s="9" t="b">
        <v>0</v>
      </c>
      <c r="H369" s="9" t="s">
        <v>28</v>
      </c>
      <c r="I369" s="8">
        <v>4130</v>
      </c>
      <c r="J369" s="10">
        <v>1481.73</v>
      </c>
      <c r="K369" s="10">
        <v>80.47</v>
      </c>
      <c r="L369" s="10">
        <v>0</v>
      </c>
      <c r="M369" s="10">
        <v>1562.2</v>
      </c>
      <c r="N369" s="8">
        <v>4</v>
      </c>
      <c r="O369" s="6">
        <v>3.6</v>
      </c>
    </row>
    <row r="370" spans="1:15" x14ac:dyDescent="0.25">
      <c r="A370" s="8">
        <v>21221</v>
      </c>
      <c r="B370" s="9" t="s">
        <v>23</v>
      </c>
      <c r="C370" s="9" t="s">
        <v>24</v>
      </c>
      <c r="D370" s="9" t="s">
        <v>30</v>
      </c>
      <c r="E370" s="9" t="s">
        <v>3</v>
      </c>
      <c r="F370" s="9" t="str">
        <f t="shared" si="5"/>
        <v>Not Delivered</v>
      </c>
      <c r="G370" s="9" t="b">
        <v>1</v>
      </c>
      <c r="H370" s="9" t="s">
        <v>22</v>
      </c>
      <c r="I370" s="8">
        <v>4954</v>
      </c>
      <c r="J370" s="10">
        <v>1908.12</v>
      </c>
      <c r="K370" s="10">
        <v>0</v>
      </c>
      <c r="L370" s="10">
        <v>83.55</v>
      </c>
      <c r="M370" s="10">
        <v>1991.67</v>
      </c>
      <c r="N370" s="8">
        <v>10</v>
      </c>
      <c r="O370" s="6">
        <v>4.4000000000000004</v>
      </c>
    </row>
    <row r="371" spans="1:15" x14ac:dyDescent="0.25">
      <c r="A371" s="8">
        <v>63271</v>
      </c>
      <c r="B371" s="9" t="s">
        <v>41</v>
      </c>
      <c r="C371" s="9" t="s">
        <v>47</v>
      </c>
      <c r="D371" s="9" t="s">
        <v>27</v>
      </c>
      <c r="E371" s="9" t="s">
        <v>8</v>
      </c>
      <c r="F371" s="9" t="str">
        <f t="shared" si="5"/>
        <v>Not Delivered</v>
      </c>
      <c r="G371" s="9" t="b">
        <v>1</v>
      </c>
      <c r="H371" s="9" t="s">
        <v>28</v>
      </c>
      <c r="I371" s="8">
        <v>9004</v>
      </c>
      <c r="J371" s="10">
        <v>939.44</v>
      </c>
      <c r="K371" s="10">
        <v>0</v>
      </c>
      <c r="L371" s="10">
        <v>86.28</v>
      </c>
      <c r="M371" s="10">
        <v>1025.72</v>
      </c>
      <c r="N371" s="8">
        <v>8</v>
      </c>
      <c r="O371" s="6">
        <v>2.4</v>
      </c>
    </row>
    <row r="372" spans="1:15" x14ac:dyDescent="0.25">
      <c r="A372" s="8">
        <v>82768</v>
      </c>
      <c r="B372" s="9" t="s">
        <v>5</v>
      </c>
      <c r="C372" s="9" t="s">
        <v>56</v>
      </c>
      <c r="D372" s="9" t="s">
        <v>2</v>
      </c>
      <c r="E372" s="9" t="s">
        <v>32</v>
      </c>
      <c r="F372" s="9" t="str">
        <f t="shared" si="5"/>
        <v>Not Delivered</v>
      </c>
      <c r="G372" s="9" t="b">
        <v>0</v>
      </c>
      <c r="H372" s="9" t="s">
        <v>18</v>
      </c>
      <c r="I372" s="8">
        <v>4937</v>
      </c>
      <c r="J372" s="10">
        <v>1624.89</v>
      </c>
      <c r="K372" s="10">
        <v>81.78</v>
      </c>
      <c r="L372" s="10">
        <v>0</v>
      </c>
      <c r="M372" s="10">
        <v>1706.67</v>
      </c>
      <c r="N372" s="8">
        <v>6</v>
      </c>
      <c r="O372" s="6">
        <v>2.2000000000000002</v>
      </c>
    </row>
    <row r="373" spans="1:15" x14ac:dyDescent="0.25">
      <c r="A373" s="8">
        <v>72402</v>
      </c>
      <c r="B373" s="9" t="s">
        <v>41</v>
      </c>
      <c r="C373" s="9" t="s">
        <v>61</v>
      </c>
      <c r="D373" s="9" t="s">
        <v>27</v>
      </c>
      <c r="E373" s="9" t="s">
        <v>3</v>
      </c>
      <c r="F373" s="9" t="str">
        <f t="shared" si="5"/>
        <v>Not Delivered</v>
      </c>
      <c r="G373" s="9" t="b">
        <v>0</v>
      </c>
      <c r="H373" s="9" t="s">
        <v>33</v>
      </c>
      <c r="I373" s="8">
        <v>9041</v>
      </c>
      <c r="J373" s="10">
        <v>2076.94</v>
      </c>
      <c r="K373" s="10">
        <v>66.86</v>
      </c>
      <c r="L373" s="10">
        <v>0</v>
      </c>
      <c r="M373" s="10">
        <v>2143.8000000000002</v>
      </c>
      <c r="N373" s="8">
        <v>4</v>
      </c>
      <c r="O373" s="6">
        <v>3.8</v>
      </c>
    </row>
    <row r="374" spans="1:15" x14ac:dyDescent="0.25">
      <c r="A374" s="8">
        <v>68743</v>
      </c>
      <c r="B374" s="9" t="s">
        <v>10</v>
      </c>
      <c r="C374" s="9" t="s">
        <v>29</v>
      </c>
      <c r="D374" s="9" t="s">
        <v>12</v>
      </c>
      <c r="E374" s="9" t="s">
        <v>32</v>
      </c>
      <c r="F374" s="9" t="str">
        <f t="shared" si="5"/>
        <v>Not Delivered</v>
      </c>
      <c r="G374" s="9" t="b">
        <v>0</v>
      </c>
      <c r="H374" s="9" t="s">
        <v>22</v>
      </c>
      <c r="I374" s="8">
        <v>1282</v>
      </c>
      <c r="J374" s="10">
        <v>1391.2</v>
      </c>
      <c r="K374" s="10">
        <v>98</v>
      </c>
      <c r="L374" s="10">
        <v>0</v>
      </c>
      <c r="M374" s="10">
        <v>1489.2</v>
      </c>
      <c r="N374" s="8">
        <v>6</v>
      </c>
      <c r="O374" s="6">
        <v>2.9</v>
      </c>
    </row>
    <row r="375" spans="1:15" x14ac:dyDescent="0.25">
      <c r="A375" s="8">
        <v>22196</v>
      </c>
      <c r="B375" s="9" t="s">
        <v>41</v>
      </c>
      <c r="C375" s="9" t="s">
        <v>47</v>
      </c>
      <c r="D375" s="9" t="s">
        <v>12</v>
      </c>
      <c r="E375" s="9" t="s">
        <v>17</v>
      </c>
      <c r="F375" s="9" t="str">
        <f t="shared" si="5"/>
        <v>Not Delivered</v>
      </c>
      <c r="G375" s="9" t="b">
        <v>1</v>
      </c>
      <c r="H375" s="9" t="s">
        <v>14</v>
      </c>
      <c r="I375" s="8">
        <v>5820</v>
      </c>
      <c r="J375" s="10">
        <v>2151.94</v>
      </c>
      <c r="K375" s="10">
        <v>64</v>
      </c>
      <c r="L375" s="10">
        <v>173.35</v>
      </c>
      <c r="M375" s="10">
        <v>2389.29</v>
      </c>
      <c r="N375" s="8">
        <v>11</v>
      </c>
    </row>
    <row r="376" spans="1:15" x14ac:dyDescent="0.25">
      <c r="A376" s="8">
        <v>39045</v>
      </c>
      <c r="B376" s="9" t="s">
        <v>41</v>
      </c>
      <c r="C376" s="9" t="s">
        <v>47</v>
      </c>
      <c r="D376" s="9" t="s">
        <v>27</v>
      </c>
      <c r="E376" s="9" t="s">
        <v>32</v>
      </c>
      <c r="F376" s="9" t="str">
        <f t="shared" si="5"/>
        <v>Not Delivered</v>
      </c>
      <c r="G376" s="9" t="b">
        <v>1</v>
      </c>
      <c r="H376" s="9" t="s">
        <v>33</v>
      </c>
      <c r="I376" s="8">
        <v>7625</v>
      </c>
      <c r="J376" s="10">
        <v>2087.81</v>
      </c>
      <c r="K376" s="10">
        <v>126.92</v>
      </c>
      <c r="L376" s="10">
        <v>38.79</v>
      </c>
      <c r="M376" s="10">
        <v>2253.52</v>
      </c>
      <c r="N376" s="8">
        <v>9</v>
      </c>
      <c r="O376" s="6">
        <v>3.2</v>
      </c>
    </row>
    <row r="377" spans="1:15" x14ac:dyDescent="0.25">
      <c r="A377" s="8">
        <v>41890</v>
      </c>
      <c r="B377" s="9" t="s">
        <v>39</v>
      </c>
      <c r="C377" s="9" t="s">
        <v>40</v>
      </c>
      <c r="D377" s="9" t="s">
        <v>27</v>
      </c>
      <c r="E377" s="9" t="s">
        <v>32</v>
      </c>
      <c r="F377" s="9" t="str">
        <f t="shared" si="5"/>
        <v>Not Delivered</v>
      </c>
      <c r="G377" s="9" t="b">
        <v>1</v>
      </c>
      <c r="H377" s="9" t="s">
        <v>14</v>
      </c>
      <c r="I377" s="8">
        <v>6016</v>
      </c>
      <c r="J377" s="10">
        <v>1345.84</v>
      </c>
      <c r="K377" s="10">
        <v>135.72</v>
      </c>
      <c r="L377" s="10">
        <v>225.17</v>
      </c>
      <c r="M377" s="10">
        <v>1706.73</v>
      </c>
      <c r="N377" s="8">
        <v>2</v>
      </c>
      <c r="O377" s="6">
        <v>3</v>
      </c>
    </row>
    <row r="378" spans="1:15" x14ac:dyDescent="0.25">
      <c r="A378" s="8">
        <v>97026</v>
      </c>
      <c r="B378" s="9" t="s">
        <v>41</v>
      </c>
      <c r="C378" s="9" t="s">
        <v>46</v>
      </c>
      <c r="D378" s="9" t="s">
        <v>38</v>
      </c>
      <c r="E378" s="9" t="s">
        <v>8</v>
      </c>
      <c r="F378" s="9" t="str">
        <f t="shared" si="5"/>
        <v>Not Delivered</v>
      </c>
      <c r="G378" s="9" t="b">
        <v>1</v>
      </c>
      <c r="H378" s="9" t="s">
        <v>9</v>
      </c>
      <c r="I378" s="8">
        <v>7046</v>
      </c>
      <c r="J378" s="10">
        <v>1965.85</v>
      </c>
      <c r="K378" s="10">
        <v>0</v>
      </c>
      <c r="L378" s="10">
        <v>78.319999999999993</v>
      </c>
      <c r="M378" s="10">
        <v>2044.17</v>
      </c>
      <c r="N378" s="8">
        <v>10</v>
      </c>
      <c r="O378" s="6">
        <v>4.9000000000000004</v>
      </c>
    </row>
    <row r="379" spans="1:15" x14ac:dyDescent="0.25">
      <c r="A379" s="8">
        <v>72031</v>
      </c>
      <c r="B379" s="9" t="s">
        <v>10</v>
      </c>
      <c r="C379" s="9" t="s">
        <v>26</v>
      </c>
      <c r="D379" s="9" t="s">
        <v>19</v>
      </c>
      <c r="E379" s="9" t="s">
        <v>21</v>
      </c>
      <c r="F379" s="9" t="str">
        <f t="shared" si="5"/>
        <v>Not Delivered</v>
      </c>
      <c r="G379" s="9" t="b">
        <v>0</v>
      </c>
      <c r="H379" s="9" t="s">
        <v>14</v>
      </c>
      <c r="I379" s="8">
        <v>9698</v>
      </c>
      <c r="J379" s="10">
        <v>515.76</v>
      </c>
      <c r="K379" s="10">
        <v>56.29</v>
      </c>
      <c r="L379" s="10">
        <v>0</v>
      </c>
      <c r="M379" s="10">
        <v>572.04999999999995</v>
      </c>
      <c r="N379" s="8">
        <v>4</v>
      </c>
    </row>
    <row r="380" spans="1:15" x14ac:dyDescent="0.25">
      <c r="A380" s="8">
        <v>55056</v>
      </c>
      <c r="B380" s="9" t="s">
        <v>10</v>
      </c>
      <c r="C380" s="9" t="s">
        <v>20</v>
      </c>
      <c r="D380" s="9" t="s">
        <v>50</v>
      </c>
      <c r="E380" s="9" t="s">
        <v>8</v>
      </c>
      <c r="F380" s="9" t="str">
        <f t="shared" si="5"/>
        <v>Not Delivered</v>
      </c>
      <c r="G380" s="9" t="b">
        <v>0</v>
      </c>
      <c r="H380" s="9" t="s">
        <v>33</v>
      </c>
      <c r="I380" s="8">
        <v>7971</v>
      </c>
      <c r="J380" s="10">
        <v>992.38</v>
      </c>
      <c r="K380" s="10">
        <v>54.64</v>
      </c>
      <c r="L380" s="10">
        <v>0</v>
      </c>
      <c r="M380" s="10">
        <v>1047.02</v>
      </c>
      <c r="N380" s="8">
        <v>2</v>
      </c>
      <c r="O380" s="6">
        <v>3.1</v>
      </c>
    </row>
    <row r="381" spans="1:15" x14ac:dyDescent="0.25">
      <c r="A381" s="8">
        <v>82140</v>
      </c>
      <c r="B381" s="9" t="s">
        <v>41</v>
      </c>
      <c r="C381" s="9" t="s">
        <v>46</v>
      </c>
      <c r="D381" s="9" t="s">
        <v>35</v>
      </c>
      <c r="E381" s="9" t="s">
        <v>3</v>
      </c>
      <c r="F381" s="9" t="str">
        <f t="shared" si="5"/>
        <v>Not Delivered</v>
      </c>
      <c r="G381" s="9" t="b">
        <v>1</v>
      </c>
      <c r="H381" s="9" t="s">
        <v>14</v>
      </c>
      <c r="I381" s="8">
        <v>6419</v>
      </c>
      <c r="J381" s="10">
        <v>1128.6500000000001</v>
      </c>
      <c r="K381" s="10">
        <v>108.77</v>
      </c>
      <c r="L381" s="10">
        <v>137.63</v>
      </c>
      <c r="M381" s="10">
        <v>1375.05</v>
      </c>
      <c r="N381" s="8">
        <v>4</v>
      </c>
      <c r="O381" s="6">
        <v>2.4</v>
      </c>
    </row>
    <row r="382" spans="1:15" x14ac:dyDescent="0.25">
      <c r="A382" s="8">
        <v>56112</v>
      </c>
      <c r="B382" s="9" t="s">
        <v>39</v>
      </c>
      <c r="C382" s="9" t="s">
        <v>55</v>
      </c>
      <c r="D382" s="9" t="s">
        <v>50</v>
      </c>
      <c r="E382" s="9" t="s">
        <v>32</v>
      </c>
      <c r="F382" s="9" t="str">
        <f t="shared" si="5"/>
        <v>Not Delivered</v>
      </c>
      <c r="G382" s="9" t="b">
        <v>0</v>
      </c>
      <c r="H382" s="9" t="s">
        <v>28</v>
      </c>
      <c r="I382" s="8">
        <v>8434</v>
      </c>
      <c r="J382" s="10">
        <v>89.37</v>
      </c>
      <c r="K382" s="10">
        <v>91.15</v>
      </c>
      <c r="L382" s="10">
        <v>0</v>
      </c>
      <c r="M382" s="10">
        <v>180.52</v>
      </c>
      <c r="N382" s="8">
        <v>3</v>
      </c>
      <c r="O382" s="6">
        <v>3.1</v>
      </c>
    </row>
    <row r="383" spans="1:15" x14ac:dyDescent="0.25">
      <c r="A383" s="8">
        <v>45509</v>
      </c>
      <c r="B383" s="9" t="s">
        <v>23</v>
      </c>
      <c r="C383" s="9" t="s">
        <v>24</v>
      </c>
      <c r="D383" s="9" t="s">
        <v>27</v>
      </c>
      <c r="E383" s="9" t="s">
        <v>3</v>
      </c>
      <c r="F383" s="9" t="str">
        <f t="shared" si="5"/>
        <v>Not Delivered</v>
      </c>
      <c r="G383" s="9" t="b">
        <v>1</v>
      </c>
      <c r="H383" s="9" t="s">
        <v>9</v>
      </c>
      <c r="I383" s="8">
        <v>6023</v>
      </c>
      <c r="J383" s="10">
        <v>1182.3399999999999</v>
      </c>
      <c r="K383" s="10">
        <v>61.83</v>
      </c>
      <c r="L383" s="10">
        <v>271.68</v>
      </c>
      <c r="M383" s="10">
        <v>1515.85</v>
      </c>
      <c r="N383" s="8">
        <v>12</v>
      </c>
    </row>
    <row r="384" spans="1:15" x14ac:dyDescent="0.25">
      <c r="A384" s="8">
        <v>42951</v>
      </c>
      <c r="B384" s="9" t="s">
        <v>23</v>
      </c>
      <c r="C384" s="9" t="s">
        <v>34</v>
      </c>
      <c r="D384" s="9" t="s">
        <v>30</v>
      </c>
      <c r="E384" s="9" t="s">
        <v>17</v>
      </c>
      <c r="F384" s="9" t="str">
        <f t="shared" si="5"/>
        <v>Not Delivered</v>
      </c>
      <c r="G384" s="9" t="b">
        <v>1</v>
      </c>
      <c r="H384" s="9" t="s">
        <v>18</v>
      </c>
      <c r="I384" s="8">
        <v>4777</v>
      </c>
      <c r="J384" s="10">
        <v>609.54999999999995</v>
      </c>
      <c r="K384" s="10">
        <v>52.24</v>
      </c>
      <c r="L384" s="10">
        <v>78.67</v>
      </c>
      <c r="M384" s="10">
        <v>740.46</v>
      </c>
      <c r="N384" s="8">
        <v>3</v>
      </c>
    </row>
    <row r="385" spans="1:15" x14ac:dyDescent="0.25">
      <c r="A385" s="8">
        <v>25814</v>
      </c>
      <c r="B385" s="9" t="s">
        <v>23</v>
      </c>
      <c r="C385" s="9" t="s">
        <v>60</v>
      </c>
      <c r="D385" s="9" t="s">
        <v>38</v>
      </c>
      <c r="E385" s="9" t="s">
        <v>8</v>
      </c>
      <c r="F385" s="9" t="str">
        <f t="shared" si="5"/>
        <v>Not Delivered</v>
      </c>
      <c r="G385" s="9" t="b">
        <v>0</v>
      </c>
      <c r="H385" s="9" t="s">
        <v>22</v>
      </c>
      <c r="I385" s="8">
        <v>4155</v>
      </c>
      <c r="J385" s="10">
        <v>624.07000000000005</v>
      </c>
      <c r="K385" s="10">
        <v>101.66</v>
      </c>
      <c r="L385" s="10">
        <v>0</v>
      </c>
      <c r="M385" s="10">
        <v>725.73</v>
      </c>
      <c r="N385" s="8">
        <v>10</v>
      </c>
      <c r="O385" s="6">
        <v>3.6</v>
      </c>
    </row>
    <row r="386" spans="1:15" x14ac:dyDescent="0.25">
      <c r="A386" s="8">
        <v>51359</v>
      </c>
      <c r="B386" s="9" t="s">
        <v>10</v>
      </c>
      <c r="C386" s="9" t="s">
        <v>26</v>
      </c>
      <c r="D386" s="9" t="s">
        <v>7</v>
      </c>
      <c r="E386" s="9" t="s">
        <v>21</v>
      </c>
      <c r="F386" s="9" t="str">
        <f t="shared" si="5"/>
        <v>Not Delivered</v>
      </c>
      <c r="G386" s="9" t="b">
        <v>0</v>
      </c>
      <c r="H386" s="9" t="s">
        <v>14</v>
      </c>
      <c r="I386" s="8">
        <v>2958</v>
      </c>
      <c r="J386" s="10">
        <v>511.53</v>
      </c>
      <c r="K386" s="10">
        <v>97.14</v>
      </c>
      <c r="L386" s="10">
        <v>0</v>
      </c>
      <c r="M386" s="10">
        <v>608.66999999999996</v>
      </c>
      <c r="N386" s="8">
        <v>3</v>
      </c>
      <c r="O386" s="6">
        <v>2.6</v>
      </c>
    </row>
    <row r="387" spans="1:15" x14ac:dyDescent="0.25">
      <c r="A387" s="8">
        <v>80236</v>
      </c>
      <c r="B387" s="9" t="s">
        <v>23</v>
      </c>
      <c r="C387" s="9" t="s">
        <v>34</v>
      </c>
      <c r="D387" s="9" t="s">
        <v>16</v>
      </c>
      <c r="E387" s="9" t="s">
        <v>3</v>
      </c>
      <c r="F387" s="9" t="str">
        <f t="shared" ref="F387:F450" si="6">IF(OR(
E387="Failed Delivery",
E387="Cancelled",
E387="Pending",
E387="Rescheduled",
E387="In Transit"
),"Not Delivered","Delivered")</f>
        <v>Not Delivered</v>
      </c>
      <c r="G387" s="9" t="b">
        <v>0</v>
      </c>
      <c r="H387" s="9" t="s">
        <v>28</v>
      </c>
      <c r="I387" s="8">
        <v>4033</v>
      </c>
      <c r="J387" s="10">
        <v>2030</v>
      </c>
      <c r="K387" s="10">
        <v>0</v>
      </c>
      <c r="L387" s="10">
        <v>0</v>
      </c>
      <c r="M387" s="10">
        <v>2030</v>
      </c>
      <c r="N387" s="8">
        <v>8</v>
      </c>
      <c r="O387" s="6">
        <v>1.3</v>
      </c>
    </row>
    <row r="388" spans="1:15" x14ac:dyDescent="0.25">
      <c r="A388" s="8">
        <v>35105</v>
      </c>
      <c r="B388" s="9" t="s">
        <v>5</v>
      </c>
      <c r="C388" s="9" t="s">
        <v>6</v>
      </c>
      <c r="D388" s="9" t="s">
        <v>12</v>
      </c>
      <c r="E388" s="9" t="s">
        <v>32</v>
      </c>
      <c r="F388" s="9" t="str">
        <f t="shared" si="6"/>
        <v>Not Delivered</v>
      </c>
      <c r="G388" s="9" t="b">
        <v>0</v>
      </c>
      <c r="H388" s="9" t="s">
        <v>9</v>
      </c>
      <c r="I388" s="8">
        <v>4545</v>
      </c>
      <c r="J388" s="10">
        <v>665.4</v>
      </c>
      <c r="K388" s="10">
        <v>100.44</v>
      </c>
      <c r="L388" s="10">
        <v>0</v>
      </c>
      <c r="M388" s="10">
        <v>765.84</v>
      </c>
      <c r="N388" s="8">
        <v>14</v>
      </c>
    </row>
    <row r="389" spans="1:15" x14ac:dyDescent="0.25">
      <c r="A389" s="8">
        <v>73464</v>
      </c>
      <c r="B389" s="9" t="s">
        <v>41</v>
      </c>
      <c r="C389" s="9" t="s">
        <v>47</v>
      </c>
      <c r="D389" s="9" t="s">
        <v>27</v>
      </c>
      <c r="E389" s="9" t="s">
        <v>8</v>
      </c>
      <c r="F389" s="9" t="str">
        <f t="shared" si="6"/>
        <v>Not Delivered</v>
      </c>
      <c r="G389" s="9" t="b">
        <v>1</v>
      </c>
      <c r="H389" s="9" t="s">
        <v>9</v>
      </c>
      <c r="I389" s="8">
        <v>5530</v>
      </c>
      <c r="J389" s="10">
        <v>2231.06</v>
      </c>
      <c r="K389" s="10">
        <v>125.24</v>
      </c>
      <c r="L389" s="10">
        <v>248.91</v>
      </c>
      <c r="M389" s="10">
        <v>2605.21</v>
      </c>
      <c r="N389" s="8">
        <v>10</v>
      </c>
      <c r="O389" s="6">
        <v>1</v>
      </c>
    </row>
    <row r="390" spans="1:15" x14ac:dyDescent="0.25">
      <c r="A390" s="8">
        <v>87278</v>
      </c>
      <c r="B390" s="9" t="s">
        <v>41</v>
      </c>
      <c r="C390" s="9" t="s">
        <v>42</v>
      </c>
      <c r="D390" s="9" t="s">
        <v>16</v>
      </c>
      <c r="E390" s="9" t="s">
        <v>13</v>
      </c>
      <c r="F390" s="9" t="str">
        <f t="shared" si="6"/>
        <v>Delivered</v>
      </c>
      <c r="G390" s="9" t="b">
        <v>0</v>
      </c>
      <c r="H390" s="9" t="s">
        <v>18</v>
      </c>
      <c r="I390" s="8">
        <v>9595</v>
      </c>
      <c r="J390" s="10">
        <v>1114.83</v>
      </c>
      <c r="K390" s="10">
        <v>0</v>
      </c>
      <c r="L390" s="10">
        <v>0</v>
      </c>
      <c r="M390" s="10">
        <v>1114.83</v>
      </c>
      <c r="N390" s="8">
        <v>4</v>
      </c>
      <c r="O390" s="6">
        <v>2.9</v>
      </c>
    </row>
    <row r="391" spans="1:15" x14ac:dyDescent="0.25">
      <c r="A391" s="8">
        <v>88222</v>
      </c>
      <c r="B391" s="9" t="s">
        <v>0</v>
      </c>
      <c r="C391" s="9" t="s">
        <v>43</v>
      </c>
      <c r="D391" s="9" t="s">
        <v>50</v>
      </c>
      <c r="E391" s="9" t="s">
        <v>21</v>
      </c>
      <c r="F391" s="9" t="str">
        <f t="shared" si="6"/>
        <v>Not Delivered</v>
      </c>
      <c r="G391" s="9" t="b">
        <v>0</v>
      </c>
      <c r="H391" s="9" t="s">
        <v>18</v>
      </c>
      <c r="I391" s="8">
        <v>5636</v>
      </c>
      <c r="J391" s="10">
        <v>311.23</v>
      </c>
      <c r="K391" s="10">
        <v>35.04</v>
      </c>
      <c r="L391" s="10">
        <v>0</v>
      </c>
      <c r="M391" s="10">
        <v>346.27</v>
      </c>
      <c r="N391" s="8">
        <v>13</v>
      </c>
      <c r="O391" s="6">
        <v>4.4000000000000004</v>
      </c>
    </row>
    <row r="392" spans="1:15" x14ac:dyDescent="0.25">
      <c r="A392" s="8">
        <v>23176</v>
      </c>
      <c r="B392" s="9" t="s">
        <v>39</v>
      </c>
      <c r="C392" s="9" t="s">
        <v>52</v>
      </c>
      <c r="D392" s="9" t="s">
        <v>35</v>
      </c>
      <c r="E392" s="9" t="s">
        <v>3</v>
      </c>
      <c r="F392" s="9" t="str">
        <f t="shared" si="6"/>
        <v>Not Delivered</v>
      </c>
      <c r="G392" s="9" t="b">
        <v>1</v>
      </c>
      <c r="H392" s="9" t="s">
        <v>33</v>
      </c>
      <c r="I392" s="8">
        <v>4180</v>
      </c>
      <c r="J392" s="10">
        <v>348.41</v>
      </c>
      <c r="K392" s="10">
        <v>78.19</v>
      </c>
      <c r="L392" s="10">
        <v>37.99</v>
      </c>
      <c r="M392" s="10">
        <v>464.59</v>
      </c>
      <c r="N392" s="8">
        <v>7</v>
      </c>
      <c r="O392" s="6">
        <v>3.8</v>
      </c>
    </row>
    <row r="393" spans="1:15" x14ac:dyDescent="0.25">
      <c r="A393" s="8">
        <v>48829</v>
      </c>
      <c r="B393" s="9" t="s">
        <v>5</v>
      </c>
      <c r="C393" s="9" t="s">
        <v>36</v>
      </c>
      <c r="D393" s="9" t="s">
        <v>27</v>
      </c>
      <c r="E393" s="9" t="s">
        <v>3</v>
      </c>
      <c r="F393" s="9" t="str">
        <f t="shared" si="6"/>
        <v>Not Delivered</v>
      </c>
      <c r="G393" s="9" t="b">
        <v>0</v>
      </c>
      <c r="H393" s="9" t="s">
        <v>14</v>
      </c>
      <c r="I393" s="8">
        <v>4727</v>
      </c>
      <c r="J393" s="10">
        <v>1179.96</v>
      </c>
      <c r="K393" s="10">
        <v>76.13</v>
      </c>
      <c r="L393" s="10">
        <v>0</v>
      </c>
      <c r="M393" s="10">
        <v>1256.0899999999999</v>
      </c>
      <c r="N393" s="8">
        <v>10</v>
      </c>
      <c r="O393" s="6">
        <v>2.1</v>
      </c>
    </row>
    <row r="394" spans="1:15" x14ac:dyDescent="0.25">
      <c r="A394" s="8">
        <v>57301</v>
      </c>
      <c r="B394" s="9" t="s">
        <v>23</v>
      </c>
      <c r="C394" s="9" t="s">
        <v>54</v>
      </c>
      <c r="D394" s="9" t="s">
        <v>38</v>
      </c>
      <c r="E394" s="9" t="s">
        <v>3</v>
      </c>
      <c r="F394" s="9" t="str">
        <f t="shared" si="6"/>
        <v>Not Delivered</v>
      </c>
      <c r="G394" s="9" t="b">
        <v>0</v>
      </c>
      <c r="H394" s="9" t="s">
        <v>22</v>
      </c>
      <c r="I394" s="8">
        <v>3939</v>
      </c>
      <c r="J394" s="10">
        <v>1723.5</v>
      </c>
      <c r="K394" s="10">
        <v>67.87</v>
      </c>
      <c r="L394" s="10">
        <v>0</v>
      </c>
      <c r="M394" s="10">
        <v>1791.37</v>
      </c>
      <c r="N394" s="8">
        <v>5</v>
      </c>
      <c r="O394" s="6">
        <v>3.3</v>
      </c>
    </row>
    <row r="395" spans="1:15" x14ac:dyDescent="0.25">
      <c r="A395" s="8">
        <v>49618</v>
      </c>
      <c r="B395" s="9" t="s">
        <v>23</v>
      </c>
      <c r="C395" s="9" t="s">
        <v>48</v>
      </c>
      <c r="D395" s="9" t="s">
        <v>2</v>
      </c>
      <c r="E395" s="9" t="s">
        <v>8</v>
      </c>
      <c r="F395" s="9" t="str">
        <f t="shared" si="6"/>
        <v>Not Delivered</v>
      </c>
      <c r="G395" s="9" t="b">
        <v>1</v>
      </c>
      <c r="H395" s="9" t="s">
        <v>22</v>
      </c>
      <c r="I395" s="8">
        <v>1231</v>
      </c>
      <c r="J395" s="10">
        <v>489.39</v>
      </c>
      <c r="K395" s="10">
        <v>42.23</v>
      </c>
      <c r="L395" s="10">
        <v>30.36</v>
      </c>
      <c r="M395" s="10">
        <v>561.98</v>
      </c>
      <c r="N395" s="8">
        <v>7</v>
      </c>
      <c r="O395" s="6">
        <v>4.2</v>
      </c>
    </row>
    <row r="396" spans="1:15" x14ac:dyDescent="0.25">
      <c r="A396" s="8">
        <v>80010</v>
      </c>
      <c r="B396" s="9" t="s">
        <v>0</v>
      </c>
      <c r="C396" s="9" t="s">
        <v>1</v>
      </c>
      <c r="E396" s="9" t="s">
        <v>13</v>
      </c>
      <c r="F396" s="9" t="str">
        <f t="shared" si="6"/>
        <v>Delivered</v>
      </c>
      <c r="G396" s="9" t="b">
        <v>1</v>
      </c>
      <c r="H396" s="9" t="s">
        <v>28</v>
      </c>
      <c r="I396" s="8">
        <v>3073</v>
      </c>
      <c r="J396" s="10">
        <v>415.22</v>
      </c>
      <c r="K396" s="10">
        <v>97.34</v>
      </c>
      <c r="L396" s="10">
        <v>45.58</v>
      </c>
      <c r="M396" s="10">
        <v>558.14</v>
      </c>
      <c r="N396" s="8">
        <v>8</v>
      </c>
      <c r="O396" s="6">
        <v>2.7</v>
      </c>
    </row>
    <row r="397" spans="1:15" x14ac:dyDescent="0.25">
      <c r="A397" s="8">
        <v>45954</v>
      </c>
      <c r="B397" s="9" t="s">
        <v>10</v>
      </c>
      <c r="C397" s="9" t="s">
        <v>26</v>
      </c>
      <c r="D397" s="9" t="s">
        <v>2</v>
      </c>
      <c r="E397" s="9" t="s">
        <v>17</v>
      </c>
      <c r="F397" s="9" t="str">
        <f t="shared" si="6"/>
        <v>Not Delivered</v>
      </c>
      <c r="G397" s="9" t="b">
        <v>0</v>
      </c>
      <c r="H397" s="9" t="s">
        <v>14</v>
      </c>
      <c r="I397" s="8">
        <v>1745</v>
      </c>
      <c r="J397" s="10">
        <v>1257.1500000000001</v>
      </c>
      <c r="K397" s="10">
        <v>143.07</v>
      </c>
      <c r="L397" s="10">
        <v>0</v>
      </c>
      <c r="M397" s="10">
        <v>1400.22</v>
      </c>
      <c r="N397" s="8">
        <v>10</v>
      </c>
      <c r="O397" s="6">
        <v>2.1</v>
      </c>
    </row>
    <row r="398" spans="1:15" x14ac:dyDescent="0.25">
      <c r="A398" s="8">
        <v>17146</v>
      </c>
      <c r="B398" s="9" t="s">
        <v>23</v>
      </c>
      <c r="C398" s="9" t="s">
        <v>48</v>
      </c>
      <c r="D398" s="9" t="s">
        <v>2</v>
      </c>
      <c r="E398" s="9" t="s">
        <v>21</v>
      </c>
      <c r="F398" s="9" t="str">
        <f t="shared" si="6"/>
        <v>Not Delivered</v>
      </c>
      <c r="G398" s="9" t="b">
        <v>0</v>
      </c>
      <c r="H398" s="9" t="s">
        <v>18</v>
      </c>
      <c r="I398" s="8">
        <v>5786</v>
      </c>
      <c r="J398" s="10">
        <v>1558.95</v>
      </c>
      <c r="K398" s="10">
        <v>0</v>
      </c>
      <c r="L398" s="10">
        <v>0</v>
      </c>
      <c r="M398" s="10">
        <v>1558.95</v>
      </c>
      <c r="N398" s="8">
        <v>4</v>
      </c>
    </row>
    <row r="399" spans="1:15" x14ac:dyDescent="0.25">
      <c r="A399" s="8">
        <v>26551</v>
      </c>
      <c r="B399" s="9" t="s">
        <v>0</v>
      </c>
      <c r="C399" s="9" t="s">
        <v>53</v>
      </c>
      <c r="D399" s="9" t="s">
        <v>16</v>
      </c>
      <c r="E399" s="9" t="s">
        <v>3</v>
      </c>
      <c r="F399" s="9" t="str">
        <f t="shared" si="6"/>
        <v>Not Delivered</v>
      </c>
      <c r="G399" s="9" t="b">
        <v>1</v>
      </c>
      <c r="H399" s="9" t="s">
        <v>18</v>
      </c>
      <c r="I399" s="8">
        <v>9042</v>
      </c>
      <c r="J399" s="10">
        <v>1165.06</v>
      </c>
      <c r="K399" s="10">
        <v>85.97</v>
      </c>
      <c r="L399" s="10">
        <v>54.34</v>
      </c>
      <c r="M399" s="10">
        <v>1305.3699999999999</v>
      </c>
      <c r="N399" s="8">
        <v>5</v>
      </c>
      <c r="O399" s="6">
        <v>2.4</v>
      </c>
    </row>
    <row r="400" spans="1:15" x14ac:dyDescent="0.25">
      <c r="A400" s="8">
        <v>23446</v>
      </c>
      <c r="B400" s="9" t="s">
        <v>23</v>
      </c>
      <c r="C400" s="9" t="s">
        <v>34</v>
      </c>
      <c r="D400" s="9" t="s">
        <v>50</v>
      </c>
      <c r="E400" s="9" t="s">
        <v>32</v>
      </c>
      <c r="F400" s="9" t="str">
        <f t="shared" si="6"/>
        <v>Not Delivered</v>
      </c>
      <c r="G400" s="9" t="b">
        <v>1</v>
      </c>
      <c r="H400" s="9" t="s">
        <v>18</v>
      </c>
      <c r="I400" s="8">
        <v>1200</v>
      </c>
      <c r="J400" s="10">
        <v>193.79</v>
      </c>
      <c r="K400" s="10">
        <v>77.77</v>
      </c>
      <c r="L400" s="10">
        <v>172.61</v>
      </c>
      <c r="M400" s="10">
        <v>444.17</v>
      </c>
      <c r="N400" s="8">
        <v>9</v>
      </c>
      <c r="O400" s="6">
        <v>2.4</v>
      </c>
    </row>
    <row r="401" spans="1:15" x14ac:dyDescent="0.25">
      <c r="A401" s="8">
        <v>85243</v>
      </c>
      <c r="B401" s="9" t="s">
        <v>23</v>
      </c>
      <c r="C401" s="9" t="s">
        <v>54</v>
      </c>
      <c r="D401" s="9" t="s">
        <v>12</v>
      </c>
      <c r="E401" s="9" t="s">
        <v>21</v>
      </c>
      <c r="F401" s="9" t="str">
        <f t="shared" si="6"/>
        <v>Not Delivered</v>
      </c>
      <c r="G401" s="9" t="b">
        <v>0</v>
      </c>
      <c r="H401" s="9" t="s">
        <v>33</v>
      </c>
      <c r="I401" s="8">
        <v>5658</v>
      </c>
      <c r="J401" s="10">
        <v>2799.68</v>
      </c>
      <c r="K401" s="10">
        <v>76.11</v>
      </c>
      <c r="L401" s="10">
        <v>0</v>
      </c>
      <c r="M401" s="10">
        <v>2875.79</v>
      </c>
      <c r="N401" s="8">
        <v>9</v>
      </c>
    </row>
    <row r="402" spans="1:15" x14ac:dyDescent="0.25">
      <c r="A402" s="8">
        <v>71524</v>
      </c>
      <c r="B402" s="9" t="s">
        <v>10</v>
      </c>
      <c r="C402" s="9" t="s">
        <v>26</v>
      </c>
      <c r="D402" s="9" t="s">
        <v>45</v>
      </c>
      <c r="E402" s="9" t="s">
        <v>32</v>
      </c>
      <c r="F402" s="9" t="str">
        <f t="shared" si="6"/>
        <v>Not Delivered</v>
      </c>
      <c r="G402" s="9" t="b">
        <v>0</v>
      </c>
      <c r="H402" s="9" t="s">
        <v>14</v>
      </c>
      <c r="I402" s="8">
        <v>8843</v>
      </c>
      <c r="J402" s="10">
        <v>1625.59</v>
      </c>
      <c r="K402" s="10">
        <v>137.61000000000001</v>
      </c>
      <c r="L402" s="10">
        <v>0</v>
      </c>
      <c r="M402" s="10">
        <v>1763.2</v>
      </c>
      <c r="N402" s="8">
        <v>12</v>
      </c>
      <c r="O402" s="6">
        <v>2.5</v>
      </c>
    </row>
    <row r="403" spans="1:15" x14ac:dyDescent="0.25">
      <c r="A403" s="8">
        <v>67733</v>
      </c>
      <c r="B403" s="9" t="s">
        <v>10</v>
      </c>
      <c r="C403" s="9" t="s">
        <v>20</v>
      </c>
      <c r="D403" s="9" t="s">
        <v>19</v>
      </c>
      <c r="E403" s="9" t="s">
        <v>8</v>
      </c>
      <c r="F403" s="9" t="str">
        <f t="shared" si="6"/>
        <v>Not Delivered</v>
      </c>
      <c r="G403" s="9" t="b">
        <v>0</v>
      </c>
      <c r="H403" s="9" t="s">
        <v>22</v>
      </c>
      <c r="I403" s="8">
        <v>6582</v>
      </c>
      <c r="J403" s="10">
        <v>1395.03</v>
      </c>
      <c r="K403" s="10">
        <v>136.19999999999999</v>
      </c>
      <c r="L403" s="10">
        <v>0</v>
      </c>
      <c r="M403" s="10">
        <v>1531.23</v>
      </c>
      <c r="N403" s="8">
        <v>2</v>
      </c>
      <c r="O403" s="6">
        <v>2.5</v>
      </c>
    </row>
    <row r="404" spans="1:15" x14ac:dyDescent="0.25">
      <c r="A404" s="8">
        <v>34164</v>
      </c>
      <c r="B404" s="9" t="s">
        <v>23</v>
      </c>
      <c r="C404" s="9" t="s">
        <v>49</v>
      </c>
      <c r="D404" s="9" t="s">
        <v>38</v>
      </c>
      <c r="E404" s="9" t="s">
        <v>13</v>
      </c>
      <c r="F404" s="9" t="str">
        <f t="shared" si="6"/>
        <v>Delivered</v>
      </c>
      <c r="G404" s="9" t="b">
        <v>0</v>
      </c>
      <c r="H404" s="9" t="s">
        <v>4</v>
      </c>
      <c r="I404" s="8">
        <v>1841</v>
      </c>
      <c r="J404" s="10">
        <v>1325.41</v>
      </c>
      <c r="K404" s="10">
        <v>103.57</v>
      </c>
      <c r="L404" s="10">
        <v>0</v>
      </c>
      <c r="M404" s="10">
        <v>1428.98</v>
      </c>
      <c r="N404" s="8">
        <v>4</v>
      </c>
      <c r="O404" s="6">
        <v>2.6</v>
      </c>
    </row>
    <row r="405" spans="1:15" x14ac:dyDescent="0.25">
      <c r="A405" s="8">
        <v>43092</v>
      </c>
      <c r="B405" s="9" t="s">
        <v>41</v>
      </c>
      <c r="C405" s="9" t="s">
        <v>46</v>
      </c>
      <c r="D405" s="9" t="s">
        <v>19</v>
      </c>
      <c r="E405" s="9" t="s">
        <v>3</v>
      </c>
      <c r="F405" s="9" t="str">
        <f t="shared" si="6"/>
        <v>Not Delivered</v>
      </c>
      <c r="G405" s="9" t="b">
        <v>0</v>
      </c>
      <c r="H405" s="9" t="s">
        <v>22</v>
      </c>
      <c r="I405" s="8">
        <v>8827</v>
      </c>
      <c r="J405" s="10">
        <v>1348.42</v>
      </c>
      <c r="K405" s="10">
        <v>139.43</v>
      </c>
      <c r="L405" s="10">
        <v>0</v>
      </c>
      <c r="M405" s="10">
        <v>1487.85</v>
      </c>
      <c r="N405" s="8">
        <v>3</v>
      </c>
      <c r="O405" s="6">
        <v>3.7</v>
      </c>
    </row>
    <row r="406" spans="1:15" x14ac:dyDescent="0.25">
      <c r="A406" s="8">
        <v>24953</v>
      </c>
      <c r="B406" s="9" t="s">
        <v>23</v>
      </c>
      <c r="C406" s="9" t="s">
        <v>24</v>
      </c>
      <c r="D406" s="9" t="s">
        <v>12</v>
      </c>
      <c r="E406" s="9" t="s">
        <v>8</v>
      </c>
      <c r="F406" s="9" t="str">
        <f t="shared" si="6"/>
        <v>Not Delivered</v>
      </c>
      <c r="G406" s="9" t="b">
        <v>1</v>
      </c>
      <c r="H406" s="9" t="s">
        <v>22</v>
      </c>
      <c r="I406" s="8">
        <v>2070</v>
      </c>
      <c r="J406" s="10">
        <v>2245.9699999999998</v>
      </c>
      <c r="K406" s="10">
        <v>70.680000000000007</v>
      </c>
      <c r="L406" s="10">
        <v>91.82</v>
      </c>
      <c r="M406" s="10">
        <v>2408.4699999999998</v>
      </c>
      <c r="N406" s="8">
        <v>6</v>
      </c>
      <c r="O406" s="6">
        <v>1.4</v>
      </c>
    </row>
    <row r="407" spans="1:15" x14ac:dyDescent="0.25">
      <c r="A407" s="8">
        <v>62521</v>
      </c>
      <c r="B407" s="9" t="s">
        <v>39</v>
      </c>
      <c r="C407" s="9" t="s">
        <v>55</v>
      </c>
      <c r="D407" s="9" t="s">
        <v>2</v>
      </c>
      <c r="E407" s="9" t="s">
        <v>13</v>
      </c>
      <c r="F407" s="9" t="str">
        <f t="shared" si="6"/>
        <v>Delivered</v>
      </c>
      <c r="G407" s="9" t="b">
        <v>1</v>
      </c>
      <c r="H407" s="9" t="s">
        <v>9</v>
      </c>
      <c r="I407" s="8">
        <v>9056</v>
      </c>
      <c r="J407" s="10">
        <v>89.41</v>
      </c>
      <c r="K407" s="10">
        <v>89.28</v>
      </c>
      <c r="L407" s="10">
        <v>205.68</v>
      </c>
      <c r="M407" s="10">
        <v>384.37</v>
      </c>
      <c r="N407" s="8">
        <v>6</v>
      </c>
      <c r="O407" s="6">
        <v>4.9000000000000004</v>
      </c>
    </row>
    <row r="408" spans="1:15" x14ac:dyDescent="0.25">
      <c r="A408" s="8">
        <v>19710</v>
      </c>
      <c r="B408" s="9" t="s">
        <v>23</v>
      </c>
      <c r="C408" s="9" t="s">
        <v>34</v>
      </c>
      <c r="D408" s="9" t="s">
        <v>30</v>
      </c>
      <c r="E408" s="9" t="s">
        <v>13</v>
      </c>
      <c r="F408" s="9" t="str">
        <f t="shared" si="6"/>
        <v>Delivered</v>
      </c>
      <c r="G408" s="9" t="b">
        <v>1</v>
      </c>
      <c r="H408" s="9" t="s">
        <v>9</v>
      </c>
      <c r="I408" s="8">
        <v>1878</v>
      </c>
      <c r="J408" s="10">
        <v>948.76</v>
      </c>
      <c r="K408" s="10">
        <v>0</v>
      </c>
      <c r="L408" s="10">
        <v>38.14</v>
      </c>
      <c r="M408" s="10">
        <v>986.9</v>
      </c>
      <c r="N408" s="8">
        <v>7</v>
      </c>
      <c r="O408" s="6">
        <v>3.2</v>
      </c>
    </row>
    <row r="409" spans="1:15" x14ac:dyDescent="0.25">
      <c r="A409" s="8">
        <v>29887</v>
      </c>
      <c r="B409" s="9" t="s">
        <v>0</v>
      </c>
      <c r="C409" s="9" t="s">
        <v>53</v>
      </c>
      <c r="D409" s="9" t="s">
        <v>19</v>
      </c>
      <c r="E409" s="9" t="s">
        <v>3</v>
      </c>
      <c r="F409" s="9" t="str">
        <f t="shared" si="6"/>
        <v>Not Delivered</v>
      </c>
      <c r="G409" s="9" t="b">
        <v>0</v>
      </c>
      <c r="H409" s="9" t="s">
        <v>18</v>
      </c>
      <c r="I409" s="8">
        <v>3444</v>
      </c>
      <c r="J409" s="10">
        <v>904.37</v>
      </c>
      <c r="K409" s="10">
        <v>0</v>
      </c>
      <c r="L409" s="10">
        <v>0</v>
      </c>
      <c r="M409" s="10">
        <v>904.37</v>
      </c>
      <c r="N409" s="8">
        <v>6</v>
      </c>
      <c r="O409" s="6">
        <v>1</v>
      </c>
    </row>
    <row r="410" spans="1:15" x14ac:dyDescent="0.25">
      <c r="A410" s="8">
        <v>83772</v>
      </c>
      <c r="B410" s="9" t="s">
        <v>5</v>
      </c>
      <c r="C410" s="9" t="s">
        <v>56</v>
      </c>
      <c r="D410" s="9" t="s">
        <v>35</v>
      </c>
      <c r="E410" s="9" t="s">
        <v>13</v>
      </c>
      <c r="F410" s="9" t="str">
        <f t="shared" si="6"/>
        <v>Delivered</v>
      </c>
      <c r="G410" s="9" t="b">
        <v>0</v>
      </c>
      <c r="H410" s="9" t="s">
        <v>28</v>
      </c>
      <c r="I410" s="8">
        <v>5978</v>
      </c>
      <c r="J410" s="10">
        <v>1031.69</v>
      </c>
      <c r="L410" s="10">
        <v>0</v>
      </c>
      <c r="M410" s="10">
        <v>1100.4100000000001</v>
      </c>
      <c r="N410" s="8">
        <v>4</v>
      </c>
      <c r="O410" s="6">
        <v>4.8</v>
      </c>
    </row>
    <row r="411" spans="1:15" x14ac:dyDescent="0.25">
      <c r="A411" s="8">
        <v>21164</v>
      </c>
      <c r="B411" s="9" t="s">
        <v>39</v>
      </c>
      <c r="C411" s="9" t="s">
        <v>58</v>
      </c>
      <c r="D411" s="9" t="s">
        <v>7</v>
      </c>
      <c r="E411" s="9" t="s">
        <v>21</v>
      </c>
      <c r="F411" s="9" t="str">
        <f t="shared" si="6"/>
        <v>Not Delivered</v>
      </c>
      <c r="G411" s="9" t="b">
        <v>0</v>
      </c>
      <c r="H411" s="9" t="s">
        <v>28</v>
      </c>
      <c r="I411" s="8">
        <v>5066</v>
      </c>
      <c r="J411" s="10">
        <v>378.96</v>
      </c>
      <c r="K411" s="10">
        <v>77.55</v>
      </c>
      <c r="L411" s="10">
        <v>0</v>
      </c>
      <c r="M411" s="10">
        <v>456.51</v>
      </c>
      <c r="N411" s="8">
        <v>6</v>
      </c>
      <c r="O411" s="6">
        <v>2.1</v>
      </c>
    </row>
    <row r="412" spans="1:15" x14ac:dyDescent="0.25">
      <c r="A412" s="8">
        <v>25525</v>
      </c>
      <c r="B412" s="9" t="s">
        <v>41</v>
      </c>
      <c r="C412" s="9" t="s">
        <v>46</v>
      </c>
      <c r="D412" s="9" t="s">
        <v>38</v>
      </c>
      <c r="E412" s="9" t="s">
        <v>32</v>
      </c>
      <c r="F412" s="9" t="str">
        <f t="shared" si="6"/>
        <v>Not Delivered</v>
      </c>
      <c r="G412" s="9" t="b">
        <v>0</v>
      </c>
      <c r="H412" s="9" t="s">
        <v>9</v>
      </c>
      <c r="I412" s="8">
        <v>7818</v>
      </c>
      <c r="J412" s="10">
        <v>2091.2199999999998</v>
      </c>
      <c r="L412" s="10">
        <v>0</v>
      </c>
      <c r="M412" s="10">
        <v>2221.63</v>
      </c>
      <c r="N412" s="8">
        <v>14</v>
      </c>
      <c r="O412" s="6">
        <v>1.6</v>
      </c>
    </row>
    <row r="413" spans="1:15" x14ac:dyDescent="0.25">
      <c r="A413" s="8">
        <v>89471</v>
      </c>
      <c r="B413" s="9" t="s">
        <v>5</v>
      </c>
      <c r="C413" s="9" t="s">
        <v>36</v>
      </c>
      <c r="D413" s="9" t="s">
        <v>2</v>
      </c>
      <c r="E413" s="9" t="s">
        <v>17</v>
      </c>
      <c r="F413" s="9" t="str">
        <f t="shared" si="6"/>
        <v>Not Delivered</v>
      </c>
      <c r="G413" s="9" t="b">
        <v>0</v>
      </c>
      <c r="H413" s="9" t="s">
        <v>9</v>
      </c>
      <c r="I413" s="8">
        <v>4697</v>
      </c>
      <c r="J413" s="10">
        <v>1169.5</v>
      </c>
      <c r="K413" s="10">
        <v>0</v>
      </c>
      <c r="L413" s="10">
        <v>0</v>
      </c>
      <c r="M413" s="10">
        <v>1169.5</v>
      </c>
      <c r="N413" s="8">
        <v>13</v>
      </c>
      <c r="O413" s="6">
        <v>2</v>
      </c>
    </row>
    <row r="414" spans="1:15" x14ac:dyDescent="0.25">
      <c r="A414" s="8">
        <v>78494</v>
      </c>
      <c r="B414" s="9" t="s">
        <v>5</v>
      </c>
      <c r="C414" s="9" t="s">
        <v>31</v>
      </c>
      <c r="D414" s="9" t="s">
        <v>38</v>
      </c>
      <c r="E414" s="9" t="s">
        <v>13</v>
      </c>
      <c r="F414" s="9" t="str">
        <f t="shared" si="6"/>
        <v>Delivered</v>
      </c>
      <c r="G414" s="9" t="b">
        <v>0</v>
      </c>
      <c r="H414" s="9" t="s">
        <v>33</v>
      </c>
      <c r="I414" s="8">
        <v>7232</v>
      </c>
      <c r="J414" s="10">
        <v>575.69000000000005</v>
      </c>
      <c r="K414" s="10">
        <v>0</v>
      </c>
      <c r="L414" s="10">
        <v>0</v>
      </c>
      <c r="M414" s="10">
        <v>575.69000000000005</v>
      </c>
      <c r="N414" s="8">
        <v>8</v>
      </c>
      <c r="O414" s="6">
        <v>1.4</v>
      </c>
    </row>
    <row r="415" spans="1:15" x14ac:dyDescent="0.25">
      <c r="A415" s="8">
        <v>69049</v>
      </c>
      <c r="B415" s="9" t="s">
        <v>10</v>
      </c>
      <c r="C415" s="9" t="s">
        <v>11</v>
      </c>
      <c r="D415" s="9" t="s">
        <v>2</v>
      </c>
      <c r="E415" s="9" t="s">
        <v>21</v>
      </c>
      <c r="F415" s="9" t="str">
        <f t="shared" si="6"/>
        <v>Not Delivered</v>
      </c>
      <c r="G415" s="9" t="b">
        <v>1</v>
      </c>
      <c r="H415" s="9" t="s">
        <v>22</v>
      </c>
      <c r="I415" s="8">
        <v>8253</v>
      </c>
      <c r="J415" s="10">
        <v>1164.67</v>
      </c>
      <c r="K415" s="10">
        <v>75.77</v>
      </c>
      <c r="L415" s="10">
        <v>168.19</v>
      </c>
      <c r="M415" s="10">
        <v>1408.63</v>
      </c>
      <c r="N415" s="8">
        <v>14</v>
      </c>
      <c r="O415" s="6">
        <v>3.4</v>
      </c>
    </row>
    <row r="416" spans="1:15" x14ac:dyDescent="0.25">
      <c r="A416" s="8">
        <v>48974</v>
      </c>
      <c r="B416" s="9" t="s">
        <v>0</v>
      </c>
      <c r="C416" s="9" t="s">
        <v>43</v>
      </c>
      <c r="D416" s="9" t="s">
        <v>38</v>
      </c>
      <c r="E416" s="9" t="s">
        <v>3</v>
      </c>
      <c r="F416" s="9" t="str">
        <f t="shared" si="6"/>
        <v>Not Delivered</v>
      </c>
      <c r="G416" s="9" t="b">
        <v>0</v>
      </c>
      <c r="H416" s="9" t="s">
        <v>4</v>
      </c>
      <c r="I416" s="8">
        <v>8025</v>
      </c>
      <c r="J416" s="10">
        <v>437.99</v>
      </c>
      <c r="K416" s="10">
        <v>83.52</v>
      </c>
      <c r="L416" s="10">
        <v>0</v>
      </c>
      <c r="M416" s="10">
        <v>521.51</v>
      </c>
      <c r="N416" s="8">
        <v>6</v>
      </c>
      <c r="O416" s="6">
        <v>2.9</v>
      </c>
    </row>
    <row r="417" spans="1:15" x14ac:dyDescent="0.25">
      <c r="A417" s="8">
        <v>50026</v>
      </c>
      <c r="B417" s="9" t="s">
        <v>39</v>
      </c>
      <c r="C417" s="9" t="s">
        <v>55</v>
      </c>
      <c r="D417" s="9" t="s">
        <v>16</v>
      </c>
      <c r="E417" s="9" t="s">
        <v>17</v>
      </c>
      <c r="F417" s="9" t="str">
        <f t="shared" si="6"/>
        <v>Not Delivered</v>
      </c>
      <c r="G417" s="9" t="b">
        <v>1</v>
      </c>
      <c r="H417" s="9" t="s">
        <v>4</v>
      </c>
      <c r="I417" s="8">
        <v>1986</v>
      </c>
      <c r="J417" s="10">
        <v>486.86</v>
      </c>
      <c r="K417" s="10">
        <v>72.38</v>
      </c>
      <c r="L417" s="10">
        <v>82.03</v>
      </c>
      <c r="M417" s="10">
        <v>641.27</v>
      </c>
      <c r="N417" s="8">
        <v>6</v>
      </c>
      <c r="O417" s="6">
        <v>3.4</v>
      </c>
    </row>
    <row r="418" spans="1:15" x14ac:dyDescent="0.25">
      <c r="A418" s="8">
        <v>89905</v>
      </c>
      <c r="B418" s="9" t="s">
        <v>23</v>
      </c>
      <c r="C418" s="9" t="s">
        <v>49</v>
      </c>
      <c r="D418" s="9" t="s">
        <v>45</v>
      </c>
      <c r="E418" s="9" t="s">
        <v>13</v>
      </c>
      <c r="F418" s="9" t="str">
        <f t="shared" si="6"/>
        <v>Delivered</v>
      </c>
      <c r="G418" s="9" t="b">
        <v>0</v>
      </c>
      <c r="H418" s="9" t="s">
        <v>22</v>
      </c>
      <c r="I418" s="8">
        <v>2625</v>
      </c>
      <c r="J418" s="10">
        <v>800.42</v>
      </c>
      <c r="K418" s="10">
        <v>79.14</v>
      </c>
      <c r="L418" s="10">
        <v>0</v>
      </c>
      <c r="M418" s="10">
        <v>879.56</v>
      </c>
      <c r="N418" s="8">
        <v>10</v>
      </c>
      <c r="O418" s="6">
        <v>2.1</v>
      </c>
    </row>
    <row r="419" spans="1:15" x14ac:dyDescent="0.25">
      <c r="A419" s="8">
        <v>37235</v>
      </c>
      <c r="B419" s="9" t="s">
        <v>41</v>
      </c>
      <c r="C419" s="9" t="s">
        <v>42</v>
      </c>
      <c r="D419" s="9" t="s">
        <v>38</v>
      </c>
      <c r="E419" s="9" t="s">
        <v>17</v>
      </c>
      <c r="F419" s="9" t="str">
        <f t="shared" si="6"/>
        <v>Not Delivered</v>
      </c>
      <c r="G419" s="9" t="b">
        <v>1</v>
      </c>
      <c r="H419" s="9" t="s">
        <v>28</v>
      </c>
      <c r="I419" s="8">
        <v>4457</v>
      </c>
      <c r="J419" s="10">
        <v>1210.78</v>
      </c>
      <c r="K419" s="10">
        <v>0</v>
      </c>
      <c r="L419" s="10">
        <v>86.39</v>
      </c>
      <c r="M419" s="10">
        <v>1297.17</v>
      </c>
      <c r="N419" s="8">
        <v>11</v>
      </c>
      <c r="O419" s="6">
        <v>4</v>
      </c>
    </row>
    <row r="420" spans="1:15" x14ac:dyDescent="0.25">
      <c r="A420" s="8">
        <v>44687</v>
      </c>
      <c r="B420" s="9" t="s">
        <v>23</v>
      </c>
      <c r="C420" s="9" t="s">
        <v>54</v>
      </c>
      <c r="D420" s="9" t="s">
        <v>16</v>
      </c>
      <c r="E420" s="9" t="s">
        <v>21</v>
      </c>
      <c r="F420" s="9" t="str">
        <f t="shared" si="6"/>
        <v>Not Delivered</v>
      </c>
      <c r="G420" s="9" t="b">
        <v>0</v>
      </c>
      <c r="H420" s="9" t="s">
        <v>14</v>
      </c>
      <c r="I420" s="8">
        <v>2330</v>
      </c>
      <c r="J420" s="10">
        <v>443.58</v>
      </c>
      <c r="K420" s="10">
        <v>29.78</v>
      </c>
      <c r="L420" s="10">
        <v>0</v>
      </c>
      <c r="M420" s="10">
        <v>473.36</v>
      </c>
      <c r="N420" s="8">
        <v>9</v>
      </c>
    </row>
    <row r="421" spans="1:15" x14ac:dyDescent="0.25">
      <c r="A421" s="8">
        <v>30585</v>
      </c>
      <c r="B421" s="9" t="s">
        <v>5</v>
      </c>
      <c r="C421" s="9" t="s">
        <v>6</v>
      </c>
      <c r="D421" s="9" t="s">
        <v>45</v>
      </c>
      <c r="E421" s="9" t="s">
        <v>8</v>
      </c>
      <c r="F421" s="9" t="str">
        <f t="shared" si="6"/>
        <v>Not Delivered</v>
      </c>
      <c r="G421" s="9" t="b">
        <v>0</v>
      </c>
      <c r="H421" s="9" t="s">
        <v>28</v>
      </c>
      <c r="I421" s="8">
        <v>4929</v>
      </c>
      <c r="J421" s="10">
        <v>803.64</v>
      </c>
      <c r="K421" s="10">
        <v>0</v>
      </c>
      <c r="L421" s="10">
        <v>0</v>
      </c>
      <c r="M421" s="10">
        <v>803.64</v>
      </c>
      <c r="N421" s="8">
        <v>5</v>
      </c>
      <c r="O421" s="6">
        <v>4</v>
      </c>
    </row>
    <row r="422" spans="1:15" x14ac:dyDescent="0.25">
      <c r="A422" s="8">
        <v>32782</v>
      </c>
      <c r="B422" s="9" t="s">
        <v>23</v>
      </c>
      <c r="C422" s="9" t="s">
        <v>34</v>
      </c>
      <c r="D422" s="9" t="s">
        <v>45</v>
      </c>
      <c r="E422" s="9" t="s">
        <v>21</v>
      </c>
      <c r="F422" s="9" t="str">
        <f t="shared" si="6"/>
        <v>Not Delivered</v>
      </c>
      <c r="G422" s="9" t="b">
        <v>0</v>
      </c>
      <c r="H422" s="9" t="s">
        <v>33</v>
      </c>
      <c r="I422" s="8">
        <v>2229</v>
      </c>
      <c r="J422" s="10">
        <v>2539.7800000000002</v>
      </c>
      <c r="K422" s="10">
        <v>0</v>
      </c>
      <c r="L422" s="10">
        <v>0</v>
      </c>
      <c r="M422" s="10">
        <v>2539.7800000000002</v>
      </c>
      <c r="N422" s="8">
        <v>14</v>
      </c>
      <c r="O422" s="6">
        <v>4.5</v>
      </c>
    </row>
    <row r="423" spans="1:15" x14ac:dyDescent="0.25">
      <c r="A423" s="8">
        <v>30517</v>
      </c>
      <c r="B423" s="9" t="s">
        <v>41</v>
      </c>
      <c r="C423" s="9" t="s">
        <v>42</v>
      </c>
      <c r="D423" s="9" t="s">
        <v>16</v>
      </c>
      <c r="E423" s="9" t="s">
        <v>21</v>
      </c>
      <c r="F423" s="9" t="str">
        <f t="shared" si="6"/>
        <v>Not Delivered</v>
      </c>
      <c r="G423" s="9" t="b">
        <v>0</v>
      </c>
      <c r="H423" s="9" t="s">
        <v>22</v>
      </c>
      <c r="I423" s="8">
        <v>1043</v>
      </c>
      <c r="J423" s="10">
        <v>597.25</v>
      </c>
      <c r="K423" s="10">
        <v>103.93</v>
      </c>
      <c r="L423" s="10">
        <v>0</v>
      </c>
      <c r="M423" s="10">
        <v>701.18</v>
      </c>
      <c r="N423" s="8">
        <v>11</v>
      </c>
      <c r="O423" s="6">
        <v>4.5</v>
      </c>
    </row>
    <row r="424" spans="1:15" x14ac:dyDescent="0.25">
      <c r="A424" s="8">
        <v>63545</v>
      </c>
      <c r="B424" s="9" t="s">
        <v>0</v>
      </c>
      <c r="C424" s="9" t="s">
        <v>43</v>
      </c>
      <c r="D424" s="9" t="s">
        <v>25</v>
      </c>
      <c r="E424" s="9" t="s">
        <v>21</v>
      </c>
      <c r="F424" s="9" t="str">
        <f t="shared" si="6"/>
        <v>Not Delivered</v>
      </c>
      <c r="G424" s="9" t="b">
        <v>1</v>
      </c>
      <c r="H424" s="9" t="s">
        <v>14</v>
      </c>
      <c r="I424" s="8">
        <v>8381</v>
      </c>
      <c r="J424" s="10">
        <v>660.94</v>
      </c>
      <c r="K424" s="10">
        <v>103.97</v>
      </c>
      <c r="L424" s="10">
        <v>196.18</v>
      </c>
      <c r="M424" s="10">
        <v>961.09</v>
      </c>
      <c r="N424" s="8">
        <v>7</v>
      </c>
      <c r="O424" s="6">
        <v>2.2000000000000002</v>
      </c>
    </row>
    <row r="425" spans="1:15" x14ac:dyDescent="0.25">
      <c r="A425" s="8">
        <v>87832</v>
      </c>
      <c r="B425" s="9" t="s">
        <v>23</v>
      </c>
      <c r="C425" s="9" t="s">
        <v>49</v>
      </c>
      <c r="D425" s="9" t="s">
        <v>16</v>
      </c>
      <c r="E425" s="9" t="s">
        <v>13</v>
      </c>
      <c r="F425" s="9" t="str">
        <f t="shared" si="6"/>
        <v>Delivered</v>
      </c>
      <c r="G425" s="9" t="b">
        <v>0</v>
      </c>
      <c r="H425" s="9" t="s">
        <v>18</v>
      </c>
      <c r="I425" s="8">
        <v>8699</v>
      </c>
      <c r="J425" s="10">
        <v>967.27</v>
      </c>
      <c r="K425" s="10">
        <v>118.78</v>
      </c>
      <c r="L425" s="10">
        <v>0</v>
      </c>
      <c r="M425" s="10">
        <v>1086.05</v>
      </c>
      <c r="N425" s="8">
        <v>13</v>
      </c>
      <c r="O425" s="6">
        <v>1</v>
      </c>
    </row>
    <row r="426" spans="1:15" x14ac:dyDescent="0.25">
      <c r="A426" s="8">
        <v>48175</v>
      </c>
      <c r="B426" s="9" t="s">
        <v>23</v>
      </c>
      <c r="C426" s="9" t="s">
        <v>60</v>
      </c>
      <c r="D426" s="9" t="s">
        <v>27</v>
      </c>
      <c r="E426" s="9" t="s">
        <v>3</v>
      </c>
      <c r="F426" s="9" t="str">
        <f t="shared" si="6"/>
        <v>Not Delivered</v>
      </c>
      <c r="G426" s="9" t="b">
        <v>0</v>
      </c>
      <c r="H426" s="9" t="s">
        <v>14</v>
      </c>
      <c r="I426" s="8">
        <v>1534</v>
      </c>
      <c r="J426" s="10">
        <v>1712.4</v>
      </c>
      <c r="K426" s="10">
        <v>0</v>
      </c>
      <c r="L426" s="10">
        <v>0</v>
      </c>
      <c r="M426" s="10">
        <v>1712.4</v>
      </c>
      <c r="N426" s="8">
        <v>7</v>
      </c>
      <c r="O426" s="6">
        <v>3.9</v>
      </c>
    </row>
    <row r="427" spans="1:15" x14ac:dyDescent="0.25">
      <c r="A427" s="8">
        <v>40340</v>
      </c>
      <c r="B427" s="9" t="s">
        <v>39</v>
      </c>
      <c r="C427" s="9" t="s">
        <v>40</v>
      </c>
      <c r="D427" s="9" t="s">
        <v>19</v>
      </c>
      <c r="E427" s="9" t="s">
        <v>17</v>
      </c>
      <c r="F427" s="9" t="str">
        <f t="shared" si="6"/>
        <v>Not Delivered</v>
      </c>
      <c r="G427" s="9" t="b">
        <v>1</v>
      </c>
      <c r="H427" s="9" t="s">
        <v>28</v>
      </c>
      <c r="I427" s="8">
        <v>5720</v>
      </c>
      <c r="J427" s="10">
        <v>453.43</v>
      </c>
      <c r="K427" s="10">
        <v>56.67</v>
      </c>
      <c r="L427" s="10">
        <v>128.47</v>
      </c>
      <c r="M427" s="10">
        <v>638.57000000000005</v>
      </c>
      <c r="N427" s="8">
        <v>12</v>
      </c>
      <c r="O427" s="6">
        <v>2.1</v>
      </c>
    </row>
    <row r="428" spans="1:15" x14ac:dyDescent="0.25">
      <c r="A428" s="8">
        <v>47056</v>
      </c>
      <c r="B428" s="9" t="s">
        <v>23</v>
      </c>
      <c r="C428" s="9" t="s">
        <v>49</v>
      </c>
      <c r="D428" s="9" t="s">
        <v>35</v>
      </c>
      <c r="E428" s="9" t="s">
        <v>17</v>
      </c>
      <c r="F428" s="9" t="str">
        <f t="shared" si="6"/>
        <v>Not Delivered</v>
      </c>
      <c r="G428" s="9" t="b">
        <v>0</v>
      </c>
      <c r="H428" s="9" t="s">
        <v>28</v>
      </c>
      <c r="I428" s="8">
        <v>8438</v>
      </c>
      <c r="J428" s="10">
        <v>464.52</v>
      </c>
      <c r="K428" s="10">
        <v>59.15</v>
      </c>
      <c r="L428" s="10">
        <v>0</v>
      </c>
      <c r="M428" s="10">
        <v>523.66999999999996</v>
      </c>
      <c r="N428" s="8">
        <v>5</v>
      </c>
      <c r="O428" s="6">
        <v>3</v>
      </c>
    </row>
    <row r="429" spans="1:15" x14ac:dyDescent="0.25">
      <c r="A429" s="8">
        <v>19329</v>
      </c>
      <c r="B429" s="9" t="s">
        <v>5</v>
      </c>
      <c r="C429" s="9" t="s">
        <v>59</v>
      </c>
      <c r="D429" s="9" t="s">
        <v>45</v>
      </c>
      <c r="E429" s="9" t="s">
        <v>8</v>
      </c>
      <c r="F429" s="9" t="str">
        <f t="shared" si="6"/>
        <v>Not Delivered</v>
      </c>
      <c r="G429" s="9" t="b">
        <v>0</v>
      </c>
      <c r="H429" s="9" t="s">
        <v>4</v>
      </c>
      <c r="I429" s="8">
        <v>4824</v>
      </c>
      <c r="J429" s="10">
        <v>250.9</v>
      </c>
      <c r="K429" s="10">
        <v>97.92</v>
      </c>
      <c r="L429" s="10">
        <v>0</v>
      </c>
      <c r="M429" s="10">
        <v>348.82</v>
      </c>
      <c r="N429" s="8">
        <v>5</v>
      </c>
    </row>
    <row r="430" spans="1:15" x14ac:dyDescent="0.25">
      <c r="A430" s="8">
        <v>44675</v>
      </c>
      <c r="B430" s="9" t="s">
        <v>23</v>
      </c>
      <c r="C430" s="9" t="s">
        <v>60</v>
      </c>
      <c r="D430" s="9" t="s">
        <v>45</v>
      </c>
      <c r="E430" s="9" t="s">
        <v>8</v>
      </c>
      <c r="F430" s="9" t="str">
        <f t="shared" si="6"/>
        <v>Not Delivered</v>
      </c>
      <c r="G430" s="9" t="b">
        <v>0</v>
      </c>
      <c r="H430" s="9" t="s">
        <v>14</v>
      </c>
      <c r="I430" s="8">
        <v>4241</v>
      </c>
      <c r="J430" s="10">
        <v>579.45000000000005</v>
      </c>
      <c r="K430" s="10">
        <v>84.19</v>
      </c>
      <c r="L430" s="10">
        <v>0</v>
      </c>
      <c r="M430" s="10">
        <v>663.64</v>
      </c>
      <c r="N430" s="8">
        <v>13</v>
      </c>
      <c r="O430" s="6">
        <v>5</v>
      </c>
    </row>
    <row r="431" spans="1:15" x14ac:dyDescent="0.25">
      <c r="A431" s="8">
        <v>65723</v>
      </c>
      <c r="B431" s="9" t="s">
        <v>5</v>
      </c>
      <c r="C431" s="9" t="s">
        <v>56</v>
      </c>
      <c r="D431" s="9" t="s">
        <v>45</v>
      </c>
      <c r="E431" s="9" t="s">
        <v>32</v>
      </c>
      <c r="F431" s="9" t="str">
        <f t="shared" si="6"/>
        <v>Not Delivered</v>
      </c>
      <c r="G431" s="9" t="b">
        <v>1</v>
      </c>
      <c r="H431" s="9" t="s">
        <v>28</v>
      </c>
      <c r="I431" s="8">
        <v>2880</v>
      </c>
      <c r="J431" s="10">
        <v>384.51</v>
      </c>
      <c r="K431" s="10">
        <v>81.290000000000006</v>
      </c>
      <c r="L431" s="10">
        <v>31.66</v>
      </c>
      <c r="M431" s="10">
        <v>497.46</v>
      </c>
      <c r="N431" s="8">
        <v>7</v>
      </c>
    </row>
    <row r="432" spans="1:15" x14ac:dyDescent="0.25">
      <c r="A432" s="8">
        <v>81376</v>
      </c>
      <c r="B432" s="9" t="s">
        <v>10</v>
      </c>
      <c r="C432" s="9" t="s">
        <v>20</v>
      </c>
      <c r="D432" s="9" t="s">
        <v>19</v>
      </c>
      <c r="E432" s="9" t="s">
        <v>3</v>
      </c>
      <c r="F432" s="9" t="str">
        <f t="shared" si="6"/>
        <v>Not Delivered</v>
      </c>
      <c r="G432" s="9" t="b">
        <v>1</v>
      </c>
      <c r="H432" s="9" t="s">
        <v>22</v>
      </c>
      <c r="I432" s="8">
        <v>4683</v>
      </c>
      <c r="J432" s="10">
        <v>1673.68</v>
      </c>
      <c r="K432" s="10">
        <v>0</v>
      </c>
      <c r="L432" s="10">
        <v>265.68</v>
      </c>
      <c r="M432" s="10">
        <v>1939.36</v>
      </c>
      <c r="N432" s="8">
        <v>8</v>
      </c>
      <c r="O432" s="6">
        <v>5</v>
      </c>
    </row>
    <row r="433" spans="1:15" x14ac:dyDescent="0.25">
      <c r="A433" s="8">
        <v>94886</v>
      </c>
      <c r="B433" s="9" t="s">
        <v>5</v>
      </c>
      <c r="C433" s="9" t="s">
        <v>59</v>
      </c>
      <c r="D433" s="9" t="s">
        <v>7</v>
      </c>
      <c r="E433" s="9" t="s">
        <v>8</v>
      </c>
      <c r="F433" s="9" t="str">
        <f t="shared" si="6"/>
        <v>Not Delivered</v>
      </c>
      <c r="G433" s="9" t="b">
        <v>0</v>
      </c>
      <c r="H433" s="9" t="s">
        <v>22</v>
      </c>
      <c r="I433" s="8">
        <v>3441</v>
      </c>
      <c r="J433" s="10">
        <v>1731.82</v>
      </c>
      <c r="K433" s="10">
        <v>0</v>
      </c>
      <c r="L433" s="10">
        <v>0</v>
      </c>
      <c r="M433" s="10">
        <v>1731.82</v>
      </c>
      <c r="N433" s="8">
        <v>11</v>
      </c>
      <c r="O433" s="6">
        <v>4.7</v>
      </c>
    </row>
    <row r="434" spans="1:15" x14ac:dyDescent="0.25">
      <c r="A434" s="8">
        <v>44816</v>
      </c>
      <c r="B434" s="9" t="s">
        <v>5</v>
      </c>
      <c r="C434" s="9" t="s">
        <v>31</v>
      </c>
      <c r="D434" s="9" t="s">
        <v>27</v>
      </c>
      <c r="E434" s="9" t="s">
        <v>32</v>
      </c>
      <c r="F434" s="9" t="str">
        <f t="shared" si="6"/>
        <v>Not Delivered</v>
      </c>
      <c r="G434" s="9" t="b">
        <v>0</v>
      </c>
      <c r="H434" s="9" t="s">
        <v>4</v>
      </c>
      <c r="I434" s="8">
        <v>3330</v>
      </c>
      <c r="J434" s="10">
        <v>2356.0700000000002</v>
      </c>
      <c r="L434" s="10">
        <v>0</v>
      </c>
      <c r="M434" s="10">
        <v>2431.4</v>
      </c>
      <c r="N434" s="8">
        <v>4</v>
      </c>
      <c r="O434" s="6">
        <v>1.2</v>
      </c>
    </row>
    <row r="435" spans="1:15" x14ac:dyDescent="0.25">
      <c r="A435" s="8">
        <v>19359</v>
      </c>
      <c r="B435" s="9" t="s">
        <v>23</v>
      </c>
      <c r="C435" s="9" t="s">
        <v>48</v>
      </c>
      <c r="D435" s="9" t="s">
        <v>19</v>
      </c>
      <c r="E435" s="9" t="s">
        <v>17</v>
      </c>
      <c r="F435" s="9" t="str">
        <f t="shared" si="6"/>
        <v>Not Delivered</v>
      </c>
      <c r="G435" s="9" t="b">
        <v>0</v>
      </c>
      <c r="H435" s="9" t="s">
        <v>4</v>
      </c>
      <c r="I435" s="8">
        <v>1977</v>
      </c>
      <c r="J435" s="10">
        <v>1387.36</v>
      </c>
      <c r="K435" s="10">
        <v>0</v>
      </c>
      <c r="L435" s="10">
        <v>0</v>
      </c>
      <c r="M435" s="10">
        <v>1387.36</v>
      </c>
      <c r="N435" s="8">
        <v>10</v>
      </c>
    </row>
    <row r="436" spans="1:15" x14ac:dyDescent="0.25">
      <c r="A436" s="8">
        <v>31747</v>
      </c>
      <c r="B436" s="9" t="s">
        <v>41</v>
      </c>
      <c r="C436" s="9" t="s">
        <v>42</v>
      </c>
      <c r="D436" s="9" t="s">
        <v>27</v>
      </c>
      <c r="E436" s="9" t="s">
        <v>17</v>
      </c>
      <c r="F436" s="9" t="str">
        <f t="shared" si="6"/>
        <v>Not Delivered</v>
      </c>
      <c r="G436" s="9" t="b">
        <v>1</v>
      </c>
      <c r="H436" s="9" t="s">
        <v>4</v>
      </c>
      <c r="I436" s="8">
        <v>6039</v>
      </c>
      <c r="J436" s="10">
        <v>1814.49</v>
      </c>
      <c r="K436" s="10">
        <v>0</v>
      </c>
      <c r="L436" s="10">
        <v>57.88</v>
      </c>
      <c r="M436" s="10">
        <v>1872.37</v>
      </c>
      <c r="N436" s="8">
        <v>2</v>
      </c>
      <c r="O436" s="6">
        <v>2.4</v>
      </c>
    </row>
    <row r="437" spans="1:15" x14ac:dyDescent="0.25">
      <c r="A437" s="8">
        <v>87993</v>
      </c>
      <c r="B437" s="9" t="s">
        <v>10</v>
      </c>
      <c r="C437" s="9" t="s">
        <v>29</v>
      </c>
      <c r="D437" s="9" t="s">
        <v>45</v>
      </c>
      <c r="E437" s="9" t="s">
        <v>8</v>
      </c>
      <c r="F437" s="9" t="str">
        <f t="shared" si="6"/>
        <v>Not Delivered</v>
      </c>
      <c r="G437" s="9" t="b">
        <v>1</v>
      </c>
      <c r="H437" s="9" t="s">
        <v>28</v>
      </c>
      <c r="I437" s="8">
        <v>5728</v>
      </c>
      <c r="J437" s="10">
        <v>1432.52</v>
      </c>
      <c r="K437" s="10">
        <v>62.58</v>
      </c>
      <c r="L437" s="10">
        <v>198.17</v>
      </c>
      <c r="M437" s="10">
        <v>1693.27</v>
      </c>
      <c r="N437" s="8">
        <v>13</v>
      </c>
      <c r="O437" s="6">
        <v>2.4</v>
      </c>
    </row>
    <row r="438" spans="1:15" x14ac:dyDescent="0.25">
      <c r="A438" s="8">
        <v>67560</v>
      </c>
      <c r="B438" s="9" t="s">
        <v>5</v>
      </c>
      <c r="C438" s="9" t="s">
        <v>31</v>
      </c>
      <c r="D438" s="9" t="s">
        <v>19</v>
      </c>
      <c r="E438" s="9" t="s">
        <v>21</v>
      </c>
      <c r="F438" s="9" t="str">
        <f t="shared" si="6"/>
        <v>Not Delivered</v>
      </c>
      <c r="G438" s="9" t="b">
        <v>1</v>
      </c>
      <c r="H438" s="9" t="s">
        <v>28</v>
      </c>
      <c r="I438" s="8">
        <v>3037</v>
      </c>
      <c r="J438" s="10">
        <v>1068.8699999999999</v>
      </c>
      <c r="K438" s="10">
        <v>75.069999999999993</v>
      </c>
      <c r="L438" s="10">
        <v>255.99</v>
      </c>
      <c r="M438" s="10">
        <v>1399.93</v>
      </c>
      <c r="N438" s="8">
        <v>9</v>
      </c>
      <c r="O438" s="6">
        <v>3.8</v>
      </c>
    </row>
    <row r="439" spans="1:15" x14ac:dyDescent="0.25">
      <c r="A439" s="8">
        <v>71433</v>
      </c>
      <c r="B439" s="9" t="s">
        <v>41</v>
      </c>
      <c r="C439" s="9" t="s">
        <v>61</v>
      </c>
      <c r="D439" s="9" t="s">
        <v>35</v>
      </c>
      <c r="E439" s="9" t="s">
        <v>3</v>
      </c>
      <c r="F439" s="9" t="str">
        <f t="shared" si="6"/>
        <v>Not Delivered</v>
      </c>
      <c r="G439" s="9" t="b">
        <v>1</v>
      </c>
      <c r="H439" s="9" t="s">
        <v>4</v>
      </c>
      <c r="I439" s="8">
        <v>5982</v>
      </c>
      <c r="J439" s="10">
        <v>1012.1</v>
      </c>
      <c r="K439" s="10">
        <v>136.77000000000001</v>
      </c>
      <c r="L439" s="10">
        <v>38.28</v>
      </c>
      <c r="M439" s="10">
        <v>1187.1500000000001</v>
      </c>
      <c r="N439" s="8">
        <v>8</v>
      </c>
      <c r="O439" s="6">
        <v>2.1</v>
      </c>
    </row>
    <row r="440" spans="1:15" x14ac:dyDescent="0.25">
      <c r="A440" s="8">
        <v>62757</v>
      </c>
      <c r="B440" s="9" t="s">
        <v>0</v>
      </c>
      <c r="C440" s="9" t="s">
        <v>43</v>
      </c>
      <c r="D440" s="9" t="s">
        <v>30</v>
      </c>
      <c r="E440" s="9" t="s">
        <v>3</v>
      </c>
      <c r="F440" s="9" t="str">
        <f t="shared" si="6"/>
        <v>Not Delivered</v>
      </c>
      <c r="G440" s="9" t="b">
        <v>1</v>
      </c>
      <c r="H440" s="9" t="s">
        <v>28</v>
      </c>
      <c r="I440" s="8">
        <v>5460</v>
      </c>
      <c r="J440" s="10">
        <v>775.42</v>
      </c>
      <c r="K440" s="10">
        <v>0</v>
      </c>
      <c r="L440" s="10">
        <v>177.6</v>
      </c>
      <c r="M440" s="10">
        <v>953.02</v>
      </c>
      <c r="N440" s="8">
        <v>4</v>
      </c>
      <c r="O440" s="6">
        <v>1.3</v>
      </c>
    </row>
    <row r="441" spans="1:15" x14ac:dyDescent="0.25">
      <c r="A441" s="8">
        <v>75597</v>
      </c>
      <c r="B441" s="9" t="s">
        <v>41</v>
      </c>
      <c r="C441" s="9" t="s">
        <v>42</v>
      </c>
      <c r="D441" s="9" t="s">
        <v>12</v>
      </c>
      <c r="E441" s="9" t="s">
        <v>21</v>
      </c>
      <c r="F441" s="9" t="str">
        <f t="shared" si="6"/>
        <v>Not Delivered</v>
      </c>
      <c r="G441" s="9" t="b">
        <v>0</v>
      </c>
      <c r="H441" s="9" t="s">
        <v>22</v>
      </c>
      <c r="I441" s="8">
        <v>9847</v>
      </c>
      <c r="J441" s="10">
        <v>1984.62</v>
      </c>
      <c r="K441" s="10">
        <v>0</v>
      </c>
      <c r="L441" s="10">
        <v>0</v>
      </c>
      <c r="M441" s="10">
        <v>1984.62</v>
      </c>
      <c r="N441" s="8">
        <v>6</v>
      </c>
      <c r="O441" s="6">
        <v>2.2999999999999998</v>
      </c>
    </row>
    <row r="442" spans="1:15" x14ac:dyDescent="0.25">
      <c r="A442" s="8">
        <v>74722</v>
      </c>
      <c r="B442" s="9" t="s">
        <v>5</v>
      </c>
      <c r="C442" s="9" t="s">
        <v>6</v>
      </c>
      <c r="D442" s="9" t="s">
        <v>2</v>
      </c>
      <c r="E442" s="9" t="s">
        <v>8</v>
      </c>
      <c r="F442" s="9" t="str">
        <f t="shared" si="6"/>
        <v>Not Delivered</v>
      </c>
      <c r="G442" s="9" t="b">
        <v>1</v>
      </c>
      <c r="H442" s="9" t="s">
        <v>14</v>
      </c>
      <c r="I442" s="8">
        <v>8172</v>
      </c>
      <c r="J442" s="10">
        <v>2120.94</v>
      </c>
      <c r="K442" s="10">
        <v>0</v>
      </c>
      <c r="L442" s="10">
        <v>55.35</v>
      </c>
      <c r="M442" s="10">
        <v>2176.29</v>
      </c>
      <c r="N442" s="8">
        <v>4</v>
      </c>
    </row>
    <row r="443" spans="1:15" x14ac:dyDescent="0.25">
      <c r="A443" s="8">
        <v>20543</v>
      </c>
      <c r="B443" s="9" t="s">
        <v>39</v>
      </c>
      <c r="C443" s="9" t="s">
        <v>58</v>
      </c>
      <c r="D443" s="9" t="s">
        <v>19</v>
      </c>
      <c r="E443" s="9" t="s">
        <v>8</v>
      </c>
      <c r="F443" s="9" t="str">
        <f t="shared" si="6"/>
        <v>Not Delivered</v>
      </c>
      <c r="G443" s="9" t="b">
        <v>0</v>
      </c>
      <c r="H443" s="9" t="s">
        <v>9</v>
      </c>
      <c r="I443" s="8">
        <v>1653</v>
      </c>
      <c r="J443" s="10">
        <v>826.67</v>
      </c>
      <c r="K443" s="10">
        <v>75.59</v>
      </c>
      <c r="L443" s="10">
        <v>0</v>
      </c>
      <c r="M443" s="10">
        <v>902.26</v>
      </c>
      <c r="N443" s="8">
        <v>4</v>
      </c>
      <c r="O443" s="6">
        <v>1.3</v>
      </c>
    </row>
    <row r="444" spans="1:15" x14ac:dyDescent="0.25">
      <c r="A444" s="8">
        <v>66626</v>
      </c>
      <c r="B444" s="9" t="s">
        <v>5</v>
      </c>
      <c r="C444" s="9" t="s">
        <v>44</v>
      </c>
      <c r="D444" s="9" t="s">
        <v>2</v>
      </c>
      <c r="E444" s="9" t="s">
        <v>13</v>
      </c>
      <c r="F444" s="9" t="str">
        <f t="shared" si="6"/>
        <v>Delivered</v>
      </c>
      <c r="G444" s="9" t="b">
        <v>0</v>
      </c>
      <c r="H444" s="9" t="s">
        <v>18</v>
      </c>
      <c r="I444" s="8">
        <v>6280</v>
      </c>
      <c r="J444" s="10">
        <v>2042.35</v>
      </c>
      <c r="K444" s="10">
        <v>0</v>
      </c>
      <c r="L444" s="10">
        <v>0</v>
      </c>
      <c r="M444" s="10">
        <v>2042.35</v>
      </c>
      <c r="N444" s="8">
        <v>14</v>
      </c>
      <c r="O444" s="6">
        <v>3.8</v>
      </c>
    </row>
    <row r="445" spans="1:15" x14ac:dyDescent="0.25">
      <c r="A445" s="8">
        <v>89129</v>
      </c>
      <c r="B445" s="9" t="s">
        <v>5</v>
      </c>
      <c r="C445" s="9" t="s">
        <v>31</v>
      </c>
      <c r="D445" s="9" t="s">
        <v>30</v>
      </c>
      <c r="E445" s="9" t="s">
        <v>8</v>
      </c>
      <c r="F445" s="9" t="str">
        <f t="shared" si="6"/>
        <v>Not Delivered</v>
      </c>
      <c r="G445" s="9" t="b">
        <v>1</v>
      </c>
      <c r="H445" s="9" t="s">
        <v>28</v>
      </c>
      <c r="I445" s="8">
        <v>5102</v>
      </c>
      <c r="J445" s="10">
        <v>361.89</v>
      </c>
      <c r="K445" s="10">
        <v>47.79</v>
      </c>
      <c r="L445" s="10">
        <v>27.53</v>
      </c>
      <c r="M445" s="10">
        <v>437.21</v>
      </c>
      <c r="N445" s="8">
        <v>4</v>
      </c>
      <c r="O445" s="6">
        <v>1.8</v>
      </c>
    </row>
    <row r="446" spans="1:15" x14ac:dyDescent="0.25">
      <c r="A446" s="8">
        <v>13390</v>
      </c>
      <c r="B446" s="9" t="s">
        <v>41</v>
      </c>
      <c r="C446" s="9" t="s">
        <v>46</v>
      </c>
      <c r="D446" s="9" t="s">
        <v>12</v>
      </c>
      <c r="E446" s="9" t="s">
        <v>32</v>
      </c>
      <c r="F446" s="9" t="str">
        <f t="shared" si="6"/>
        <v>Not Delivered</v>
      </c>
      <c r="G446" s="9" t="b">
        <v>0</v>
      </c>
      <c r="H446" s="9" t="s">
        <v>14</v>
      </c>
      <c r="I446" s="8">
        <v>2496</v>
      </c>
      <c r="J446" s="10">
        <v>1528.53</v>
      </c>
      <c r="K446" s="10">
        <v>124.61</v>
      </c>
      <c r="L446" s="10">
        <v>0</v>
      </c>
      <c r="M446" s="10">
        <v>1653.14</v>
      </c>
      <c r="N446" s="8">
        <v>11</v>
      </c>
      <c r="O446" s="6">
        <v>3.7</v>
      </c>
    </row>
    <row r="447" spans="1:15" x14ac:dyDescent="0.25">
      <c r="A447" s="8">
        <v>40005</v>
      </c>
      <c r="B447" s="9" t="s">
        <v>23</v>
      </c>
      <c r="C447" s="9" t="s">
        <v>34</v>
      </c>
      <c r="D447" s="9" t="s">
        <v>35</v>
      </c>
      <c r="E447" s="9" t="s">
        <v>13</v>
      </c>
      <c r="F447" s="9" t="str">
        <f t="shared" si="6"/>
        <v>Delivered</v>
      </c>
      <c r="G447" s="9" t="b">
        <v>0</v>
      </c>
      <c r="H447" s="9" t="s">
        <v>9</v>
      </c>
      <c r="I447" s="8">
        <v>1339</v>
      </c>
      <c r="J447" s="10">
        <v>1294.44</v>
      </c>
      <c r="K447" s="10">
        <v>65.819999999999993</v>
      </c>
      <c r="L447" s="10">
        <v>0</v>
      </c>
      <c r="M447" s="10">
        <v>1360.26</v>
      </c>
      <c r="N447" s="8">
        <v>6</v>
      </c>
      <c r="O447" s="6">
        <v>3.2</v>
      </c>
    </row>
    <row r="448" spans="1:15" x14ac:dyDescent="0.25">
      <c r="A448" s="8">
        <v>98117</v>
      </c>
      <c r="B448" s="9" t="s">
        <v>0</v>
      </c>
      <c r="C448" s="9" t="s">
        <v>37</v>
      </c>
      <c r="D448" s="9" t="s">
        <v>45</v>
      </c>
      <c r="E448" s="9" t="s">
        <v>3</v>
      </c>
      <c r="F448" s="9" t="str">
        <f t="shared" si="6"/>
        <v>Not Delivered</v>
      </c>
      <c r="G448" s="9" t="b">
        <v>1</v>
      </c>
      <c r="H448" s="9" t="s">
        <v>4</v>
      </c>
      <c r="I448" s="8">
        <v>5415</v>
      </c>
      <c r="J448" s="10">
        <v>1513.16</v>
      </c>
      <c r="K448" s="10">
        <v>74.069999999999993</v>
      </c>
      <c r="L448" s="10">
        <v>264.86</v>
      </c>
      <c r="M448" s="10">
        <v>1852.09</v>
      </c>
      <c r="N448" s="8">
        <v>12</v>
      </c>
      <c r="O448" s="6">
        <v>4.8</v>
      </c>
    </row>
    <row r="449" spans="1:15" x14ac:dyDescent="0.25">
      <c r="A449" s="8">
        <v>85529</v>
      </c>
      <c r="B449" s="9" t="s">
        <v>0</v>
      </c>
      <c r="C449" s="9" t="s">
        <v>1</v>
      </c>
      <c r="D449" s="9" t="s">
        <v>35</v>
      </c>
      <c r="E449" s="9" t="s">
        <v>17</v>
      </c>
      <c r="F449" s="9" t="str">
        <f t="shared" si="6"/>
        <v>Not Delivered</v>
      </c>
      <c r="G449" s="9" t="b">
        <v>0</v>
      </c>
      <c r="H449" s="9" t="s">
        <v>14</v>
      </c>
      <c r="I449" s="8">
        <v>1659</v>
      </c>
      <c r="J449" s="10">
        <v>1771.88</v>
      </c>
      <c r="K449" s="10">
        <v>101.76</v>
      </c>
      <c r="L449" s="10">
        <v>0</v>
      </c>
      <c r="M449" s="10">
        <v>1873.64</v>
      </c>
      <c r="N449" s="8">
        <v>1</v>
      </c>
      <c r="O449" s="6">
        <v>1.9</v>
      </c>
    </row>
    <row r="450" spans="1:15" x14ac:dyDescent="0.25">
      <c r="A450" s="8">
        <v>32962</v>
      </c>
      <c r="B450" s="9" t="s">
        <v>0</v>
      </c>
      <c r="C450" s="9" t="s">
        <v>51</v>
      </c>
      <c r="D450" s="9" t="s">
        <v>2</v>
      </c>
      <c r="E450" s="9" t="s">
        <v>32</v>
      </c>
      <c r="F450" s="9" t="str">
        <f t="shared" si="6"/>
        <v>Not Delivered</v>
      </c>
      <c r="G450" s="9" t="b">
        <v>1</v>
      </c>
      <c r="H450" s="9" t="s">
        <v>28</v>
      </c>
      <c r="I450" s="8">
        <v>8708</v>
      </c>
      <c r="J450" s="10">
        <v>1666.53</v>
      </c>
      <c r="K450" s="10">
        <v>107.07</v>
      </c>
      <c r="L450" s="10">
        <v>25.94</v>
      </c>
      <c r="M450" s="10">
        <v>1799.54</v>
      </c>
      <c r="N450" s="8">
        <v>6</v>
      </c>
      <c r="O450" s="6">
        <v>2.1</v>
      </c>
    </row>
    <row r="451" spans="1:15" x14ac:dyDescent="0.25">
      <c r="A451" s="8">
        <v>78021</v>
      </c>
      <c r="B451" s="9" t="s">
        <v>10</v>
      </c>
      <c r="C451" s="9" t="s">
        <v>11</v>
      </c>
      <c r="D451" s="9" t="s">
        <v>38</v>
      </c>
      <c r="E451" s="9" t="s">
        <v>8</v>
      </c>
      <c r="F451" s="9" t="str">
        <f t="shared" ref="F451:F514" si="7">IF(OR(
E451="Failed Delivery",
E451="Cancelled",
E451="Pending",
E451="Rescheduled",
E451="In Transit"
),"Not Delivered","Delivered")</f>
        <v>Not Delivered</v>
      </c>
      <c r="G451" s="9" t="b">
        <v>1</v>
      </c>
      <c r="H451" s="9" t="s">
        <v>18</v>
      </c>
      <c r="I451" s="8">
        <v>8245</v>
      </c>
      <c r="J451" s="10">
        <v>274.62</v>
      </c>
      <c r="K451" s="10">
        <v>54.98</v>
      </c>
      <c r="L451" s="10">
        <v>43.09</v>
      </c>
      <c r="M451" s="10">
        <v>372.69</v>
      </c>
      <c r="N451" s="8">
        <v>13</v>
      </c>
      <c r="O451" s="6">
        <v>3</v>
      </c>
    </row>
    <row r="452" spans="1:15" x14ac:dyDescent="0.25">
      <c r="A452" s="8">
        <v>46458</v>
      </c>
      <c r="B452" s="9" t="s">
        <v>5</v>
      </c>
      <c r="C452" s="9" t="s">
        <v>59</v>
      </c>
      <c r="D452" s="9" t="s">
        <v>35</v>
      </c>
      <c r="E452" s="9" t="s">
        <v>13</v>
      </c>
      <c r="F452" s="9" t="str">
        <f t="shared" si="7"/>
        <v>Delivered</v>
      </c>
      <c r="G452" s="9" t="b">
        <v>0</v>
      </c>
      <c r="H452" s="9" t="s">
        <v>14</v>
      </c>
      <c r="I452" s="8">
        <v>3973</v>
      </c>
      <c r="J452" s="10">
        <v>1677.19</v>
      </c>
      <c r="K452" s="10">
        <v>0</v>
      </c>
      <c r="L452" s="10">
        <v>0</v>
      </c>
      <c r="M452" s="10">
        <v>1677.19</v>
      </c>
      <c r="N452" s="8">
        <v>2</v>
      </c>
      <c r="O452" s="6">
        <v>4.7</v>
      </c>
    </row>
    <row r="453" spans="1:15" x14ac:dyDescent="0.25">
      <c r="A453" s="8">
        <v>86720</v>
      </c>
      <c r="B453" s="9" t="s">
        <v>39</v>
      </c>
      <c r="C453" s="9" t="s">
        <v>58</v>
      </c>
      <c r="D453" s="9" t="s">
        <v>25</v>
      </c>
      <c r="E453" s="9" t="s">
        <v>13</v>
      </c>
      <c r="F453" s="9" t="str">
        <f t="shared" si="7"/>
        <v>Delivered</v>
      </c>
      <c r="G453" s="9" t="b">
        <v>1</v>
      </c>
      <c r="H453" s="9" t="s">
        <v>18</v>
      </c>
      <c r="I453" s="8">
        <v>8141</v>
      </c>
      <c r="J453" s="10">
        <v>1400.95</v>
      </c>
      <c r="K453" s="10">
        <v>0</v>
      </c>
      <c r="L453" s="10">
        <v>40.85</v>
      </c>
      <c r="M453" s="10">
        <v>1441.8</v>
      </c>
      <c r="N453" s="8">
        <v>11</v>
      </c>
      <c r="O453" s="6">
        <v>2.2000000000000002</v>
      </c>
    </row>
    <row r="454" spans="1:15" x14ac:dyDescent="0.25">
      <c r="A454" s="8">
        <v>93202</v>
      </c>
      <c r="B454" s="9" t="s">
        <v>41</v>
      </c>
      <c r="C454" s="9" t="s">
        <v>46</v>
      </c>
      <c r="D454" s="9" t="s">
        <v>12</v>
      </c>
      <c r="E454" s="9" t="s">
        <v>32</v>
      </c>
      <c r="F454" s="9" t="str">
        <f t="shared" si="7"/>
        <v>Not Delivered</v>
      </c>
      <c r="G454" s="9" t="b">
        <v>0</v>
      </c>
      <c r="H454" s="9" t="s">
        <v>9</v>
      </c>
      <c r="I454" s="8">
        <v>9056</v>
      </c>
      <c r="J454" s="10">
        <v>1019.03</v>
      </c>
      <c r="K454" s="10">
        <v>65.319999999999993</v>
      </c>
      <c r="L454" s="10">
        <v>0</v>
      </c>
      <c r="M454" s="10">
        <v>1084.3499999999999</v>
      </c>
      <c r="N454" s="8">
        <v>8</v>
      </c>
      <c r="O454" s="6">
        <v>3.3</v>
      </c>
    </row>
    <row r="455" spans="1:15" x14ac:dyDescent="0.25">
      <c r="A455" s="8">
        <v>21959</v>
      </c>
      <c r="B455" s="9" t="s">
        <v>10</v>
      </c>
      <c r="C455" s="9" t="s">
        <v>20</v>
      </c>
      <c r="E455" s="9" t="s">
        <v>17</v>
      </c>
      <c r="F455" s="9" t="str">
        <f t="shared" si="7"/>
        <v>Not Delivered</v>
      </c>
      <c r="G455" s="9" t="b">
        <v>0</v>
      </c>
      <c r="H455" s="9" t="s">
        <v>9</v>
      </c>
      <c r="I455" s="8">
        <v>8700</v>
      </c>
      <c r="J455" s="10">
        <v>381.22</v>
      </c>
      <c r="K455" s="10">
        <v>50.21</v>
      </c>
      <c r="M455" s="10">
        <v>431.43</v>
      </c>
      <c r="N455" s="8">
        <v>10</v>
      </c>
      <c r="O455" s="6">
        <v>3.2</v>
      </c>
    </row>
    <row r="456" spans="1:15" x14ac:dyDescent="0.25">
      <c r="A456" s="8">
        <v>55607</v>
      </c>
      <c r="B456" s="9" t="s">
        <v>41</v>
      </c>
      <c r="C456" s="9" t="s">
        <v>42</v>
      </c>
      <c r="D456" s="9" t="s">
        <v>30</v>
      </c>
      <c r="E456" s="9" t="s">
        <v>21</v>
      </c>
      <c r="F456" s="9" t="str">
        <f t="shared" si="7"/>
        <v>Not Delivered</v>
      </c>
      <c r="G456" s="9" t="b">
        <v>1</v>
      </c>
      <c r="H456" s="9" t="s">
        <v>22</v>
      </c>
      <c r="I456" s="8">
        <v>7690</v>
      </c>
      <c r="J456" s="10">
        <v>2002.42</v>
      </c>
      <c r="K456" s="10">
        <v>0</v>
      </c>
      <c r="L456" s="10">
        <v>233.89</v>
      </c>
      <c r="M456" s="10">
        <v>2236.31</v>
      </c>
      <c r="N456" s="8">
        <v>8</v>
      </c>
      <c r="O456" s="6">
        <v>3.3</v>
      </c>
    </row>
    <row r="457" spans="1:15" x14ac:dyDescent="0.25">
      <c r="A457" s="8">
        <v>53687</v>
      </c>
      <c r="B457" s="9" t="s">
        <v>41</v>
      </c>
      <c r="C457" s="9" t="s">
        <v>46</v>
      </c>
      <c r="D457" s="9" t="s">
        <v>12</v>
      </c>
      <c r="E457" s="9" t="s">
        <v>8</v>
      </c>
      <c r="F457" s="9" t="str">
        <f t="shared" si="7"/>
        <v>Not Delivered</v>
      </c>
      <c r="G457" s="9" t="b">
        <v>0</v>
      </c>
      <c r="H457" s="9" t="s">
        <v>9</v>
      </c>
      <c r="I457" s="8">
        <v>6260</v>
      </c>
      <c r="J457" s="10">
        <v>833.09</v>
      </c>
      <c r="K457" s="10">
        <v>0</v>
      </c>
      <c r="L457" s="10">
        <v>0</v>
      </c>
      <c r="M457" s="10">
        <v>833.09</v>
      </c>
      <c r="N457" s="8">
        <v>6</v>
      </c>
      <c r="O457" s="6">
        <v>3.3</v>
      </c>
    </row>
    <row r="458" spans="1:15" x14ac:dyDescent="0.25">
      <c r="A458" s="8">
        <v>97835</v>
      </c>
      <c r="B458" s="9" t="s">
        <v>39</v>
      </c>
      <c r="C458" s="9" t="s">
        <v>52</v>
      </c>
      <c r="D458" s="9" t="s">
        <v>45</v>
      </c>
      <c r="E458" s="9" t="s">
        <v>21</v>
      </c>
      <c r="F458" s="9" t="str">
        <f t="shared" si="7"/>
        <v>Not Delivered</v>
      </c>
      <c r="G458" s="9" t="b">
        <v>1</v>
      </c>
      <c r="H458" s="9" t="s">
        <v>28</v>
      </c>
      <c r="I458" s="8">
        <v>2713</v>
      </c>
      <c r="J458" s="10">
        <v>574.6</v>
      </c>
      <c r="K458" s="10">
        <v>109.39</v>
      </c>
      <c r="L458" s="10">
        <v>116.93</v>
      </c>
      <c r="M458" s="10">
        <v>800.92</v>
      </c>
      <c r="N458" s="8">
        <v>6</v>
      </c>
      <c r="O458" s="6">
        <v>5</v>
      </c>
    </row>
    <row r="459" spans="1:15" x14ac:dyDescent="0.25">
      <c r="A459" s="8">
        <v>31079</v>
      </c>
      <c r="B459" s="9" t="s">
        <v>39</v>
      </c>
      <c r="C459" s="9" t="s">
        <v>57</v>
      </c>
      <c r="D459" s="9" t="s">
        <v>12</v>
      </c>
      <c r="E459" s="9" t="s">
        <v>8</v>
      </c>
      <c r="F459" s="9" t="str">
        <f t="shared" si="7"/>
        <v>Not Delivered</v>
      </c>
      <c r="G459" s="9" t="b">
        <v>0</v>
      </c>
      <c r="H459" s="9" t="s">
        <v>4</v>
      </c>
      <c r="I459" s="8">
        <v>6403</v>
      </c>
      <c r="J459" s="10">
        <v>1392.38</v>
      </c>
      <c r="L459" s="10">
        <v>0</v>
      </c>
      <c r="M459" s="10">
        <v>1392.38</v>
      </c>
      <c r="N459" s="8">
        <v>3</v>
      </c>
      <c r="O459" s="6">
        <v>4.4000000000000004</v>
      </c>
    </row>
    <row r="460" spans="1:15" x14ac:dyDescent="0.25">
      <c r="A460" s="8">
        <v>63955</v>
      </c>
      <c r="B460" s="9" t="s">
        <v>23</v>
      </c>
      <c r="C460" s="9" t="s">
        <v>34</v>
      </c>
      <c r="D460" s="9" t="s">
        <v>35</v>
      </c>
      <c r="E460" s="9" t="s">
        <v>32</v>
      </c>
      <c r="F460" s="9" t="str">
        <f t="shared" si="7"/>
        <v>Not Delivered</v>
      </c>
      <c r="G460" s="9" t="b">
        <v>1</v>
      </c>
      <c r="H460" s="9" t="s">
        <v>22</v>
      </c>
      <c r="I460" s="8">
        <v>9117</v>
      </c>
      <c r="J460" s="10">
        <v>2791.18</v>
      </c>
      <c r="K460" s="10">
        <v>132.01</v>
      </c>
      <c r="L460" s="10">
        <v>169.38</v>
      </c>
      <c r="M460" s="10">
        <v>3092.57</v>
      </c>
      <c r="N460" s="8">
        <v>2</v>
      </c>
      <c r="O460" s="6">
        <v>2.9</v>
      </c>
    </row>
    <row r="461" spans="1:15" x14ac:dyDescent="0.25">
      <c r="A461" s="8">
        <v>47777</v>
      </c>
      <c r="B461" s="9" t="s">
        <v>41</v>
      </c>
      <c r="C461" s="9" t="s">
        <v>46</v>
      </c>
      <c r="D461" s="9" t="s">
        <v>38</v>
      </c>
      <c r="E461" s="9" t="s">
        <v>8</v>
      </c>
      <c r="F461" s="9" t="str">
        <f t="shared" si="7"/>
        <v>Not Delivered</v>
      </c>
      <c r="G461" s="9" t="b">
        <v>0</v>
      </c>
      <c r="H461" s="9" t="s">
        <v>4</v>
      </c>
      <c r="I461" s="8">
        <v>7561</v>
      </c>
      <c r="J461" s="10">
        <v>748.36</v>
      </c>
      <c r="K461" s="10">
        <v>75.87</v>
      </c>
      <c r="L461" s="10">
        <v>0</v>
      </c>
      <c r="M461" s="10">
        <v>824.23</v>
      </c>
      <c r="N461" s="8">
        <v>10</v>
      </c>
      <c r="O461" s="6">
        <v>1.6</v>
      </c>
    </row>
    <row r="462" spans="1:15" x14ac:dyDescent="0.25">
      <c r="A462" s="8">
        <v>82102</v>
      </c>
      <c r="B462" s="9" t="s">
        <v>39</v>
      </c>
      <c r="C462" s="9" t="s">
        <v>55</v>
      </c>
      <c r="D462" s="9" t="s">
        <v>27</v>
      </c>
      <c r="E462" s="9" t="s">
        <v>17</v>
      </c>
      <c r="F462" s="9" t="str">
        <f t="shared" si="7"/>
        <v>Not Delivered</v>
      </c>
      <c r="G462" s="9" t="b">
        <v>1</v>
      </c>
      <c r="H462" s="9" t="s">
        <v>4</v>
      </c>
      <c r="I462" s="8">
        <v>1601</v>
      </c>
      <c r="J462" s="10">
        <v>1366.58</v>
      </c>
      <c r="K462" s="10">
        <v>75.55</v>
      </c>
      <c r="L462" s="10">
        <v>120.07</v>
      </c>
      <c r="M462" s="10">
        <v>1562.2</v>
      </c>
      <c r="N462" s="8">
        <v>12</v>
      </c>
      <c r="O462" s="6">
        <v>1.2</v>
      </c>
    </row>
    <row r="463" spans="1:15" x14ac:dyDescent="0.25">
      <c r="A463" s="8">
        <v>69614</v>
      </c>
      <c r="B463" s="9" t="s">
        <v>39</v>
      </c>
      <c r="C463" s="9" t="s">
        <v>52</v>
      </c>
      <c r="D463" s="9" t="s">
        <v>30</v>
      </c>
      <c r="E463" s="9" t="s">
        <v>8</v>
      </c>
      <c r="F463" s="9" t="str">
        <f t="shared" si="7"/>
        <v>Not Delivered</v>
      </c>
      <c r="G463" s="9" t="b">
        <v>1</v>
      </c>
      <c r="H463" s="9" t="s">
        <v>4</v>
      </c>
      <c r="I463" s="8">
        <v>2442</v>
      </c>
      <c r="J463" s="10">
        <v>1021.43</v>
      </c>
      <c r="K463" s="10">
        <v>86.02</v>
      </c>
      <c r="L463" s="10">
        <v>32.31</v>
      </c>
      <c r="M463" s="10">
        <v>1139.76</v>
      </c>
      <c r="N463" s="8">
        <v>11</v>
      </c>
      <c r="O463" s="6">
        <v>4.9000000000000004</v>
      </c>
    </row>
    <row r="464" spans="1:15" x14ac:dyDescent="0.25">
      <c r="A464" s="8">
        <v>51224</v>
      </c>
      <c r="B464" s="9" t="s">
        <v>10</v>
      </c>
      <c r="C464" s="9" t="s">
        <v>20</v>
      </c>
      <c r="D464" s="9" t="s">
        <v>19</v>
      </c>
      <c r="E464" s="9" t="s">
        <v>21</v>
      </c>
      <c r="F464" s="9" t="str">
        <f t="shared" si="7"/>
        <v>Not Delivered</v>
      </c>
      <c r="G464" s="9" t="b">
        <v>0</v>
      </c>
      <c r="H464" s="9" t="s">
        <v>33</v>
      </c>
      <c r="I464" s="8">
        <v>5135</v>
      </c>
      <c r="J464" s="10">
        <v>1746.87</v>
      </c>
      <c r="K464" s="10">
        <v>68.64</v>
      </c>
      <c r="L464" s="10">
        <v>0</v>
      </c>
      <c r="M464" s="10">
        <v>1815.51</v>
      </c>
      <c r="N464" s="8">
        <v>9</v>
      </c>
      <c r="O464" s="6">
        <v>1.1000000000000001</v>
      </c>
    </row>
    <row r="465" spans="1:15" x14ac:dyDescent="0.25">
      <c r="A465" s="8">
        <v>52372</v>
      </c>
      <c r="B465" s="9" t="s">
        <v>10</v>
      </c>
      <c r="C465" s="9" t="s">
        <v>20</v>
      </c>
      <c r="D465" s="9" t="s">
        <v>19</v>
      </c>
      <c r="E465" s="9" t="s">
        <v>21</v>
      </c>
      <c r="F465" s="9" t="str">
        <f t="shared" si="7"/>
        <v>Not Delivered</v>
      </c>
      <c r="G465" s="9" t="b">
        <v>0</v>
      </c>
      <c r="H465" s="9" t="s">
        <v>33</v>
      </c>
      <c r="I465" s="8">
        <v>2899</v>
      </c>
      <c r="J465" s="10">
        <v>847.46</v>
      </c>
      <c r="K465" s="10">
        <v>0</v>
      </c>
      <c r="L465" s="10">
        <v>0</v>
      </c>
      <c r="M465" s="10">
        <v>847.46</v>
      </c>
      <c r="N465" s="8">
        <v>11</v>
      </c>
      <c r="O465" s="6">
        <v>3.5</v>
      </c>
    </row>
    <row r="466" spans="1:15" x14ac:dyDescent="0.25">
      <c r="A466" s="8">
        <v>62976</v>
      </c>
      <c r="B466" s="9" t="s">
        <v>5</v>
      </c>
      <c r="C466" s="9" t="s">
        <v>31</v>
      </c>
      <c r="D466" s="9" t="s">
        <v>12</v>
      </c>
      <c r="E466" s="9" t="s">
        <v>8</v>
      </c>
      <c r="F466" s="9" t="str">
        <f t="shared" si="7"/>
        <v>Not Delivered</v>
      </c>
      <c r="G466" s="9" t="b">
        <v>1</v>
      </c>
      <c r="H466" s="9" t="s">
        <v>9</v>
      </c>
      <c r="I466" s="8">
        <v>9431</v>
      </c>
      <c r="J466" s="10">
        <v>792.66</v>
      </c>
      <c r="K466" s="10">
        <v>150</v>
      </c>
      <c r="L466" s="10">
        <v>122.56</v>
      </c>
      <c r="M466" s="10">
        <v>1065.22</v>
      </c>
      <c r="N466" s="8">
        <v>6</v>
      </c>
      <c r="O466" s="6">
        <v>3.6</v>
      </c>
    </row>
    <row r="467" spans="1:15" x14ac:dyDescent="0.25">
      <c r="A467" s="8">
        <v>10150</v>
      </c>
      <c r="B467" s="9" t="s">
        <v>41</v>
      </c>
      <c r="C467" s="9" t="s">
        <v>46</v>
      </c>
      <c r="D467" s="9" t="s">
        <v>19</v>
      </c>
      <c r="E467" s="9" t="s">
        <v>8</v>
      </c>
      <c r="F467" s="9" t="str">
        <f t="shared" si="7"/>
        <v>Not Delivered</v>
      </c>
      <c r="G467" s="9" t="b">
        <v>0</v>
      </c>
      <c r="H467" s="9" t="s">
        <v>28</v>
      </c>
      <c r="I467" s="8">
        <v>9889</v>
      </c>
      <c r="J467" s="10">
        <v>1218.1300000000001</v>
      </c>
      <c r="K467" s="10">
        <v>92.65</v>
      </c>
      <c r="L467" s="10">
        <v>0</v>
      </c>
      <c r="M467" s="10">
        <v>1310.78</v>
      </c>
      <c r="N467" s="8">
        <v>10</v>
      </c>
      <c r="O467" s="6">
        <v>3.2</v>
      </c>
    </row>
    <row r="468" spans="1:15" x14ac:dyDescent="0.25">
      <c r="A468" s="8">
        <v>70552</v>
      </c>
      <c r="B468" s="9" t="s">
        <v>41</v>
      </c>
      <c r="C468" s="9" t="s">
        <v>46</v>
      </c>
      <c r="D468" s="9" t="s">
        <v>2</v>
      </c>
      <c r="E468" s="9" t="s">
        <v>32</v>
      </c>
      <c r="F468" s="9" t="str">
        <f t="shared" si="7"/>
        <v>Not Delivered</v>
      </c>
      <c r="G468" s="9" t="b">
        <v>1</v>
      </c>
      <c r="H468" s="9" t="s">
        <v>33</v>
      </c>
      <c r="I468" s="8">
        <v>7770</v>
      </c>
      <c r="J468" s="10">
        <v>2197.69</v>
      </c>
      <c r="K468" s="10">
        <v>120.51</v>
      </c>
      <c r="L468" s="10">
        <v>299.35000000000002</v>
      </c>
      <c r="M468" s="10">
        <v>2617.5500000000002</v>
      </c>
      <c r="N468" s="8">
        <v>13</v>
      </c>
    </row>
    <row r="469" spans="1:15" x14ac:dyDescent="0.25">
      <c r="A469" s="8">
        <v>17104</v>
      </c>
      <c r="B469" s="9" t="s">
        <v>5</v>
      </c>
      <c r="C469" s="9" t="s">
        <v>59</v>
      </c>
      <c r="D469" s="9" t="s">
        <v>38</v>
      </c>
      <c r="E469" s="9" t="s">
        <v>8</v>
      </c>
      <c r="F469" s="9" t="str">
        <f t="shared" si="7"/>
        <v>Not Delivered</v>
      </c>
      <c r="G469" s="9" t="b">
        <v>1</v>
      </c>
      <c r="H469" s="9" t="s">
        <v>22</v>
      </c>
      <c r="I469" s="8">
        <v>4073</v>
      </c>
      <c r="J469" s="10">
        <v>1425.81</v>
      </c>
      <c r="K469" s="10">
        <v>68.41</v>
      </c>
      <c r="L469" s="10">
        <v>44.14</v>
      </c>
      <c r="M469" s="10">
        <v>1538.36</v>
      </c>
      <c r="N469" s="8">
        <v>7</v>
      </c>
      <c r="O469" s="6">
        <v>2.2000000000000002</v>
      </c>
    </row>
    <row r="470" spans="1:15" x14ac:dyDescent="0.25">
      <c r="A470" s="8">
        <v>77952</v>
      </c>
      <c r="B470" s="9" t="s">
        <v>10</v>
      </c>
      <c r="C470" s="9" t="s">
        <v>29</v>
      </c>
      <c r="D470" s="9" t="s">
        <v>2</v>
      </c>
      <c r="E470" s="9" t="s">
        <v>32</v>
      </c>
      <c r="F470" s="9" t="str">
        <f t="shared" si="7"/>
        <v>Not Delivered</v>
      </c>
      <c r="G470" s="9" t="b">
        <v>1</v>
      </c>
      <c r="H470" s="9" t="s">
        <v>18</v>
      </c>
      <c r="I470" s="8">
        <v>6927</v>
      </c>
      <c r="J470" s="10">
        <v>1580.3</v>
      </c>
      <c r="K470" s="10">
        <v>0</v>
      </c>
      <c r="L470" s="10">
        <v>44.06</v>
      </c>
      <c r="M470" s="10">
        <v>1624.36</v>
      </c>
      <c r="N470" s="8">
        <v>10</v>
      </c>
      <c r="O470" s="6">
        <v>3.4</v>
      </c>
    </row>
    <row r="471" spans="1:15" x14ac:dyDescent="0.25">
      <c r="A471" s="8">
        <v>91609</v>
      </c>
      <c r="B471" s="9" t="s">
        <v>23</v>
      </c>
      <c r="C471" s="9" t="s">
        <v>24</v>
      </c>
      <c r="D471" s="9" t="s">
        <v>38</v>
      </c>
      <c r="E471" s="9" t="s">
        <v>8</v>
      </c>
      <c r="F471" s="9" t="str">
        <f t="shared" si="7"/>
        <v>Not Delivered</v>
      </c>
      <c r="G471" s="9" t="b">
        <v>0</v>
      </c>
      <c r="H471" s="9" t="s">
        <v>33</v>
      </c>
      <c r="I471" s="8">
        <v>9167</v>
      </c>
      <c r="J471" s="10">
        <v>2109.0300000000002</v>
      </c>
      <c r="K471" s="10">
        <v>118.81</v>
      </c>
      <c r="L471" s="10">
        <v>0</v>
      </c>
      <c r="M471" s="10">
        <v>2227.84</v>
      </c>
      <c r="N471" s="8">
        <v>3</v>
      </c>
      <c r="O471" s="6">
        <v>3.4</v>
      </c>
    </row>
    <row r="472" spans="1:15" x14ac:dyDescent="0.25">
      <c r="A472" s="8">
        <v>91973</v>
      </c>
      <c r="B472" s="9" t="s">
        <v>23</v>
      </c>
      <c r="C472" s="9" t="s">
        <v>54</v>
      </c>
      <c r="D472" s="9" t="s">
        <v>16</v>
      </c>
      <c r="E472" s="9" t="s">
        <v>32</v>
      </c>
      <c r="F472" s="9" t="str">
        <f t="shared" si="7"/>
        <v>Not Delivered</v>
      </c>
      <c r="G472" s="9" t="b">
        <v>1</v>
      </c>
      <c r="H472" s="9" t="s">
        <v>22</v>
      </c>
      <c r="I472" s="8">
        <v>8242</v>
      </c>
      <c r="J472" s="10">
        <v>1550.62</v>
      </c>
      <c r="K472" s="10">
        <v>0</v>
      </c>
      <c r="L472" s="10">
        <v>51.61</v>
      </c>
      <c r="M472" s="10">
        <v>1602.23</v>
      </c>
      <c r="N472" s="8">
        <v>13</v>
      </c>
      <c r="O472" s="6">
        <v>4.7</v>
      </c>
    </row>
    <row r="473" spans="1:15" x14ac:dyDescent="0.25">
      <c r="A473" s="8">
        <v>16764</v>
      </c>
      <c r="B473" s="9" t="s">
        <v>0</v>
      </c>
      <c r="C473" s="9" t="s">
        <v>53</v>
      </c>
      <c r="E473" s="9" t="s">
        <v>32</v>
      </c>
      <c r="F473" s="9" t="str">
        <f t="shared" si="7"/>
        <v>Not Delivered</v>
      </c>
      <c r="G473" s="9" t="b">
        <v>0</v>
      </c>
      <c r="H473" s="9" t="s">
        <v>9</v>
      </c>
      <c r="I473" s="8">
        <v>4335</v>
      </c>
      <c r="J473" s="10">
        <v>1400.33</v>
      </c>
      <c r="K473" s="10">
        <v>0</v>
      </c>
      <c r="L473" s="10">
        <v>0</v>
      </c>
      <c r="M473" s="10">
        <v>1400.33</v>
      </c>
      <c r="N473" s="8">
        <v>14</v>
      </c>
      <c r="O473" s="6">
        <v>3.8</v>
      </c>
    </row>
    <row r="474" spans="1:15" x14ac:dyDescent="0.25">
      <c r="A474" s="8">
        <v>45003</v>
      </c>
      <c r="B474" s="9" t="s">
        <v>39</v>
      </c>
      <c r="C474" s="9" t="s">
        <v>57</v>
      </c>
      <c r="D474" s="9" t="s">
        <v>30</v>
      </c>
      <c r="E474" s="9" t="s">
        <v>21</v>
      </c>
      <c r="F474" s="9" t="str">
        <f t="shared" si="7"/>
        <v>Not Delivered</v>
      </c>
      <c r="G474" s="9" t="b">
        <v>0</v>
      </c>
      <c r="H474" s="9" t="s">
        <v>22</v>
      </c>
      <c r="I474" s="8">
        <v>9998</v>
      </c>
      <c r="J474" s="10">
        <v>943.26</v>
      </c>
      <c r="K474" s="10">
        <v>122.02</v>
      </c>
      <c r="L474" s="10">
        <v>0</v>
      </c>
      <c r="M474" s="10">
        <v>1065.28</v>
      </c>
      <c r="N474" s="8">
        <v>10</v>
      </c>
      <c r="O474" s="6">
        <v>3.3</v>
      </c>
    </row>
    <row r="475" spans="1:15" x14ac:dyDescent="0.25">
      <c r="A475" s="8">
        <v>27172</v>
      </c>
      <c r="B475" s="9" t="s">
        <v>0</v>
      </c>
      <c r="C475" s="9" t="s">
        <v>1</v>
      </c>
      <c r="D475" s="9" t="s">
        <v>16</v>
      </c>
      <c r="E475" s="9" t="s">
        <v>21</v>
      </c>
      <c r="F475" s="9" t="str">
        <f t="shared" si="7"/>
        <v>Not Delivered</v>
      </c>
      <c r="G475" s="9" t="b">
        <v>1</v>
      </c>
      <c r="H475" s="9" t="s">
        <v>14</v>
      </c>
      <c r="I475" s="8">
        <v>5719</v>
      </c>
      <c r="J475" s="10">
        <v>1009.07</v>
      </c>
      <c r="K475" s="10">
        <v>132.69999999999999</v>
      </c>
      <c r="L475" s="10">
        <v>75.94</v>
      </c>
      <c r="M475" s="10">
        <v>1217.71</v>
      </c>
      <c r="N475" s="8">
        <v>7</v>
      </c>
      <c r="O475" s="6">
        <v>1.2</v>
      </c>
    </row>
    <row r="476" spans="1:15" x14ac:dyDescent="0.25">
      <c r="A476" s="8">
        <v>67424</v>
      </c>
      <c r="B476" s="9" t="s">
        <v>0</v>
      </c>
      <c r="C476" s="9" t="s">
        <v>1</v>
      </c>
      <c r="D476" s="9" t="s">
        <v>16</v>
      </c>
      <c r="E476" s="9" t="s">
        <v>13</v>
      </c>
      <c r="F476" s="9" t="str">
        <f t="shared" si="7"/>
        <v>Delivered</v>
      </c>
      <c r="G476" s="9" t="b">
        <v>0</v>
      </c>
      <c r="H476" s="9" t="s">
        <v>18</v>
      </c>
      <c r="I476" s="8">
        <v>8941</v>
      </c>
      <c r="J476" s="10">
        <v>463.25</v>
      </c>
      <c r="K476" s="10">
        <v>57.97</v>
      </c>
      <c r="L476" s="10">
        <v>0</v>
      </c>
      <c r="M476" s="10">
        <v>521.22</v>
      </c>
      <c r="N476" s="8">
        <v>13</v>
      </c>
      <c r="O476" s="6">
        <v>2.8</v>
      </c>
    </row>
    <row r="477" spans="1:15" x14ac:dyDescent="0.25">
      <c r="A477" s="8">
        <v>25915</v>
      </c>
      <c r="B477" s="9" t="s">
        <v>5</v>
      </c>
      <c r="C477" s="9" t="s">
        <v>31</v>
      </c>
      <c r="D477" s="9" t="s">
        <v>2</v>
      </c>
      <c r="E477" s="9" t="s">
        <v>8</v>
      </c>
      <c r="F477" s="9" t="str">
        <f t="shared" si="7"/>
        <v>Not Delivered</v>
      </c>
      <c r="G477" s="9" t="b">
        <v>0</v>
      </c>
      <c r="H477" s="9" t="s">
        <v>18</v>
      </c>
      <c r="I477" s="8">
        <v>1472</v>
      </c>
      <c r="J477" s="10">
        <v>1389.03</v>
      </c>
      <c r="K477" s="10">
        <v>0</v>
      </c>
      <c r="L477" s="10">
        <v>0</v>
      </c>
      <c r="M477" s="10">
        <v>1389.03</v>
      </c>
      <c r="N477" s="8">
        <v>2</v>
      </c>
      <c r="O477" s="6">
        <v>1.5</v>
      </c>
    </row>
    <row r="478" spans="1:15" x14ac:dyDescent="0.25">
      <c r="A478" s="8">
        <v>92578</v>
      </c>
      <c r="B478" s="9" t="s">
        <v>23</v>
      </c>
      <c r="C478" s="9" t="s">
        <v>54</v>
      </c>
      <c r="D478" s="9" t="s">
        <v>7</v>
      </c>
      <c r="E478" s="9" t="s">
        <v>8</v>
      </c>
      <c r="F478" s="9" t="str">
        <f t="shared" si="7"/>
        <v>Not Delivered</v>
      </c>
      <c r="G478" s="9" t="b">
        <v>1</v>
      </c>
      <c r="H478" s="9" t="s">
        <v>22</v>
      </c>
      <c r="I478" s="8">
        <v>4920</v>
      </c>
      <c r="J478" s="10">
        <v>1328.64</v>
      </c>
      <c r="K478" s="10">
        <v>67.89</v>
      </c>
      <c r="L478" s="10">
        <v>163.53</v>
      </c>
      <c r="M478" s="10">
        <v>1560.06</v>
      </c>
      <c r="N478" s="8">
        <v>6</v>
      </c>
      <c r="O478" s="6">
        <v>4.5999999999999996</v>
      </c>
    </row>
    <row r="479" spans="1:15" x14ac:dyDescent="0.25">
      <c r="A479" s="8">
        <v>30758</v>
      </c>
      <c r="B479" s="9" t="s">
        <v>5</v>
      </c>
      <c r="C479" s="9" t="s">
        <v>6</v>
      </c>
      <c r="D479" s="9" t="s">
        <v>30</v>
      </c>
      <c r="E479" s="9" t="s">
        <v>21</v>
      </c>
      <c r="F479" s="9" t="str">
        <f t="shared" si="7"/>
        <v>Not Delivered</v>
      </c>
      <c r="G479" s="9" t="b">
        <v>0</v>
      </c>
      <c r="H479" s="9" t="s">
        <v>28</v>
      </c>
      <c r="I479" s="8">
        <v>6091</v>
      </c>
      <c r="J479" s="10">
        <v>462.58</v>
      </c>
      <c r="K479" s="10">
        <v>58.7</v>
      </c>
      <c r="L479" s="10">
        <v>0</v>
      </c>
      <c r="M479" s="10">
        <v>521.28</v>
      </c>
      <c r="N479" s="8">
        <v>2</v>
      </c>
      <c r="O479" s="6">
        <v>2.5</v>
      </c>
    </row>
    <row r="480" spans="1:15" x14ac:dyDescent="0.25">
      <c r="A480" s="8">
        <v>82199</v>
      </c>
      <c r="B480" s="9" t="s">
        <v>39</v>
      </c>
      <c r="C480" s="9" t="s">
        <v>55</v>
      </c>
      <c r="D480" s="9" t="s">
        <v>50</v>
      </c>
      <c r="E480" s="9" t="s">
        <v>13</v>
      </c>
      <c r="F480" s="9" t="str">
        <f t="shared" si="7"/>
        <v>Delivered</v>
      </c>
      <c r="G480" s="9" t="b">
        <v>1</v>
      </c>
      <c r="H480" s="9" t="s">
        <v>22</v>
      </c>
      <c r="I480" s="8">
        <v>1224</v>
      </c>
      <c r="J480" s="10">
        <v>620.46</v>
      </c>
      <c r="L480" s="10">
        <v>93.44</v>
      </c>
      <c r="M480" s="10">
        <v>855.13</v>
      </c>
      <c r="N480" s="8">
        <v>3</v>
      </c>
      <c r="O480" s="6">
        <v>1.2</v>
      </c>
    </row>
    <row r="481" spans="1:15" x14ac:dyDescent="0.25">
      <c r="A481" s="8">
        <v>82384</v>
      </c>
      <c r="B481" s="9" t="s">
        <v>39</v>
      </c>
      <c r="C481" s="9" t="s">
        <v>52</v>
      </c>
      <c r="D481" s="9" t="s">
        <v>45</v>
      </c>
      <c r="E481" s="9" t="s">
        <v>21</v>
      </c>
      <c r="F481" s="9" t="str">
        <f t="shared" si="7"/>
        <v>Not Delivered</v>
      </c>
      <c r="G481" s="9" t="b">
        <v>1</v>
      </c>
      <c r="H481" s="9" t="s">
        <v>14</v>
      </c>
      <c r="I481" s="8">
        <v>7684</v>
      </c>
      <c r="J481" s="10">
        <v>969.56</v>
      </c>
      <c r="K481" s="10">
        <v>0</v>
      </c>
      <c r="L481" s="10">
        <v>50.18</v>
      </c>
      <c r="M481" s="10">
        <v>1019.74</v>
      </c>
      <c r="N481" s="8">
        <v>13</v>
      </c>
      <c r="O481" s="6">
        <v>2.8</v>
      </c>
    </row>
    <row r="482" spans="1:15" x14ac:dyDescent="0.25">
      <c r="A482" s="8">
        <v>22217</v>
      </c>
      <c r="B482" s="9" t="s">
        <v>5</v>
      </c>
      <c r="C482" s="9" t="s">
        <v>59</v>
      </c>
      <c r="D482" s="9" t="s">
        <v>2</v>
      </c>
      <c r="E482" s="9" t="s">
        <v>17</v>
      </c>
      <c r="F482" s="9" t="str">
        <f t="shared" si="7"/>
        <v>Not Delivered</v>
      </c>
      <c r="G482" s="9" t="b">
        <v>0</v>
      </c>
      <c r="H482" s="9" t="s">
        <v>28</v>
      </c>
      <c r="I482" s="8">
        <v>4681</v>
      </c>
      <c r="J482" s="10">
        <v>2230.2199999999998</v>
      </c>
      <c r="K482" s="10">
        <v>0</v>
      </c>
      <c r="L482" s="10">
        <v>0</v>
      </c>
      <c r="M482" s="10">
        <v>2230.2199999999998</v>
      </c>
      <c r="N482" s="8">
        <v>8</v>
      </c>
      <c r="O482" s="6">
        <v>1.3</v>
      </c>
    </row>
    <row r="483" spans="1:15" x14ac:dyDescent="0.25">
      <c r="A483" s="8">
        <v>24871</v>
      </c>
      <c r="B483" s="9" t="s">
        <v>41</v>
      </c>
      <c r="C483" s="9" t="s">
        <v>61</v>
      </c>
      <c r="D483" s="9" t="s">
        <v>25</v>
      </c>
      <c r="E483" s="9" t="s">
        <v>8</v>
      </c>
      <c r="F483" s="9" t="str">
        <f t="shared" si="7"/>
        <v>Not Delivered</v>
      </c>
      <c r="G483" s="9" t="b">
        <v>1</v>
      </c>
      <c r="H483" s="9" t="s">
        <v>18</v>
      </c>
      <c r="I483" s="8">
        <v>8560</v>
      </c>
      <c r="J483" s="10">
        <v>1663.49</v>
      </c>
      <c r="K483" s="10">
        <v>132.53</v>
      </c>
      <c r="L483" s="10">
        <v>57.41</v>
      </c>
      <c r="M483" s="10">
        <v>1853.43</v>
      </c>
      <c r="N483" s="8">
        <v>11</v>
      </c>
      <c r="O483" s="6">
        <v>1.6</v>
      </c>
    </row>
    <row r="484" spans="1:15" x14ac:dyDescent="0.25">
      <c r="A484" s="8">
        <v>25396</v>
      </c>
      <c r="B484" s="9" t="s">
        <v>41</v>
      </c>
      <c r="C484" s="9" t="s">
        <v>61</v>
      </c>
      <c r="D484" s="9" t="s">
        <v>38</v>
      </c>
      <c r="E484" s="9" t="s">
        <v>8</v>
      </c>
      <c r="F484" s="9" t="str">
        <f t="shared" si="7"/>
        <v>Not Delivered</v>
      </c>
      <c r="G484" s="9" t="b">
        <v>1</v>
      </c>
      <c r="H484" s="9" t="s">
        <v>18</v>
      </c>
      <c r="I484" s="8">
        <v>3522</v>
      </c>
      <c r="J484" s="10">
        <v>1028.44</v>
      </c>
      <c r="K484" s="10">
        <v>0</v>
      </c>
      <c r="L484" s="10">
        <v>299.06</v>
      </c>
      <c r="M484" s="10">
        <v>1327.5</v>
      </c>
      <c r="N484" s="8">
        <v>3</v>
      </c>
      <c r="O484" s="6">
        <v>3.4</v>
      </c>
    </row>
    <row r="485" spans="1:15" x14ac:dyDescent="0.25">
      <c r="A485" s="8">
        <v>75323</v>
      </c>
      <c r="B485" s="9" t="s">
        <v>41</v>
      </c>
      <c r="C485" s="9" t="s">
        <v>46</v>
      </c>
      <c r="D485" s="9" t="s">
        <v>12</v>
      </c>
      <c r="E485" s="9" t="s">
        <v>3</v>
      </c>
      <c r="F485" s="9" t="str">
        <f t="shared" si="7"/>
        <v>Not Delivered</v>
      </c>
      <c r="G485" s="9" t="b">
        <v>1</v>
      </c>
      <c r="H485" s="9" t="s">
        <v>14</v>
      </c>
      <c r="I485" s="8">
        <v>5781</v>
      </c>
      <c r="J485" s="10">
        <v>2425.85</v>
      </c>
      <c r="K485" s="10">
        <v>86.02</v>
      </c>
      <c r="L485" s="10">
        <v>44.21</v>
      </c>
      <c r="M485" s="10">
        <v>2556.08</v>
      </c>
      <c r="N485" s="8">
        <v>6</v>
      </c>
      <c r="O485" s="6">
        <v>2.5</v>
      </c>
    </row>
    <row r="486" spans="1:15" x14ac:dyDescent="0.25">
      <c r="A486" s="8">
        <v>76698</v>
      </c>
      <c r="B486" s="9" t="s">
        <v>41</v>
      </c>
      <c r="C486" s="9" t="s">
        <v>47</v>
      </c>
      <c r="D486" s="9" t="s">
        <v>38</v>
      </c>
      <c r="E486" s="9" t="s">
        <v>32</v>
      </c>
      <c r="F486" s="9" t="str">
        <f t="shared" si="7"/>
        <v>Not Delivered</v>
      </c>
      <c r="G486" s="9" t="b">
        <v>0</v>
      </c>
      <c r="H486" s="9" t="s">
        <v>18</v>
      </c>
      <c r="I486" s="8">
        <v>5479</v>
      </c>
      <c r="J486" s="10">
        <v>944.23</v>
      </c>
      <c r="K486" s="10">
        <v>0</v>
      </c>
      <c r="L486" s="10">
        <v>0</v>
      </c>
      <c r="M486" s="10">
        <v>944.23</v>
      </c>
      <c r="N486" s="8">
        <v>6</v>
      </c>
      <c r="O486" s="6">
        <v>3.1</v>
      </c>
    </row>
    <row r="487" spans="1:15" x14ac:dyDescent="0.25">
      <c r="A487" s="8">
        <v>64459</v>
      </c>
      <c r="B487" s="9" t="s">
        <v>5</v>
      </c>
      <c r="C487" s="9" t="s">
        <v>6</v>
      </c>
      <c r="D487" s="9" t="s">
        <v>50</v>
      </c>
      <c r="E487" s="9" t="s">
        <v>3</v>
      </c>
      <c r="F487" s="9" t="str">
        <f t="shared" si="7"/>
        <v>Not Delivered</v>
      </c>
      <c r="G487" s="9" t="b">
        <v>1</v>
      </c>
      <c r="H487" s="9" t="s">
        <v>18</v>
      </c>
      <c r="I487" s="8">
        <v>8905</v>
      </c>
      <c r="J487" s="10">
        <v>1514.14</v>
      </c>
      <c r="K487" s="10">
        <v>102.89</v>
      </c>
      <c r="L487" s="10">
        <v>258.61</v>
      </c>
      <c r="M487" s="10">
        <v>1875.64</v>
      </c>
      <c r="N487" s="8">
        <v>10</v>
      </c>
      <c r="O487" s="6">
        <v>4.9000000000000004</v>
      </c>
    </row>
    <row r="488" spans="1:15" x14ac:dyDescent="0.25">
      <c r="A488" s="8">
        <v>71894</v>
      </c>
      <c r="B488" s="9" t="s">
        <v>10</v>
      </c>
      <c r="C488" s="9" t="s">
        <v>11</v>
      </c>
      <c r="D488" s="9" t="s">
        <v>2</v>
      </c>
      <c r="E488" s="9" t="s">
        <v>32</v>
      </c>
      <c r="F488" s="9" t="str">
        <f t="shared" si="7"/>
        <v>Not Delivered</v>
      </c>
      <c r="G488" s="9" t="b">
        <v>1</v>
      </c>
      <c r="H488" s="9" t="s">
        <v>22</v>
      </c>
      <c r="I488" s="8">
        <v>4993</v>
      </c>
      <c r="J488" s="10">
        <v>1098.24</v>
      </c>
      <c r="L488" s="10">
        <v>227.96</v>
      </c>
      <c r="M488" s="10">
        <v>1411.59</v>
      </c>
      <c r="N488" s="8">
        <v>11</v>
      </c>
      <c r="O488" s="6">
        <v>4.2</v>
      </c>
    </row>
    <row r="489" spans="1:15" x14ac:dyDescent="0.25">
      <c r="A489" s="8">
        <v>69871</v>
      </c>
      <c r="B489" s="9" t="s">
        <v>10</v>
      </c>
      <c r="C489" s="9" t="s">
        <v>29</v>
      </c>
      <c r="D489" s="9" t="s">
        <v>30</v>
      </c>
      <c r="E489" s="9" t="s">
        <v>8</v>
      </c>
      <c r="F489" s="9" t="str">
        <f t="shared" si="7"/>
        <v>Not Delivered</v>
      </c>
      <c r="G489" s="9" t="b">
        <v>1</v>
      </c>
      <c r="H489" s="9" t="s">
        <v>28</v>
      </c>
      <c r="I489" s="8">
        <v>3369</v>
      </c>
      <c r="J489" s="10">
        <v>103</v>
      </c>
      <c r="K489" s="10">
        <v>26.8</v>
      </c>
      <c r="L489" s="10">
        <v>89.98</v>
      </c>
      <c r="M489" s="10">
        <v>219.78</v>
      </c>
      <c r="N489" s="8">
        <v>7</v>
      </c>
      <c r="O489" s="6">
        <v>2.2999999999999998</v>
      </c>
    </row>
    <row r="490" spans="1:15" x14ac:dyDescent="0.25">
      <c r="A490" s="8">
        <v>60277</v>
      </c>
      <c r="B490" s="9" t="s">
        <v>5</v>
      </c>
      <c r="C490" s="9" t="s">
        <v>31</v>
      </c>
      <c r="D490" s="9" t="s">
        <v>27</v>
      </c>
      <c r="E490" s="9" t="s">
        <v>13</v>
      </c>
      <c r="F490" s="9" t="str">
        <f t="shared" si="7"/>
        <v>Delivered</v>
      </c>
      <c r="G490" s="9" t="b">
        <v>1</v>
      </c>
      <c r="H490" s="9" t="s">
        <v>33</v>
      </c>
      <c r="I490" s="8">
        <v>4122</v>
      </c>
      <c r="J490" s="10">
        <v>662.73</v>
      </c>
      <c r="K490" s="10">
        <v>0</v>
      </c>
      <c r="L490" s="10">
        <v>130.03</v>
      </c>
      <c r="M490" s="10">
        <v>792.76</v>
      </c>
      <c r="N490" s="8">
        <v>9</v>
      </c>
      <c r="O490" s="6">
        <v>1</v>
      </c>
    </row>
    <row r="491" spans="1:15" x14ac:dyDescent="0.25">
      <c r="A491" s="8">
        <v>88561</v>
      </c>
      <c r="B491" s="9" t="s">
        <v>39</v>
      </c>
      <c r="C491" s="9" t="s">
        <v>55</v>
      </c>
      <c r="D491" s="9" t="s">
        <v>45</v>
      </c>
      <c r="E491" s="9" t="s">
        <v>17</v>
      </c>
      <c r="F491" s="9" t="str">
        <f t="shared" si="7"/>
        <v>Not Delivered</v>
      </c>
      <c r="G491" s="9" t="b">
        <v>1</v>
      </c>
      <c r="H491" s="9" t="s">
        <v>22</v>
      </c>
      <c r="I491" s="8">
        <v>9327</v>
      </c>
      <c r="J491" s="10">
        <v>954.71</v>
      </c>
      <c r="K491" s="10">
        <v>0</v>
      </c>
      <c r="L491" s="10">
        <v>66.53</v>
      </c>
      <c r="M491" s="10">
        <v>1021.24</v>
      </c>
      <c r="N491" s="8">
        <v>6</v>
      </c>
      <c r="O491" s="6">
        <v>2.9</v>
      </c>
    </row>
    <row r="492" spans="1:15" x14ac:dyDescent="0.25">
      <c r="A492" s="8">
        <v>27892</v>
      </c>
      <c r="B492" s="9" t="s">
        <v>23</v>
      </c>
      <c r="C492" s="9" t="s">
        <v>54</v>
      </c>
      <c r="D492" s="9" t="s">
        <v>38</v>
      </c>
      <c r="E492" s="9" t="s">
        <v>17</v>
      </c>
      <c r="F492" s="9" t="str">
        <f t="shared" si="7"/>
        <v>Not Delivered</v>
      </c>
      <c r="G492" s="9" t="b">
        <v>0</v>
      </c>
      <c r="H492" s="9" t="s">
        <v>14</v>
      </c>
      <c r="I492" s="8">
        <v>2143</v>
      </c>
      <c r="J492" s="10">
        <v>592.85</v>
      </c>
      <c r="K492" s="10">
        <v>136.52000000000001</v>
      </c>
      <c r="L492" s="10">
        <v>0</v>
      </c>
      <c r="M492" s="10">
        <v>729.37</v>
      </c>
      <c r="N492" s="8">
        <v>8</v>
      </c>
      <c r="O492" s="6">
        <v>2.7</v>
      </c>
    </row>
    <row r="493" spans="1:15" x14ac:dyDescent="0.25">
      <c r="A493" s="8">
        <v>46208</v>
      </c>
      <c r="B493" s="9" t="s">
        <v>41</v>
      </c>
      <c r="C493" s="9" t="s">
        <v>61</v>
      </c>
      <c r="D493" s="9" t="s">
        <v>35</v>
      </c>
      <c r="E493" s="9" t="s">
        <v>17</v>
      </c>
      <c r="F493" s="9" t="str">
        <f t="shared" si="7"/>
        <v>Not Delivered</v>
      </c>
      <c r="G493" s="9" t="b">
        <v>1</v>
      </c>
      <c r="H493" s="9" t="s">
        <v>28</v>
      </c>
      <c r="I493" s="8">
        <v>7798</v>
      </c>
      <c r="J493" s="10">
        <v>1542.87</v>
      </c>
      <c r="K493" s="10">
        <v>105.52</v>
      </c>
      <c r="L493" s="10">
        <v>78.87</v>
      </c>
      <c r="M493" s="10">
        <v>1727.26</v>
      </c>
      <c r="N493" s="8">
        <v>6</v>
      </c>
      <c r="O493" s="6">
        <v>4.5999999999999996</v>
      </c>
    </row>
    <row r="494" spans="1:15" x14ac:dyDescent="0.25">
      <c r="A494" s="8">
        <v>54548</v>
      </c>
      <c r="B494" s="9" t="s">
        <v>10</v>
      </c>
      <c r="C494" s="9" t="s">
        <v>26</v>
      </c>
      <c r="D494" s="9" t="s">
        <v>38</v>
      </c>
      <c r="E494" s="9" t="s">
        <v>13</v>
      </c>
      <c r="F494" s="9" t="str">
        <f t="shared" si="7"/>
        <v>Delivered</v>
      </c>
      <c r="G494" s="9" t="b">
        <v>1</v>
      </c>
      <c r="H494" s="9" t="s">
        <v>22</v>
      </c>
      <c r="I494" s="8">
        <v>9318</v>
      </c>
      <c r="J494" s="10">
        <v>744.39</v>
      </c>
      <c r="K494" s="10">
        <v>103.43</v>
      </c>
      <c r="L494" s="10">
        <v>178.11</v>
      </c>
      <c r="M494" s="10">
        <v>1025.93</v>
      </c>
      <c r="N494" s="8">
        <v>2</v>
      </c>
      <c r="O494" s="6">
        <v>4</v>
      </c>
    </row>
    <row r="495" spans="1:15" x14ac:dyDescent="0.25">
      <c r="A495" s="8">
        <v>45018</v>
      </c>
      <c r="B495" s="9" t="s">
        <v>5</v>
      </c>
      <c r="C495" s="9" t="s">
        <v>56</v>
      </c>
      <c r="D495" s="9" t="s">
        <v>50</v>
      </c>
      <c r="E495" s="9" t="s">
        <v>32</v>
      </c>
      <c r="F495" s="9" t="str">
        <f t="shared" si="7"/>
        <v>Not Delivered</v>
      </c>
      <c r="G495" s="9" t="b">
        <v>0</v>
      </c>
      <c r="H495" s="9" t="s">
        <v>4</v>
      </c>
      <c r="I495" s="8">
        <v>1042</v>
      </c>
      <c r="J495" s="10">
        <v>1151.9000000000001</v>
      </c>
      <c r="K495" s="10">
        <v>73.760000000000005</v>
      </c>
      <c r="L495" s="10">
        <v>0</v>
      </c>
      <c r="M495" s="10">
        <v>1225.6600000000001</v>
      </c>
      <c r="N495" s="8">
        <v>14</v>
      </c>
      <c r="O495" s="6">
        <v>1.9</v>
      </c>
    </row>
    <row r="496" spans="1:15" x14ac:dyDescent="0.25">
      <c r="A496" s="8">
        <v>47072</v>
      </c>
      <c r="B496" s="9" t="s">
        <v>10</v>
      </c>
      <c r="C496" s="9" t="s">
        <v>26</v>
      </c>
      <c r="D496" s="9" t="s">
        <v>38</v>
      </c>
      <c r="E496" s="9" t="s">
        <v>21</v>
      </c>
      <c r="F496" s="9" t="str">
        <f t="shared" si="7"/>
        <v>Not Delivered</v>
      </c>
      <c r="G496" s="9" t="b">
        <v>1</v>
      </c>
      <c r="H496" s="9" t="s">
        <v>33</v>
      </c>
      <c r="I496" s="8">
        <v>5891</v>
      </c>
      <c r="J496" s="10">
        <v>1577.8</v>
      </c>
      <c r="K496" s="10">
        <v>94.38</v>
      </c>
      <c r="L496" s="10">
        <v>285.74</v>
      </c>
      <c r="M496" s="10">
        <v>1957.92</v>
      </c>
      <c r="N496" s="8">
        <v>3</v>
      </c>
      <c r="O496" s="6">
        <v>4.7</v>
      </c>
    </row>
    <row r="497" spans="1:15" x14ac:dyDescent="0.25">
      <c r="A497" s="8">
        <v>86931</v>
      </c>
      <c r="B497" s="9" t="s">
        <v>10</v>
      </c>
      <c r="C497" s="9" t="s">
        <v>29</v>
      </c>
      <c r="D497" s="9" t="s">
        <v>12</v>
      </c>
      <c r="E497" s="9" t="s">
        <v>17</v>
      </c>
      <c r="F497" s="9" t="str">
        <f t="shared" si="7"/>
        <v>Not Delivered</v>
      </c>
      <c r="G497" s="9" t="b">
        <v>1</v>
      </c>
      <c r="H497" s="9" t="s">
        <v>33</v>
      </c>
      <c r="I497" s="8">
        <v>9022</v>
      </c>
      <c r="J497" s="10">
        <v>1562.01</v>
      </c>
      <c r="K497" s="10">
        <v>0</v>
      </c>
      <c r="L497" s="10">
        <v>86.23</v>
      </c>
      <c r="M497" s="10">
        <v>1648.24</v>
      </c>
      <c r="N497" s="8">
        <v>8</v>
      </c>
      <c r="O497" s="6">
        <v>4.5</v>
      </c>
    </row>
    <row r="498" spans="1:15" x14ac:dyDescent="0.25">
      <c r="A498" s="8">
        <v>29476</v>
      </c>
      <c r="B498" s="9" t="s">
        <v>5</v>
      </c>
      <c r="C498" s="9" t="s">
        <v>31</v>
      </c>
      <c r="D498" s="9" t="s">
        <v>50</v>
      </c>
      <c r="E498" s="9" t="s">
        <v>8</v>
      </c>
      <c r="F498" s="9" t="str">
        <f t="shared" si="7"/>
        <v>Not Delivered</v>
      </c>
      <c r="G498" s="9" t="b">
        <v>1</v>
      </c>
      <c r="H498" s="9" t="s">
        <v>28</v>
      </c>
      <c r="I498" s="8">
        <v>8316</v>
      </c>
      <c r="J498" s="10">
        <v>2150.69</v>
      </c>
      <c r="K498" s="10">
        <v>83.33</v>
      </c>
      <c r="L498" s="10">
        <v>38.01</v>
      </c>
      <c r="M498" s="10">
        <v>2272.0300000000002</v>
      </c>
      <c r="N498" s="8">
        <v>11</v>
      </c>
      <c r="O498" s="6">
        <v>1.1000000000000001</v>
      </c>
    </row>
    <row r="499" spans="1:15" x14ac:dyDescent="0.25">
      <c r="A499" s="8">
        <v>80592</v>
      </c>
      <c r="B499" s="9" t="s">
        <v>10</v>
      </c>
      <c r="C499" s="9" t="s">
        <v>29</v>
      </c>
      <c r="D499" s="9" t="s">
        <v>7</v>
      </c>
      <c r="E499" s="9" t="s">
        <v>32</v>
      </c>
      <c r="F499" s="9" t="str">
        <f t="shared" si="7"/>
        <v>Not Delivered</v>
      </c>
      <c r="G499" s="9" t="b">
        <v>0</v>
      </c>
      <c r="H499" s="9" t="s">
        <v>33</v>
      </c>
      <c r="I499" s="8">
        <v>8935</v>
      </c>
      <c r="J499" s="10">
        <v>465.84</v>
      </c>
      <c r="K499" s="10">
        <v>45.75</v>
      </c>
      <c r="L499" s="10">
        <v>0</v>
      </c>
      <c r="M499" s="10">
        <v>511.59</v>
      </c>
      <c r="N499" s="8">
        <v>13</v>
      </c>
      <c r="O499" s="6">
        <v>1.5</v>
      </c>
    </row>
    <row r="500" spans="1:15" x14ac:dyDescent="0.25">
      <c r="A500" s="8">
        <v>55236</v>
      </c>
      <c r="B500" s="9" t="s">
        <v>5</v>
      </c>
      <c r="C500" s="9" t="s">
        <v>6</v>
      </c>
      <c r="D500" s="9" t="s">
        <v>38</v>
      </c>
      <c r="E500" s="9" t="s">
        <v>13</v>
      </c>
      <c r="F500" s="9" t="str">
        <f t="shared" si="7"/>
        <v>Delivered</v>
      </c>
      <c r="G500" s="9" t="b">
        <v>0</v>
      </c>
      <c r="H500" s="9" t="s">
        <v>18</v>
      </c>
      <c r="I500" s="8">
        <v>6446</v>
      </c>
      <c r="J500" s="10">
        <v>2404.09</v>
      </c>
      <c r="K500" s="10">
        <v>60.24</v>
      </c>
      <c r="L500" s="10">
        <v>0</v>
      </c>
      <c r="M500" s="10">
        <v>2464.33</v>
      </c>
      <c r="N500" s="8">
        <v>9</v>
      </c>
      <c r="O500" s="6">
        <v>1.6</v>
      </c>
    </row>
    <row r="501" spans="1:15" x14ac:dyDescent="0.25">
      <c r="A501" s="8">
        <v>82340</v>
      </c>
      <c r="B501" s="9" t="s">
        <v>23</v>
      </c>
      <c r="C501" s="9" t="s">
        <v>24</v>
      </c>
      <c r="D501" s="9" t="s">
        <v>45</v>
      </c>
      <c r="E501" s="9" t="s">
        <v>8</v>
      </c>
      <c r="F501" s="9" t="str">
        <f t="shared" si="7"/>
        <v>Not Delivered</v>
      </c>
      <c r="G501" s="9" t="b">
        <v>0</v>
      </c>
      <c r="H501" s="9" t="s">
        <v>4</v>
      </c>
      <c r="I501" s="8">
        <v>9903</v>
      </c>
      <c r="J501" s="10">
        <v>353.04</v>
      </c>
      <c r="K501" s="10">
        <v>70.989999999999995</v>
      </c>
      <c r="L501" s="10">
        <v>0</v>
      </c>
      <c r="M501" s="10">
        <v>424.03</v>
      </c>
      <c r="N501" s="8">
        <v>9</v>
      </c>
      <c r="O501" s="6">
        <v>1.5</v>
      </c>
    </row>
    <row r="502" spans="1:15" x14ac:dyDescent="0.25">
      <c r="A502" s="8">
        <v>59441</v>
      </c>
      <c r="B502" s="9" t="s">
        <v>5</v>
      </c>
      <c r="C502" s="9" t="s">
        <v>44</v>
      </c>
      <c r="D502" s="9" t="s">
        <v>27</v>
      </c>
      <c r="E502" s="9" t="s">
        <v>21</v>
      </c>
      <c r="F502" s="9" t="str">
        <f t="shared" si="7"/>
        <v>Not Delivered</v>
      </c>
      <c r="G502" s="9" t="b">
        <v>1</v>
      </c>
      <c r="H502" s="9" t="s">
        <v>4</v>
      </c>
      <c r="I502" s="8">
        <v>8460</v>
      </c>
      <c r="J502" s="10">
        <v>323.74</v>
      </c>
      <c r="K502" s="10">
        <v>56.98</v>
      </c>
      <c r="L502" s="10">
        <v>242.45</v>
      </c>
      <c r="M502" s="10">
        <v>623.16999999999996</v>
      </c>
      <c r="N502" s="8">
        <v>5</v>
      </c>
      <c r="O502" s="6">
        <v>1.8</v>
      </c>
    </row>
    <row r="503" spans="1:15" x14ac:dyDescent="0.25">
      <c r="A503" s="8">
        <v>52176</v>
      </c>
      <c r="B503" s="9" t="s">
        <v>39</v>
      </c>
      <c r="C503" s="9" t="s">
        <v>55</v>
      </c>
      <c r="D503" s="9" t="s">
        <v>38</v>
      </c>
      <c r="E503" s="9" t="s">
        <v>3</v>
      </c>
      <c r="F503" s="9" t="str">
        <f t="shared" si="7"/>
        <v>Not Delivered</v>
      </c>
      <c r="G503" s="9" t="b">
        <v>0</v>
      </c>
      <c r="H503" s="9" t="s">
        <v>9</v>
      </c>
      <c r="I503" s="8">
        <v>4090</v>
      </c>
      <c r="J503" s="10">
        <v>267.14999999999998</v>
      </c>
      <c r="K503" s="10">
        <v>85.96</v>
      </c>
      <c r="L503" s="10">
        <v>0</v>
      </c>
      <c r="M503" s="10">
        <v>353.11</v>
      </c>
      <c r="N503" s="8">
        <v>2</v>
      </c>
      <c r="O503" s="6">
        <v>3.7</v>
      </c>
    </row>
    <row r="504" spans="1:15" x14ac:dyDescent="0.25">
      <c r="A504" s="8">
        <v>41300</v>
      </c>
      <c r="B504" s="9" t="s">
        <v>23</v>
      </c>
      <c r="C504" s="9" t="s">
        <v>24</v>
      </c>
      <c r="D504" s="9" t="s">
        <v>35</v>
      </c>
      <c r="E504" s="9" t="s">
        <v>13</v>
      </c>
      <c r="F504" s="9" t="str">
        <f t="shared" si="7"/>
        <v>Delivered</v>
      </c>
      <c r="G504" s="9" t="b">
        <v>0</v>
      </c>
      <c r="H504" s="9" t="s">
        <v>9</v>
      </c>
      <c r="I504" s="8">
        <v>7274</v>
      </c>
      <c r="J504" s="10">
        <v>559.61</v>
      </c>
      <c r="K504" s="10">
        <v>75.81</v>
      </c>
      <c r="L504" s="10">
        <v>0</v>
      </c>
      <c r="M504" s="10">
        <v>635.41999999999996</v>
      </c>
      <c r="N504" s="8">
        <v>7</v>
      </c>
      <c r="O504" s="6">
        <v>4.7</v>
      </c>
    </row>
    <row r="505" spans="1:15" x14ac:dyDescent="0.25">
      <c r="A505" s="8">
        <v>40613</v>
      </c>
      <c r="B505" s="9" t="s">
        <v>39</v>
      </c>
      <c r="C505" s="9" t="s">
        <v>57</v>
      </c>
      <c r="D505" s="9" t="s">
        <v>35</v>
      </c>
      <c r="E505" s="9" t="s">
        <v>21</v>
      </c>
      <c r="F505" s="9" t="str">
        <f t="shared" si="7"/>
        <v>Not Delivered</v>
      </c>
      <c r="G505" s="9" t="b">
        <v>0</v>
      </c>
      <c r="H505" s="9" t="s">
        <v>18</v>
      </c>
      <c r="I505" s="8">
        <v>7730</v>
      </c>
      <c r="J505" s="10">
        <v>172.82</v>
      </c>
      <c r="K505" s="10">
        <v>33.47</v>
      </c>
      <c r="L505" s="10">
        <v>0</v>
      </c>
      <c r="M505" s="10">
        <v>206.29</v>
      </c>
      <c r="N505" s="8">
        <v>8</v>
      </c>
      <c r="O505" s="6">
        <v>2.1</v>
      </c>
    </row>
    <row r="506" spans="1:15" x14ac:dyDescent="0.25">
      <c r="A506" s="8">
        <v>15720</v>
      </c>
      <c r="B506" s="9" t="s">
        <v>23</v>
      </c>
      <c r="C506" s="9" t="s">
        <v>34</v>
      </c>
      <c r="D506" s="9" t="s">
        <v>16</v>
      </c>
      <c r="E506" s="9" t="s">
        <v>21</v>
      </c>
      <c r="F506" s="9" t="str">
        <f t="shared" si="7"/>
        <v>Not Delivered</v>
      </c>
      <c r="G506" s="9" t="b">
        <v>1</v>
      </c>
      <c r="H506" s="9" t="s">
        <v>9</v>
      </c>
      <c r="I506" s="8">
        <v>6213</v>
      </c>
      <c r="J506" s="10">
        <v>443.36</v>
      </c>
      <c r="K506" s="10">
        <v>86.32</v>
      </c>
      <c r="L506" s="10">
        <v>155.61000000000001</v>
      </c>
      <c r="M506" s="10">
        <v>685.29</v>
      </c>
      <c r="N506" s="8">
        <v>2</v>
      </c>
      <c r="O506" s="6">
        <v>3.1</v>
      </c>
    </row>
    <row r="507" spans="1:15" x14ac:dyDescent="0.25">
      <c r="A507" s="8">
        <v>71993</v>
      </c>
      <c r="B507" s="9" t="s">
        <v>23</v>
      </c>
      <c r="C507" s="9" t="s">
        <v>34</v>
      </c>
      <c r="D507" s="9" t="s">
        <v>19</v>
      </c>
      <c r="E507" s="9" t="s">
        <v>8</v>
      </c>
      <c r="F507" s="9" t="str">
        <f t="shared" si="7"/>
        <v>Not Delivered</v>
      </c>
      <c r="G507" s="9" t="b">
        <v>0</v>
      </c>
      <c r="H507" s="9" t="s">
        <v>18</v>
      </c>
      <c r="I507" s="8">
        <v>7246</v>
      </c>
      <c r="J507" s="10">
        <v>844.52</v>
      </c>
      <c r="K507" s="10">
        <v>0</v>
      </c>
      <c r="L507" s="10">
        <v>0</v>
      </c>
      <c r="M507" s="10">
        <v>844.52</v>
      </c>
      <c r="N507" s="8">
        <v>7</v>
      </c>
    </row>
    <row r="508" spans="1:15" x14ac:dyDescent="0.25">
      <c r="A508" s="8">
        <v>60604</v>
      </c>
      <c r="B508" s="9" t="s">
        <v>39</v>
      </c>
      <c r="C508" s="9" t="s">
        <v>58</v>
      </c>
      <c r="D508" s="9" t="s">
        <v>2</v>
      </c>
      <c r="E508" s="9" t="s">
        <v>21</v>
      </c>
      <c r="F508" s="9" t="str">
        <f t="shared" si="7"/>
        <v>Not Delivered</v>
      </c>
      <c r="G508" s="9" t="b">
        <v>1</v>
      </c>
      <c r="H508" s="9" t="s">
        <v>9</v>
      </c>
      <c r="I508" s="8">
        <v>3492</v>
      </c>
      <c r="J508" s="10">
        <v>885.44</v>
      </c>
      <c r="K508" s="10">
        <v>119.41</v>
      </c>
      <c r="L508" s="10">
        <v>43.48</v>
      </c>
      <c r="M508" s="10">
        <v>1048.33</v>
      </c>
      <c r="N508" s="8">
        <v>12</v>
      </c>
      <c r="O508" s="6">
        <v>2.9</v>
      </c>
    </row>
    <row r="509" spans="1:15" x14ac:dyDescent="0.25">
      <c r="A509" s="8">
        <v>74923</v>
      </c>
      <c r="B509" s="9" t="s">
        <v>10</v>
      </c>
      <c r="C509" s="9" t="s">
        <v>15</v>
      </c>
      <c r="D509" s="9" t="s">
        <v>12</v>
      </c>
      <c r="E509" s="9" t="s">
        <v>8</v>
      </c>
      <c r="F509" s="9" t="str">
        <f t="shared" si="7"/>
        <v>Not Delivered</v>
      </c>
      <c r="G509" s="9" t="b">
        <v>0</v>
      </c>
      <c r="H509" s="9" t="s">
        <v>14</v>
      </c>
      <c r="I509" s="8">
        <v>1606</v>
      </c>
      <c r="J509" s="10">
        <v>285.54000000000002</v>
      </c>
      <c r="K509" s="10">
        <v>58.39</v>
      </c>
      <c r="L509" s="10">
        <v>0</v>
      </c>
      <c r="M509" s="10">
        <v>343.93</v>
      </c>
      <c r="N509" s="8">
        <v>7</v>
      </c>
    </row>
    <row r="510" spans="1:15" x14ac:dyDescent="0.25">
      <c r="A510" s="8">
        <v>26547</v>
      </c>
      <c r="B510" s="9" t="s">
        <v>41</v>
      </c>
      <c r="C510" s="9" t="s">
        <v>42</v>
      </c>
      <c r="D510" s="9" t="s">
        <v>7</v>
      </c>
      <c r="E510" s="9" t="s">
        <v>8</v>
      </c>
      <c r="F510" s="9" t="str">
        <f t="shared" si="7"/>
        <v>Not Delivered</v>
      </c>
      <c r="G510" s="9" t="b">
        <v>1</v>
      </c>
      <c r="H510" s="9" t="s">
        <v>28</v>
      </c>
      <c r="I510" s="8">
        <v>9229</v>
      </c>
      <c r="J510" s="10">
        <v>1020.3</v>
      </c>
      <c r="K510" s="10">
        <v>56.15</v>
      </c>
      <c r="L510" s="10">
        <v>94.36</v>
      </c>
      <c r="M510" s="10">
        <v>1170.81</v>
      </c>
      <c r="N510" s="8">
        <v>13</v>
      </c>
      <c r="O510" s="6">
        <v>1</v>
      </c>
    </row>
    <row r="511" spans="1:15" x14ac:dyDescent="0.25">
      <c r="A511" s="8">
        <v>87356</v>
      </c>
      <c r="B511" s="9" t="s">
        <v>39</v>
      </c>
      <c r="C511" s="9" t="s">
        <v>55</v>
      </c>
      <c r="D511" s="9" t="s">
        <v>50</v>
      </c>
      <c r="E511" s="9" t="s">
        <v>21</v>
      </c>
      <c r="F511" s="9" t="str">
        <f t="shared" si="7"/>
        <v>Not Delivered</v>
      </c>
      <c r="G511" s="9" t="b">
        <v>0</v>
      </c>
      <c r="H511" s="9" t="s">
        <v>14</v>
      </c>
      <c r="I511" s="8">
        <v>6439</v>
      </c>
      <c r="J511" s="10">
        <v>493.93</v>
      </c>
      <c r="K511" s="10">
        <v>71.17</v>
      </c>
      <c r="L511" s="10">
        <v>0</v>
      </c>
      <c r="M511" s="10">
        <v>565.1</v>
      </c>
      <c r="N511" s="8">
        <v>4</v>
      </c>
      <c r="O511" s="6">
        <v>4.5</v>
      </c>
    </row>
    <row r="512" spans="1:15" x14ac:dyDescent="0.25">
      <c r="A512" s="8">
        <v>23154</v>
      </c>
      <c r="B512" s="9" t="s">
        <v>0</v>
      </c>
      <c r="C512" s="9" t="s">
        <v>51</v>
      </c>
      <c r="D512" s="9" t="s">
        <v>30</v>
      </c>
      <c r="E512" s="9" t="s">
        <v>3</v>
      </c>
      <c r="F512" s="9" t="str">
        <f t="shared" si="7"/>
        <v>Not Delivered</v>
      </c>
      <c r="G512" s="9" t="b">
        <v>0</v>
      </c>
      <c r="H512" s="9" t="s">
        <v>14</v>
      </c>
      <c r="I512" s="8">
        <v>8213</v>
      </c>
      <c r="J512" s="10">
        <v>1665.53</v>
      </c>
      <c r="K512" s="10">
        <v>121.78</v>
      </c>
      <c r="L512" s="10">
        <v>0</v>
      </c>
      <c r="M512" s="10">
        <v>1787.31</v>
      </c>
      <c r="N512" s="8">
        <v>2</v>
      </c>
      <c r="O512" s="6">
        <v>3.4</v>
      </c>
    </row>
    <row r="513" spans="1:15" x14ac:dyDescent="0.25">
      <c r="A513" s="8">
        <v>23069</v>
      </c>
      <c r="B513" s="9" t="s">
        <v>23</v>
      </c>
      <c r="C513" s="9" t="s">
        <v>49</v>
      </c>
      <c r="D513" s="9" t="s">
        <v>50</v>
      </c>
      <c r="E513" s="9" t="s">
        <v>17</v>
      </c>
      <c r="F513" s="9" t="str">
        <f t="shared" si="7"/>
        <v>Not Delivered</v>
      </c>
      <c r="G513" s="9" t="b">
        <v>1</v>
      </c>
      <c r="H513" s="9" t="s">
        <v>28</v>
      </c>
      <c r="I513" s="8">
        <v>9617</v>
      </c>
      <c r="J513" s="10">
        <v>327.87</v>
      </c>
      <c r="K513" s="10">
        <v>92.58</v>
      </c>
      <c r="L513" s="10">
        <v>42.58</v>
      </c>
      <c r="M513" s="10">
        <v>463.03</v>
      </c>
      <c r="N513" s="8">
        <v>14</v>
      </c>
      <c r="O513" s="6">
        <v>1.4</v>
      </c>
    </row>
    <row r="514" spans="1:15" x14ac:dyDescent="0.25">
      <c r="A514" s="8">
        <v>69890</v>
      </c>
      <c r="B514" s="9" t="s">
        <v>39</v>
      </c>
      <c r="C514" s="9" t="s">
        <v>55</v>
      </c>
      <c r="D514" s="9" t="s">
        <v>45</v>
      </c>
      <c r="E514" s="9" t="s">
        <v>32</v>
      </c>
      <c r="F514" s="9" t="str">
        <f t="shared" si="7"/>
        <v>Not Delivered</v>
      </c>
      <c r="G514" s="9" t="b">
        <v>0</v>
      </c>
      <c r="H514" s="9" t="s">
        <v>28</v>
      </c>
      <c r="I514" s="8">
        <v>1251</v>
      </c>
      <c r="J514" s="10">
        <v>639.86</v>
      </c>
      <c r="K514" s="10">
        <v>88.28</v>
      </c>
      <c r="L514" s="10">
        <v>0</v>
      </c>
      <c r="M514" s="10">
        <v>728.14</v>
      </c>
      <c r="N514" s="8">
        <v>7</v>
      </c>
      <c r="O514" s="6">
        <v>3.6</v>
      </c>
    </row>
    <row r="515" spans="1:15" x14ac:dyDescent="0.25">
      <c r="A515" s="8">
        <v>28894</v>
      </c>
      <c r="B515" s="9" t="s">
        <v>41</v>
      </c>
      <c r="C515" s="9" t="s">
        <v>42</v>
      </c>
      <c r="D515" s="9" t="s">
        <v>12</v>
      </c>
      <c r="E515" s="9" t="s">
        <v>8</v>
      </c>
      <c r="F515" s="9" t="str">
        <f t="shared" ref="F515:F578" si="8">IF(OR(
E515="Failed Delivery",
E515="Cancelled",
E515="Pending",
E515="Rescheduled",
E515="In Transit"
),"Not Delivered","Delivered")</f>
        <v>Not Delivered</v>
      </c>
      <c r="G515" s="9" t="b">
        <v>0</v>
      </c>
      <c r="H515" s="9" t="s">
        <v>4</v>
      </c>
      <c r="I515" s="8">
        <v>7717</v>
      </c>
      <c r="J515" s="10">
        <v>2155.3200000000002</v>
      </c>
      <c r="K515" s="10">
        <v>91.72</v>
      </c>
      <c r="L515" s="10">
        <v>0</v>
      </c>
      <c r="M515" s="10">
        <v>2247.04</v>
      </c>
      <c r="N515" s="8">
        <v>14</v>
      </c>
      <c r="O515" s="6">
        <v>1.5</v>
      </c>
    </row>
    <row r="516" spans="1:15" x14ac:dyDescent="0.25">
      <c r="A516" s="8">
        <v>95823</v>
      </c>
      <c r="B516" s="9" t="s">
        <v>23</v>
      </c>
      <c r="C516" s="9" t="s">
        <v>48</v>
      </c>
      <c r="D516" s="9" t="s">
        <v>38</v>
      </c>
      <c r="E516" s="9" t="s">
        <v>21</v>
      </c>
      <c r="F516" s="9" t="str">
        <f t="shared" si="8"/>
        <v>Not Delivered</v>
      </c>
      <c r="G516" s="9" t="b">
        <v>1</v>
      </c>
      <c r="H516" s="9" t="s">
        <v>9</v>
      </c>
      <c r="I516" s="8">
        <v>3529</v>
      </c>
      <c r="J516" s="10">
        <v>2671.93</v>
      </c>
      <c r="K516" s="10">
        <v>147.5</v>
      </c>
      <c r="L516" s="10">
        <v>28.43</v>
      </c>
      <c r="M516" s="10">
        <v>2847.86</v>
      </c>
      <c r="N516" s="8">
        <v>13</v>
      </c>
      <c r="O516" s="6">
        <v>2.8</v>
      </c>
    </row>
    <row r="517" spans="1:15" x14ac:dyDescent="0.25">
      <c r="A517" s="8">
        <v>19807</v>
      </c>
      <c r="B517" s="9" t="s">
        <v>41</v>
      </c>
      <c r="C517" s="9" t="s">
        <v>46</v>
      </c>
      <c r="D517" s="9" t="s">
        <v>25</v>
      </c>
      <c r="E517" s="9" t="s">
        <v>21</v>
      </c>
      <c r="F517" s="9" t="str">
        <f t="shared" si="8"/>
        <v>Not Delivered</v>
      </c>
      <c r="G517" s="9" t="b">
        <v>0</v>
      </c>
      <c r="H517" s="9" t="s">
        <v>9</v>
      </c>
      <c r="I517" s="8">
        <v>8692</v>
      </c>
      <c r="J517" s="10">
        <v>1299.67</v>
      </c>
      <c r="K517" s="10">
        <v>132.01</v>
      </c>
      <c r="L517" s="10">
        <v>0</v>
      </c>
      <c r="M517" s="10">
        <v>1431.68</v>
      </c>
      <c r="N517" s="8">
        <v>6</v>
      </c>
      <c r="O517" s="6">
        <v>2.7</v>
      </c>
    </row>
    <row r="518" spans="1:15" x14ac:dyDescent="0.25">
      <c r="A518" s="8">
        <v>44737</v>
      </c>
      <c r="B518" s="9" t="s">
        <v>0</v>
      </c>
      <c r="C518" s="9" t="s">
        <v>53</v>
      </c>
      <c r="D518" s="9" t="s">
        <v>38</v>
      </c>
      <c r="E518" s="9" t="s">
        <v>13</v>
      </c>
      <c r="F518" s="9" t="str">
        <f t="shared" si="8"/>
        <v>Delivered</v>
      </c>
      <c r="G518" s="9" t="b">
        <v>0</v>
      </c>
      <c r="H518" s="9" t="s">
        <v>4</v>
      </c>
      <c r="I518" s="8">
        <v>6546</v>
      </c>
      <c r="J518" s="10">
        <v>1325.01</v>
      </c>
      <c r="K518" s="10">
        <v>0</v>
      </c>
      <c r="L518" s="10">
        <v>0</v>
      </c>
      <c r="M518" s="10">
        <v>1325.01</v>
      </c>
      <c r="N518" s="8">
        <v>1</v>
      </c>
      <c r="O518" s="6">
        <v>3.3</v>
      </c>
    </row>
    <row r="519" spans="1:15" x14ac:dyDescent="0.25">
      <c r="A519" s="8">
        <v>91691</v>
      </c>
      <c r="B519" s="9" t="s">
        <v>41</v>
      </c>
      <c r="C519" s="9" t="s">
        <v>42</v>
      </c>
      <c r="D519" s="9" t="s">
        <v>2</v>
      </c>
      <c r="E519" s="9" t="s">
        <v>17</v>
      </c>
      <c r="F519" s="9" t="str">
        <f t="shared" si="8"/>
        <v>Not Delivered</v>
      </c>
      <c r="G519" s="9" t="b">
        <v>0</v>
      </c>
      <c r="H519" s="9" t="s">
        <v>28</v>
      </c>
      <c r="I519" s="8">
        <v>7512</v>
      </c>
      <c r="J519" s="10">
        <v>2415.8200000000002</v>
      </c>
      <c r="K519" s="10">
        <v>0</v>
      </c>
      <c r="L519" s="10">
        <v>0</v>
      </c>
      <c r="M519" s="10">
        <v>2415.8200000000002</v>
      </c>
      <c r="N519" s="8">
        <v>8</v>
      </c>
      <c r="O519" s="6">
        <v>3.1</v>
      </c>
    </row>
    <row r="520" spans="1:15" x14ac:dyDescent="0.25">
      <c r="A520" s="8">
        <v>95175</v>
      </c>
      <c r="B520" s="9" t="s">
        <v>39</v>
      </c>
      <c r="C520" s="9" t="s">
        <v>57</v>
      </c>
      <c r="D520" s="9" t="s">
        <v>45</v>
      </c>
      <c r="E520" s="9" t="s">
        <v>21</v>
      </c>
      <c r="F520" s="9" t="str">
        <f t="shared" si="8"/>
        <v>Not Delivered</v>
      </c>
      <c r="G520" s="9" t="b">
        <v>1</v>
      </c>
      <c r="H520" s="9" t="s">
        <v>22</v>
      </c>
      <c r="I520" s="8">
        <v>2315</v>
      </c>
      <c r="J520" s="10">
        <v>1051.3900000000001</v>
      </c>
      <c r="K520" s="10">
        <v>107.96</v>
      </c>
      <c r="L520" s="10">
        <v>153.5</v>
      </c>
      <c r="M520" s="10">
        <v>1312.85</v>
      </c>
      <c r="N520" s="8">
        <v>1</v>
      </c>
      <c r="O520" s="6">
        <v>3.1</v>
      </c>
    </row>
    <row r="521" spans="1:15" x14ac:dyDescent="0.25">
      <c r="A521" s="8">
        <v>53065</v>
      </c>
      <c r="B521" s="9" t="s">
        <v>10</v>
      </c>
      <c r="C521" s="9" t="s">
        <v>20</v>
      </c>
      <c r="D521" s="9" t="s">
        <v>2</v>
      </c>
      <c r="E521" s="9" t="s">
        <v>13</v>
      </c>
      <c r="F521" s="9" t="str">
        <f t="shared" si="8"/>
        <v>Delivered</v>
      </c>
      <c r="G521" s="9" t="b">
        <v>1</v>
      </c>
      <c r="H521" s="9" t="s">
        <v>4</v>
      </c>
      <c r="I521" s="8">
        <v>9742</v>
      </c>
      <c r="J521" s="10">
        <v>770.54</v>
      </c>
      <c r="K521" s="10">
        <v>79.459999999999994</v>
      </c>
      <c r="L521" s="10">
        <v>42.38</v>
      </c>
      <c r="M521" s="10">
        <v>892.38</v>
      </c>
      <c r="N521" s="8">
        <v>10</v>
      </c>
      <c r="O521" s="6">
        <v>3.9</v>
      </c>
    </row>
    <row r="522" spans="1:15" x14ac:dyDescent="0.25">
      <c r="A522" s="8">
        <v>59808</v>
      </c>
      <c r="B522" s="9" t="s">
        <v>0</v>
      </c>
      <c r="C522" s="9" t="s">
        <v>37</v>
      </c>
      <c r="D522" s="9" t="s">
        <v>45</v>
      </c>
      <c r="E522" s="9" t="s">
        <v>17</v>
      </c>
      <c r="F522" s="9" t="str">
        <f t="shared" si="8"/>
        <v>Not Delivered</v>
      </c>
      <c r="G522" s="9" t="b">
        <v>0</v>
      </c>
      <c r="H522" s="9" t="s">
        <v>28</v>
      </c>
      <c r="I522" s="8">
        <v>6188</v>
      </c>
      <c r="J522" s="10">
        <v>1103.93</v>
      </c>
      <c r="K522" s="10">
        <v>115.63</v>
      </c>
      <c r="L522" s="10">
        <v>0</v>
      </c>
      <c r="M522" s="10">
        <v>1219.56</v>
      </c>
      <c r="N522" s="8">
        <v>13</v>
      </c>
      <c r="O522" s="6">
        <v>1.1000000000000001</v>
      </c>
    </row>
    <row r="523" spans="1:15" x14ac:dyDescent="0.25">
      <c r="A523" s="8">
        <v>92155</v>
      </c>
      <c r="B523" s="9" t="s">
        <v>41</v>
      </c>
      <c r="C523" s="9" t="s">
        <v>47</v>
      </c>
      <c r="D523" s="9" t="s">
        <v>12</v>
      </c>
      <c r="E523" s="9" t="s">
        <v>21</v>
      </c>
      <c r="F523" s="9" t="str">
        <f t="shared" si="8"/>
        <v>Not Delivered</v>
      </c>
      <c r="G523" s="9" t="b">
        <v>1</v>
      </c>
      <c r="H523" s="9" t="s">
        <v>28</v>
      </c>
      <c r="I523" s="8">
        <v>8994</v>
      </c>
      <c r="J523" s="10">
        <v>2173.1799999999998</v>
      </c>
      <c r="K523" s="10">
        <v>0</v>
      </c>
      <c r="L523" s="10">
        <v>127.52</v>
      </c>
      <c r="M523" s="10">
        <v>2300.6999999999998</v>
      </c>
      <c r="N523" s="8">
        <v>5</v>
      </c>
    </row>
    <row r="524" spans="1:15" x14ac:dyDescent="0.25">
      <c r="A524" s="8">
        <v>80912</v>
      </c>
      <c r="B524" s="9" t="s">
        <v>41</v>
      </c>
      <c r="C524" s="9" t="s">
        <v>46</v>
      </c>
      <c r="D524" s="9" t="s">
        <v>12</v>
      </c>
      <c r="E524" s="9" t="s">
        <v>32</v>
      </c>
      <c r="F524" s="9" t="str">
        <f t="shared" si="8"/>
        <v>Not Delivered</v>
      </c>
      <c r="G524" s="9" t="b">
        <v>1</v>
      </c>
      <c r="H524" s="9" t="s">
        <v>18</v>
      </c>
      <c r="I524" s="8">
        <v>1588</v>
      </c>
      <c r="J524" s="10">
        <v>1750.14</v>
      </c>
      <c r="K524" s="10">
        <v>67.540000000000006</v>
      </c>
      <c r="L524" s="10">
        <v>177.12</v>
      </c>
      <c r="M524" s="10">
        <v>1994.8</v>
      </c>
      <c r="N524" s="8">
        <v>9</v>
      </c>
      <c r="O524" s="6">
        <v>2.4</v>
      </c>
    </row>
    <row r="525" spans="1:15" x14ac:dyDescent="0.25">
      <c r="A525" s="8">
        <v>90931</v>
      </c>
      <c r="B525" s="9" t="s">
        <v>23</v>
      </c>
      <c r="C525" s="9" t="s">
        <v>54</v>
      </c>
      <c r="D525" s="9" t="s">
        <v>38</v>
      </c>
      <c r="E525" s="9" t="s">
        <v>13</v>
      </c>
      <c r="F525" s="9" t="str">
        <f t="shared" si="8"/>
        <v>Delivered</v>
      </c>
      <c r="G525" s="9" t="b">
        <v>0</v>
      </c>
      <c r="H525" s="9" t="s">
        <v>4</v>
      </c>
      <c r="I525" s="8">
        <v>2121</v>
      </c>
      <c r="J525" s="10">
        <v>2295.37</v>
      </c>
      <c r="K525" s="10">
        <v>88.32</v>
      </c>
      <c r="L525" s="10">
        <v>0</v>
      </c>
      <c r="M525" s="10">
        <v>2383.69</v>
      </c>
      <c r="N525" s="8">
        <v>12</v>
      </c>
      <c r="O525" s="6">
        <v>1.8</v>
      </c>
    </row>
    <row r="526" spans="1:15" x14ac:dyDescent="0.25">
      <c r="A526" s="8">
        <v>40771</v>
      </c>
      <c r="B526" s="9" t="s">
        <v>0</v>
      </c>
      <c r="C526" s="9" t="s">
        <v>51</v>
      </c>
      <c r="D526" s="9" t="s">
        <v>30</v>
      </c>
      <c r="E526" s="9" t="s">
        <v>32</v>
      </c>
      <c r="F526" s="9" t="str">
        <f t="shared" si="8"/>
        <v>Not Delivered</v>
      </c>
      <c r="G526" s="9" t="b">
        <v>1</v>
      </c>
      <c r="H526" s="9" t="s">
        <v>9</v>
      </c>
      <c r="I526" s="8">
        <v>5708</v>
      </c>
      <c r="J526" s="10">
        <v>1396.55</v>
      </c>
      <c r="K526" s="10">
        <v>0</v>
      </c>
      <c r="L526" s="10">
        <v>209.81</v>
      </c>
      <c r="M526" s="10">
        <v>1606.36</v>
      </c>
      <c r="N526" s="8">
        <v>5</v>
      </c>
      <c r="O526" s="6">
        <v>4.8</v>
      </c>
    </row>
    <row r="527" spans="1:15" x14ac:dyDescent="0.25">
      <c r="A527" s="8">
        <v>39817</v>
      </c>
      <c r="B527" s="9" t="s">
        <v>0</v>
      </c>
      <c r="C527" s="9" t="s">
        <v>37</v>
      </c>
      <c r="D527" s="9" t="s">
        <v>16</v>
      </c>
      <c r="E527" s="9" t="s">
        <v>8</v>
      </c>
      <c r="F527" s="9" t="str">
        <f t="shared" si="8"/>
        <v>Not Delivered</v>
      </c>
      <c r="G527" s="9" t="b">
        <v>0</v>
      </c>
      <c r="H527" s="9" t="s">
        <v>33</v>
      </c>
      <c r="I527" s="8">
        <v>2480</v>
      </c>
      <c r="J527" s="10">
        <v>933.07</v>
      </c>
      <c r="K527" s="10">
        <v>0</v>
      </c>
      <c r="L527" s="10">
        <v>0</v>
      </c>
      <c r="M527" s="10">
        <v>933.07</v>
      </c>
      <c r="N527" s="8">
        <v>1</v>
      </c>
      <c r="O527" s="6">
        <v>4.2</v>
      </c>
    </row>
    <row r="528" spans="1:15" x14ac:dyDescent="0.25">
      <c r="A528" s="8">
        <v>66881</v>
      </c>
      <c r="B528" s="9" t="s">
        <v>41</v>
      </c>
      <c r="C528" s="9" t="s">
        <v>47</v>
      </c>
      <c r="D528" s="9" t="s">
        <v>35</v>
      </c>
      <c r="E528" s="9" t="s">
        <v>13</v>
      </c>
      <c r="F528" s="9" t="str">
        <f t="shared" si="8"/>
        <v>Delivered</v>
      </c>
      <c r="G528" s="9" t="b">
        <v>0</v>
      </c>
      <c r="H528" s="9" t="s">
        <v>33</v>
      </c>
      <c r="I528" s="8">
        <v>2612</v>
      </c>
      <c r="J528" s="10">
        <v>514.20000000000005</v>
      </c>
      <c r="K528" s="10">
        <v>85.38</v>
      </c>
      <c r="L528" s="10">
        <v>0</v>
      </c>
      <c r="M528" s="10">
        <v>599.58000000000004</v>
      </c>
      <c r="N528" s="8">
        <v>10</v>
      </c>
      <c r="O528" s="6">
        <v>4.4000000000000004</v>
      </c>
    </row>
    <row r="529" spans="1:15" x14ac:dyDescent="0.25">
      <c r="A529" s="8">
        <v>93066</v>
      </c>
      <c r="B529" s="9" t="s">
        <v>5</v>
      </c>
      <c r="C529" s="9" t="s">
        <v>56</v>
      </c>
      <c r="D529" s="9" t="s">
        <v>30</v>
      </c>
      <c r="E529" s="9" t="s">
        <v>17</v>
      </c>
      <c r="F529" s="9" t="str">
        <f t="shared" si="8"/>
        <v>Not Delivered</v>
      </c>
      <c r="G529" s="9" t="b">
        <v>1</v>
      </c>
      <c r="H529" s="9" t="s">
        <v>22</v>
      </c>
      <c r="I529" s="8">
        <v>2646</v>
      </c>
      <c r="J529" s="10">
        <v>1704.99</v>
      </c>
      <c r="K529" s="10">
        <v>127.32</v>
      </c>
      <c r="L529" s="10">
        <v>76</v>
      </c>
      <c r="M529" s="10">
        <v>1908.31</v>
      </c>
      <c r="N529" s="8">
        <v>11</v>
      </c>
      <c r="O529" s="6">
        <v>1.7</v>
      </c>
    </row>
    <row r="530" spans="1:15" x14ac:dyDescent="0.25">
      <c r="A530" s="8">
        <v>68153</v>
      </c>
      <c r="B530" s="9" t="s">
        <v>5</v>
      </c>
      <c r="C530" s="9" t="s">
        <v>6</v>
      </c>
      <c r="D530" s="9" t="s">
        <v>25</v>
      </c>
      <c r="E530" s="9" t="s">
        <v>21</v>
      </c>
      <c r="F530" s="9" t="str">
        <f t="shared" si="8"/>
        <v>Not Delivered</v>
      </c>
      <c r="G530" s="9" t="b">
        <v>1</v>
      </c>
      <c r="H530" s="9" t="s">
        <v>4</v>
      </c>
      <c r="I530" s="8">
        <v>3725</v>
      </c>
      <c r="J530" s="10">
        <v>227.51</v>
      </c>
      <c r="K530" s="10">
        <v>32.33</v>
      </c>
      <c r="L530" s="10">
        <v>202.73</v>
      </c>
      <c r="M530" s="10">
        <v>462.57</v>
      </c>
      <c r="N530" s="8">
        <v>12</v>
      </c>
      <c r="O530" s="6">
        <v>1.8</v>
      </c>
    </row>
    <row r="531" spans="1:15" x14ac:dyDescent="0.25">
      <c r="A531" s="8">
        <v>49251</v>
      </c>
      <c r="B531" s="9" t="s">
        <v>5</v>
      </c>
      <c r="C531" s="9" t="s">
        <v>59</v>
      </c>
      <c r="D531" s="9" t="s">
        <v>27</v>
      </c>
      <c r="E531" s="9" t="s">
        <v>8</v>
      </c>
      <c r="F531" s="9" t="str">
        <f t="shared" si="8"/>
        <v>Not Delivered</v>
      </c>
      <c r="G531" s="9" t="b">
        <v>1</v>
      </c>
      <c r="H531" s="9" t="s">
        <v>18</v>
      </c>
      <c r="I531" s="8">
        <v>1474</v>
      </c>
      <c r="J531" s="10">
        <v>1710.19</v>
      </c>
      <c r="K531" s="10">
        <v>145.05000000000001</v>
      </c>
      <c r="L531" s="10">
        <v>27.16</v>
      </c>
      <c r="M531" s="10">
        <v>1882.4</v>
      </c>
      <c r="N531" s="8">
        <v>10</v>
      </c>
    </row>
    <row r="532" spans="1:15" x14ac:dyDescent="0.25">
      <c r="A532" s="8">
        <v>16028</v>
      </c>
      <c r="B532" s="9" t="s">
        <v>23</v>
      </c>
      <c r="C532" s="9" t="s">
        <v>60</v>
      </c>
      <c r="D532" s="9" t="s">
        <v>50</v>
      </c>
      <c r="E532" s="9" t="s">
        <v>3</v>
      </c>
      <c r="F532" s="9" t="str">
        <f t="shared" si="8"/>
        <v>Not Delivered</v>
      </c>
      <c r="G532" s="9" t="b">
        <v>0</v>
      </c>
      <c r="H532" s="9" t="s">
        <v>22</v>
      </c>
      <c r="I532" s="8">
        <v>6314</v>
      </c>
      <c r="J532" s="10">
        <v>2132.61</v>
      </c>
      <c r="K532" s="10">
        <v>0</v>
      </c>
      <c r="M532" s="10">
        <v>2132.61</v>
      </c>
      <c r="N532" s="8">
        <v>11</v>
      </c>
      <c r="O532" s="6">
        <v>3.6</v>
      </c>
    </row>
    <row r="533" spans="1:15" x14ac:dyDescent="0.25">
      <c r="A533" s="8">
        <v>17355</v>
      </c>
      <c r="B533" s="9" t="s">
        <v>0</v>
      </c>
      <c r="C533" s="9" t="s">
        <v>51</v>
      </c>
      <c r="D533" s="9" t="s">
        <v>7</v>
      </c>
      <c r="E533" s="9" t="s">
        <v>3</v>
      </c>
      <c r="F533" s="9" t="str">
        <f t="shared" si="8"/>
        <v>Not Delivered</v>
      </c>
      <c r="G533" s="9" t="b">
        <v>1</v>
      </c>
      <c r="H533" s="9" t="s">
        <v>4</v>
      </c>
      <c r="I533" s="8">
        <v>5806</v>
      </c>
      <c r="J533" s="10">
        <v>574.61</v>
      </c>
      <c r="K533" s="10">
        <v>77.73</v>
      </c>
      <c r="L533" s="10">
        <v>208.29</v>
      </c>
      <c r="M533" s="10">
        <v>860.63</v>
      </c>
      <c r="N533" s="8">
        <v>1</v>
      </c>
      <c r="O533" s="6">
        <v>4.3</v>
      </c>
    </row>
    <row r="534" spans="1:15" x14ac:dyDescent="0.25">
      <c r="A534" s="8">
        <v>56984</v>
      </c>
      <c r="B534" s="9" t="s">
        <v>39</v>
      </c>
      <c r="C534" s="9" t="s">
        <v>40</v>
      </c>
      <c r="D534" s="9" t="s">
        <v>16</v>
      </c>
      <c r="E534" s="9" t="s">
        <v>32</v>
      </c>
      <c r="F534" s="9" t="str">
        <f t="shared" si="8"/>
        <v>Not Delivered</v>
      </c>
      <c r="G534" s="9" t="b">
        <v>0</v>
      </c>
      <c r="H534" s="9" t="s">
        <v>18</v>
      </c>
      <c r="I534" s="8">
        <v>7141</v>
      </c>
      <c r="J534" s="10">
        <v>946.63</v>
      </c>
      <c r="K534" s="10">
        <v>0</v>
      </c>
      <c r="L534" s="10">
        <v>0</v>
      </c>
      <c r="M534" s="10">
        <v>946.63</v>
      </c>
      <c r="N534" s="8">
        <v>2</v>
      </c>
    </row>
    <row r="535" spans="1:15" x14ac:dyDescent="0.25">
      <c r="A535" s="8">
        <v>66450</v>
      </c>
      <c r="B535" s="9" t="s">
        <v>0</v>
      </c>
      <c r="C535" s="9" t="s">
        <v>1</v>
      </c>
      <c r="D535" s="9" t="s">
        <v>45</v>
      </c>
      <c r="E535" s="9" t="s">
        <v>32</v>
      </c>
      <c r="F535" s="9" t="str">
        <f t="shared" si="8"/>
        <v>Not Delivered</v>
      </c>
      <c r="G535" s="9" t="b">
        <v>1</v>
      </c>
      <c r="H535" s="9" t="s">
        <v>22</v>
      </c>
      <c r="I535" s="8">
        <v>3385</v>
      </c>
      <c r="J535" s="10">
        <v>1655.81</v>
      </c>
      <c r="K535" s="10">
        <v>60.33</v>
      </c>
      <c r="L535" s="10">
        <v>39.28</v>
      </c>
      <c r="M535" s="10">
        <v>1755.42</v>
      </c>
      <c r="N535" s="8">
        <v>5</v>
      </c>
      <c r="O535" s="6">
        <v>1.1000000000000001</v>
      </c>
    </row>
    <row r="536" spans="1:15" x14ac:dyDescent="0.25">
      <c r="A536" s="8">
        <v>42007</v>
      </c>
      <c r="B536" s="9" t="s">
        <v>0</v>
      </c>
      <c r="C536" s="9" t="s">
        <v>1</v>
      </c>
      <c r="D536" s="9" t="s">
        <v>45</v>
      </c>
      <c r="E536" s="9" t="s">
        <v>3</v>
      </c>
      <c r="F536" s="9" t="str">
        <f t="shared" si="8"/>
        <v>Not Delivered</v>
      </c>
      <c r="G536" s="9" t="b">
        <v>0</v>
      </c>
      <c r="H536" s="9" t="s">
        <v>9</v>
      </c>
      <c r="I536" s="8">
        <v>9702</v>
      </c>
      <c r="J536" s="10">
        <v>1689.27</v>
      </c>
      <c r="K536" s="10">
        <v>76.64</v>
      </c>
      <c r="L536" s="10">
        <v>0</v>
      </c>
      <c r="M536" s="10">
        <v>1765.91</v>
      </c>
      <c r="N536" s="8">
        <v>7</v>
      </c>
      <c r="O536" s="6">
        <v>3.1</v>
      </c>
    </row>
    <row r="537" spans="1:15" x14ac:dyDescent="0.25">
      <c r="A537" s="8">
        <v>64008</v>
      </c>
      <c r="B537" s="9" t="s">
        <v>39</v>
      </c>
      <c r="C537" s="9" t="s">
        <v>57</v>
      </c>
      <c r="D537" s="9" t="s">
        <v>35</v>
      </c>
      <c r="E537" s="9" t="s">
        <v>13</v>
      </c>
      <c r="F537" s="9" t="str">
        <f t="shared" si="8"/>
        <v>Delivered</v>
      </c>
      <c r="G537" s="9" t="b">
        <v>0</v>
      </c>
      <c r="H537" s="9" t="s">
        <v>22</v>
      </c>
      <c r="I537" s="8">
        <v>3950</v>
      </c>
      <c r="J537" s="10">
        <v>846.98</v>
      </c>
      <c r="K537" s="10">
        <v>0</v>
      </c>
      <c r="L537" s="10">
        <v>0</v>
      </c>
      <c r="M537" s="10">
        <v>846.98</v>
      </c>
      <c r="N537" s="8">
        <v>2</v>
      </c>
      <c r="O537" s="6">
        <v>4.7</v>
      </c>
    </row>
    <row r="538" spans="1:15" x14ac:dyDescent="0.25">
      <c r="A538" s="8">
        <v>32280</v>
      </c>
      <c r="B538" s="9" t="s">
        <v>10</v>
      </c>
      <c r="C538" s="9" t="s">
        <v>20</v>
      </c>
      <c r="D538" s="9" t="s">
        <v>45</v>
      </c>
      <c r="E538" s="9" t="s">
        <v>13</v>
      </c>
      <c r="F538" s="9" t="str">
        <f t="shared" si="8"/>
        <v>Delivered</v>
      </c>
      <c r="G538" s="9" t="b">
        <v>1</v>
      </c>
      <c r="H538" s="9" t="s">
        <v>22</v>
      </c>
      <c r="I538" s="8">
        <v>3868</v>
      </c>
      <c r="J538" s="10">
        <v>204.87</v>
      </c>
      <c r="K538" s="10">
        <v>99.78</v>
      </c>
      <c r="L538" s="10">
        <v>153.46</v>
      </c>
      <c r="M538" s="10">
        <v>458.11</v>
      </c>
      <c r="N538" s="8">
        <v>6</v>
      </c>
    </row>
    <row r="539" spans="1:15" x14ac:dyDescent="0.25">
      <c r="A539" s="8">
        <v>20350</v>
      </c>
      <c r="B539" s="9" t="s">
        <v>23</v>
      </c>
      <c r="C539" s="9" t="s">
        <v>24</v>
      </c>
      <c r="D539" s="9" t="s">
        <v>38</v>
      </c>
      <c r="E539" s="9" t="s">
        <v>13</v>
      </c>
      <c r="F539" s="9" t="str">
        <f t="shared" si="8"/>
        <v>Delivered</v>
      </c>
      <c r="G539" s="9" t="b">
        <v>0</v>
      </c>
      <c r="H539" s="9" t="s">
        <v>9</v>
      </c>
      <c r="I539" s="8">
        <v>7267</v>
      </c>
      <c r="J539" s="10">
        <v>1730.26</v>
      </c>
      <c r="K539" s="10">
        <v>116.07</v>
      </c>
      <c r="L539" s="10">
        <v>0</v>
      </c>
      <c r="M539" s="10">
        <v>1846.33</v>
      </c>
      <c r="N539" s="8">
        <v>12</v>
      </c>
      <c r="O539" s="6">
        <v>1.4</v>
      </c>
    </row>
    <row r="540" spans="1:15" x14ac:dyDescent="0.25">
      <c r="A540" s="8">
        <v>91226</v>
      </c>
      <c r="B540" s="9" t="s">
        <v>5</v>
      </c>
      <c r="C540" s="9" t="s">
        <v>31</v>
      </c>
      <c r="D540" s="9" t="s">
        <v>30</v>
      </c>
      <c r="E540" s="9" t="s">
        <v>8</v>
      </c>
      <c r="F540" s="9" t="str">
        <f t="shared" si="8"/>
        <v>Not Delivered</v>
      </c>
      <c r="G540" s="9" t="b">
        <v>1</v>
      </c>
      <c r="H540" s="9" t="s">
        <v>33</v>
      </c>
      <c r="I540" s="8">
        <v>4945</v>
      </c>
      <c r="J540" s="10">
        <v>1207.3599999999999</v>
      </c>
      <c r="K540" s="10">
        <v>0</v>
      </c>
      <c r="L540" s="10">
        <v>51.27</v>
      </c>
      <c r="M540" s="10">
        <v>1258.6300000000001</v>
      </c>
      <c r="N540" s="8">
        <v>10</v>
      </c>
      <c r="O540" s="6">
        <v>2.6</v>
      </c>
    </row>
    <row r="541" spans="1:15" x14ac:dyDescent="0.25">
      <c r="A541" s="8">
        <v>75230</v>
      </c>
      <c r="B541" s="9" t="s">
        <v>39</v>
      </c>
      <c r="C541" s="9" t="s">
        <v>55</v>
      </c>
      <c r="D541" s="9" t="s">
        <v>12</v>
      </c>
      <c r="E541" s="9" t="s">
        <v>32</v>
      </c>
      <c r="F541" s="9" t="str">
        <f t="shared" si="8"/>
        <v>Not Delivered</v>
      </c>
      <c r="G541" s="9" t="b">
        <v>1</v>
      </c>
      <c r="H541" s="9" t="s">
        <v>14</v>
      </c>
      <c r="I541" s="8">
        <v>3344</v>
      </c>
      <c r="J541" s="10">
        <v>1450.23</v>
      </c>
      <c r="K541" s="10">
        <v>146.66</v>
      </c>
      <c r="L541" s="10">
        <v>33.479999999999997</v>
      </c>
      <c r="M541" s="10">
        <v>1630.37</v>
      </c>
      <c r="N541" s="8">
        <v>6</v>
      </c>
      <c r="O541" s="6">
        <v>1.2</v>
      </c>
    </row>
    <row r="542" spans="1:15" x14ac:dyDescent="0.25">
      <c r="A542" s="8">
        <v>40433</v>
      </c>
      <c r="B542" s="9" t="s">
        <v>0</v>
      </c>
      <c r="C542" s="9" t="s">
        <v>43</v>
      </c>
      <c r="D542" s="9" t="s">
        <v>25</v>
      </c>
      <c r="E542" s="9" t="s">
        <v>3</v>
      </c>
      <c r="F542" s="9" t="str">
        <f t="shared" si="8"/>
        <v>Not Delivered</v>
      </c>
      <c r="G542" s="9" t="b">
        <v>1</v>
      </c>
      <c r="H542" s="9" t="s">
        <v>18</v>
      </c>
      <c r="I542" s="8">
        <v>8555</v>
      </c>
      <c r="J542" s="10">
        <v>906.31</v>
      </c>
      <c r="K542" s="10">
        <v>137.43</v>
      </c>
      <c r="L542" s="10">
        <v>96.24</v>
      </c>
      <c r="M542" s="10">
        <v>1139.98</v>
      </c>
      <c r="N542" s="8">
        <v>1</v>
      </c>
      <c r="O542" s="6">
        <v>3</v>
      </c>
    </row>
    <row r="543" spans="1:15" x14ac:dyDescent="0.25">
      <c r="A543" s="8">
        <v>93611</v>
      </c>
      <c r="B543" s="9" t="s">
        <v>5</v>
      </c>
      <c r="C543" s="9" t="s">
        <v>36</v>
      </c>
      <c r="D543" s="9" t="s">
        <v>7</v>
      </c>
      <c r="E543" s="9" t="s">
        <v>21</v>
      </c>
      <c r="F543" s="9" t="str">
        <f t="shared" si="8"/>
        <v>Not Delivered</v>
      </c>
      <c r="G543" s="9" t="b">
        <v>1</v>
      </c>
      <c r="H543" s="9" t="s">
        <v>4</v>
      </c>
      <c r="I543" s="8">
        <v>5161</v>
      </c>
      <c r="J543" s="10">
        <v>1812.98</v>
      </c>
      <c r="K543" s="10">
        <v>0</v>
      </c>
      <c r="L543" s="10">
        <v>47.62</v>
      </c>
      <c r="M543" s="10">
        <v>1860.6</v>
      </c>
      <c r="N543" s="8">
        <v>14</v>
      </c>
      <c r="O543" s="6">
        <v>2.8</v>
      </c>
    </row>
    <row r="544" spans="1:15" x14ac:dyDescent="0.25">
      <c r="A544" s="8">
        <v>70236</v>
      </c>
      <c r="B544" s="9" t="s">
        <v>5</v>
      </c>
      <c r="C544" s="9" t="s">
        <v>6</v>
      </c>
      <c r="D544" s="9" t="s">
        <v>35</v>
      </c>
      <c r="E544" s="9" t="s">
        <v>17</v>
      </c>
      <c r="F544" s="9" t="str">
        <f t="shared" si="8"/>
        <v>Not Delivered</v>
      </c>
      <c r="G544" s="9" t="b">
        <v>1</v>
      </c>
      <c r="H544" s="9" t="s">
        <v>22</v>
      </c>
      <c r="I544" s="8">
        <v>5183</v>
      </c>
      <c r="J544" s="10">
        <v>1343.43</v>
      </c>
      <c r="K544" s="10">
        <v>72.06</v>
      </c>
      <c r="L544" s="10">
        <v>200.6</v>
      </c>
      <c r="M544" s="10">
        <v>1616.09</v>
      </c>
      <c r="N544" s="8">
        <v>14</v>
      </c>
      <c r="O544" s="6">
        <v>3.7</v>
      </c>
    </row>
    <row r="545" spans="1:15" x14ac:dyDescent="0.25">
      <c r="A545" s="8">
        <v>97404</v>
      </c>
      <c r="B545" s="9" t="s">
        <v>41</v>
      </c>
      <c r="C545" s="9" t="s">
        <v>46</v>
      </c>
      <c r="D545" s="9" t="s">
        <v>7</v>
      </c>
      <c r="E545" s="9" t="s">
        <v>8</v>
      </c>
      <c r="F545" s="9" t="str">
        <f t="shared" si="8"/>
        <v>Not Delivered</v>
      </c>
      <c r="G545" s="9" t="b">
        <v>1</v>
      </c>
      <c r="H545" s="9" t="s">
        <v>33</v>
      </c>
      <c r="I545" s="8">
        <v>1153</v>
      </c>
      <c r="J545" s="10">
        <v>1007.5</v>
      </c>
      <c r="K545" s="10">
        <v>71.319999999999993</v>
      </c>
      <c r="L545" s="10">
        <v>66.78</v>
      </c>
      <c r="M545" s="10">
        <v>1145.5999999999999</v>
      </c>
      <c r="N545" s="8">
        <v>2</v>
      </c>
      <c r="O545" s="6">
        <v>4</v>
      </c>
    </row>
    <row r="546" spans="1:15" x14ac:dyDescent="0.25">
      <c r="A546" s="8">
        <v>70981</v>
      </c>
      <c r="B546" s="9" t="s">
        <v>41</v>
      </c>
      <c r="C546" s="9" t="s">
        <v>46</v>
      </c>
      <c r="E546" s="9" t="s">
        <v>32</v>
      </c>
      <c r="F546" s="9" t="str">
        <f t="shared" si="8"/>
        <v>Not Delivered</v>
      </c>
      <c r="G546" s="9" t="b">
        <v>1</v>
      </c>
      <c r="H546" s="9" t="s">
        <v>4</v>
      </c>
      <c r="I546" s="8">
        <v>5712</v>
      </c>
      <c r="J546" s="10">
        <v>1265.05</v>
      </c>
      <c r="K546" s="10">
        <v>54.07</v>
      </c>
      <c r="L546" s="10">
        <v>266.64999999999998</v>
      </c>
      <c r="M546" s="10">
        <v>1585.77</v>
      </c>
      <c r="N546" s="8">
        <v>1</v>
      </c>
      <c r="O546" s="6">
        <v>1.3</v>
      </c>
    </row>
    <row r="547" spans="1:15" x14ac:dyDescent="0.25">
      <c r="A547" s="8">
        <v>98815</v>
      </c>
      <c r="B547" s="9" t="s">
        <v>0</v>
      </c>
      <c r="C547" s="9" t="s">
        <v>43</v>
      </c>
      <c r="D547" s="9" t="s">
        <v>7</v>
      </c>
      <c r="E547" s="9" t="s">
        <v>8</v>
      </c>
      <c r="F547" s="9" t="str">
        <f t="shared" si="8"/>
        <v>Not Delivered</v>
      </c>
      <c r="G547" s="9" t="b">
        <v>0</v>
      </c>
      <c r="H547" s="9" t="s">
        <v>33</v>
      </c>
      <c r="I547" s="8">
        <v>9955</v>
      </c>
      <c r="J547" s="10">
        <v>1613.41</v>
      </c>
      <c r="K547" s="10">
        <v>130.74</v>
      </c>
      <c r="L547" s="10">
        <v>0</v>
      </c>
      <c r="M547" s="10">
        <v>1744.15</v>
      </c>
      <c r="N547" s="8">
        <v>12</v>
      </c>
    </row>
    <row r="548" spans="1:15" x14ac:dyDescent="0.25">
      <c r="A548" s="8">
        <v>30706</v>
      </c>
      <c r="B548" s="9" t="s">
        <v>41</v>
      </c>
      <c r="C548" s="9" t="s">
        <v>42</v>
      </c>
      <c r="D548" s="9" t="s">
        <v>50</v>
      </c>
      <c r="E548" s="9" t="s">
        <v>13</v>
      </c>
      <c r="F548" s="9" t="str">
        <f t="shared" si="8"/>
        <v>Delivered</v>
      </c>
      <c r="G548" s="9" t="b">
        <v>1</v>
      </c>
      <c r="H548" s="9" t="s">
        <v>9</v>
      </c>
      <c r="I548" s="8">
        <v>2210</v>
      </c>
      <c r="J548" s="10">
        <v>1206.47</v>
      </c>
      <c r="K548" s="10">
        <v>111.05</v>
      </c>
      <c r="L548" s="10">
        <v>85.86</v>
      </c>
      <c r="M548" s="10">
        <v>1403.38</v>
      </c>
      <c r="N548" s="8">
        <v>10</v>
      </c>
      <c r="O548" s="6">
        <v>3.5</v>
      </c>
    </row>
    <row r="549" spans="1:15" x14ac:dyDescent="0.25">
      <c r="A549" s="8">
        <v>67898</v>
      </c>
      <c r="B549" s="9" t="s">
        <v>5</v>
      </c>
      <c r="C549" s="9" t="s">
        <v>59</v>
      </c>
      <c r="D549" s="9" t="s">
        <v>27</v>
      </c>
      <c r="E549" s="9" t="s">
        <v>8</v>
      </c>
      <c r="F549" s="9" t="str">
        <f t="shared" si="8"/>
        <v>Not Delivered</v>
      </c>
      <c r="G549" s="9" t="b">
        <v>1</v>
      </c>
      <c r="H549" s="9" t="s">
        <v>28</v>
      </c>
      <c r="I549" s="8">
        <v>6661</v>
      </c>
      <c r="J549" s="10">
        <v>741.97</v>
      </c>
      <c r="K549" s="10">
        <v>0</v>
      </c>
      <c r="L549" s="10">
        <v>186.27</v>
      </c>
      <c r="M549" s="10">
        <v>928.24</v>
      </c>
      <c r="N549" s="8">
        <v>9</v>
      </c>
      <c r="O549" s="6">
        <v>2.9</v>
      </c>
    </row>
    <row r="550" spans="1:15" x14ac:dyDescent="0.25">
      <c r="A550" s="8">
        <v>87014</v>
      </c>
      <c r="B550" s="9" t="s">
        <v>10</v>
      </c>
      <c r="C550" s="9" t="s">
        <v>26</v>
      </c>
      <c r="D550" s="9" t="s">
        <v>25</v>
      </c>
      <c r="E550" s="9" t="s">
        <v>17</v>
      </c>
      <c r="F550" s="9" t="str">
        <f t="shared" si="8"/>
        <v>Not Delivered</v>
      </c>
      <c r="G550" s="9" t="b">
        <v>0</v>
      </c>
      <c r="H550" s="9" t="s">
        <v>22</v>
      </c>
      <c r="I550" s="8">
        <v>5901</v>
      </c>
      <c r="J550" s="10">
        <v>468.07</v>
      </c>
      <c r="K550" s="10">
        <v>84.75</v>
      </c>
      <c r="L550" s="10">
        <v>0</v>
      </c>
      <c r="M550" s="10">
        <v>552.82000000000005</v>
      </c>
      <c r="N550" s="8">
        <v>8</v>
      </c>
      <c r="O550" s="6">
        <v>3.7</v>
      </c>
    </row>
    <row r="551" spans="1:15" x14ac:dyDescent="0.25">
      <c r="A551" s="8">
        <v>93746</v>
      </c>
      <c r="B551" s="9" t="s">
        <v>10</v>
      </c>
      <c r="C551" s="9" t="s">
        <v>11</v>
      </c>
      <c r="D551" s="9" t="s">
        <v>25</v>
      </c>
      <c r="E551" s="9" t="s">
        <v>21</v>
      </c>
      <c r="F551" s="9" t="str">
        <f t="shared" si="8"/>
        <v>Not Delivered</v>
      </c>
      <c r="G551" s="9" t="b">
        <v>0</v>
      </c>
      <c r="H551" s="9" t="s">
        <v>28</v>
      </c>
      <c r="I551" s="8">
        <v>7951</v>
      </c>
      <c r="J551" s="10">
        <v>498.22</v>
      </c>
      <c r="K551" s="10">
        <v>43.85</v>
      </c>
      <c r="L551" s="10">
        <v>0</v>
      </c>
      <c r="M551" s="10">
        <v>542.07000000000005</v>
      </c>
      <c r="N551" s="8">
        <v>1</v>
      </c>
    </row>
    <row r="552" spans="1:15" x14ac:dyDescent="0.25">
      <c r="A552" s="8">
        <v>42780</v>
      </c>
      <c r="B552" s="9" t="s">
        <v>23</v>
      </c>
      <c r="C552" s="9" t="s">
        <v>60</v>
      </c>
      <c r="D552" s="9" t="s">
        <v>35</v>
      </c>
      <c r="E552" s="9" t="s">
        <v>32</v>
      </c>
      <c r="F552" s="9" t="str">
        <f t="shared" si="8"/>
        <v>Not Delivered</v>
      </c>
      <c r="G552" s="9" t="b">
        <v>1</v>
      </c>
      <c r="H552" s="9" t="s">
        <v>14</v>
      </c>
      <c r="I552" s="8">
        <v>8484</v>
      </c>
      <c r="J552" s="10">
        <v>1532.42</v>
      </c>
      <c r="K552" s="10">
        <v>0</v>
      </c>
      <c r="L552" s="10">
        <v>238.91</v>
      </c>
      <c r="M552" s="10">
        <v>1771.33</v>
      </c>
      <c r="N552" s="8">
        <v>6</v>
      </c>
      <c r="O552" s="6">
        <v>4</v>
      </c>
    </row>
    <row r="553" spans="1:15" x14ac:dyDescent="0.25">
      <c r="A553" s="8">
        <v>49599</v>
      </c>
      <c r="B553" s="9" t="s">
        <v>5</v>
      </c>
      <c r="C553" s="9" t="s">
        <v>56</v>
      </c>
      <c r="D553" s="9" t="s">
        <v>12</v>
      </c>
      <c r="E553" s="9" t="s">
        <v>3</v>
      </c>
      <c r="F553" s="9" t="str">
        <f t="shared" si="8"/>
        <v>Not Delivered</v>
      </c>
      <c r="G553" s="9" t="b">
        <v>0</v>
      </c>
      <c r="H553" s="9" t="s">
        <v>18</v>
      </c>
      <c r="I553" s="8">
        <v>4263</v>
      </c>
      <c r="J553" s="10">
        <v>723.9</v>
      </c>
      <c r="K553" s="10">
        <v>0</v>
      </c>
      <c r="L553" s="10">
        <v>0</v>
      </c>
      <c r="M553" s="10">
        <v>723.9</v>
      </c>
      <c r="N553" s="8">
        <v>14</v>
      </c>
      <c r="O553" s="6">
        <v>4.5999999999999996</v>
      </c>
    </row>
    <row r="554" spans="1:15" x14ac:dyDescent="0.25">
      <c r="A554" s="8">
        <v>60422</v>
      </c>
      <c r="B554" s="9" t="s">
        <v>39</v>
      </c>
      <c r="C554" s="9" t="s">
        <v>57</v>
      </c>
      <c r="D554" s="9" t="s">
        <v>38</v>
      </c>
      <c r="E554" s="9" t="s">
        <v>32</v>
      </c>
      <c r="F554" s="9" t="str">
        <f t="shared" si="8"/>
        <v>Not Delivered</v>
      </c>
      <c r="G554" s="9" t="b">
        <v>0</v>
      </c>
      <c r="H554" s="9" t="s">
        <v>22</v>
      </c>
      <c r="I554" s="8">
        <v>8916</v>
      </c>
      <c r="J554" s="10">
        <v>1344.49</v>
      </c>
      <c r="K554" s="10">
        <v>0</v>
      </c>
      <c r="L554" s="10">
        <v>0</v>
      </c>
      <c r="M554" s="10">
        <v>1344.49</v>
      </c>
      <c r="N554" s="8">
        <v>3</v>
      </c>
      <c r="O554" s="6">
        <v>1.5</v>
      </c>
    </row>
    <row r="555" spans="1:15" x14ac:dyDescent="0.25">
      <c r="A555" s="8">
        <v>23979</v>
      </c>
      <c r="B555" s="9" t="s">
        <v>10</v>
      </c>
      <c r="C555" s="9" t="s">
        <v>11</v>
      </c>
      <c r="D555" s="9" t="s">
        <v>35</v>
      </c>
      <c r="E555" s="9" t="s">
        <v>32</v>
      </c>
      <c r="F555" s="9" t="str">
        <f t="shared" si="8"/>
        <v>Not Delivered</v>
      </c>
      <c r="G555" s="9" t="b">
        <v>1</v>
      </c>
      <c r="H555" s="9" t="s">
        <v>33</v>
      </c>
      <c r="I555" s="8">
        <v>4886</v>
      </c>
      <c r="J555" s="10">
        <v>484.2</v>
      </c>
      <c r="K555" s="10">
        <v>34.54</v>
      </c>
      <c r="L555" s="10">
        <v>113.65</v>
      </c>
      <c r="M555" s="10">
        <v>632.39</v>
      </c>
      <c r="N555" s="8">
        <v>14</v>
      </c>
      <c r="O555" s="6">
        <v>2.7</v>
      </c>
    </row>
    <row r="556" spans="1:15" x14ac:dyDescent="0.25">
      <c r="A556" s="8">
        <v>59986</v>
      </c>
      <c r="B556" s="9" t="s">
        <v>41</v>
      </c>
      <c r="C556" s="9" t="s">
        <v>46</v>
      </c>
      <c r="D556" s="9" t="s">
        <v>19</v>
      </c>
      <c r="E556" s="9" t="s">
        <v>21</v>
      </c>
      <c r="F556" s="9" t="str">
        <f t="shared" si="8"/>
        <v>Not Delivered</v>
      </c>
      <c r="G556" s="9" t="b">
        <v>1</v>
      </c>
      <c r="H556" s="9" t="s">
        <v>9</v>
      </c>
      <c r="I556" s="8">
        <v>6881</v>
      </c>
      <c r="J556" s="10">
        <v>2037</v>
      </c>
      <c r="K556" s="10">
        <v>111.15</v>
      </c>
      <c r="L556" s="10">
        <v>54.32</v>
      </c>
      <c r="M556" s="10">
        <v>2202.4699999999998</v>
      </c>
      <c r="N556" s="8">
        <v>14</v>
      </c>
      <c r="O556" s="6">
        <v>4.4000000000000004</v>
      </c>
    </row>
    <row r="557" spans="1:15" x14ac:dyDescent="0.25">
      <c r="A557" s="8">
        <v>85341</v>
      </c>
      <c r="B557" s="9" t="s">
        <v>39</v>
      </c>
      <c r="C557" s="9" t="s">
        <v>52</v>
      </c>
      <c r="D557" s="9" t="s">
        <v>7</v>
      </c>
      <c r="E557" s="9" t="s">
        <v>21</v>
      </c>
      <c r="F557" s="9" t="str">
        <f t="shared" si="8"/>
        <v>Not Delivered</v>
      </c>
      <c r="G557" s="9" t="b">
        <v>1</v>
      </c>
      <c r="H557" s="9" t="s">
        <v>4</v>
      </c>
      <c r="I557" s="8">
        <v>5847</v>
      </c>
      <c r="J557" s="10">
        <v>100.6</v>
      </c>
      <c r="K557" s="10">
        <v>57.11</v>
      </c>
      <c r="L557" s="10">
        <v>66.36</v>
      </c>
      <c r="M557" s="10">
        <v>224.07</v>
      </c>
      <c r="N557" s="8">
        <v>10</v>
      </c>
      <c r="O557" s="6">
        <v>4.7</v>
      </c>
    </row>
    <row r="558" spans="1:15" x14ac:dyDescent="0.25">
      <c r="A558" s="8">
        <v>48696</v>
      </c>
      <c r="B558" s="9" t="s">
        <v>39</v>
      </c>
      <c r="C558" s="9" t="s">
        <v>57</v>
      </c>
      <c r="D558" s="9" t="s">
        <v>12</v>
      </c>
      <c r="E558" s="9" t="s">
        <v>3</v>
      </c>
      <c r="F558" s="9" t="str">
        <f t="shared" si="8"/>
        <v>Not Delivered</v>
      </c>
      <c r="G558" s="9" t="b">
        <v>1</v>
      </c>
      <c r="H558" s="9" t="s">
        <v>9</v>
      </c>
      <c r="I558" s="8">
        <v>1359</v>
      </c>
      <c r="J558" s="10">
        <v>136.88</v>
      </c>
      <c r="K558" s="10">
        <v>60.3</v>
      </c>
      <c r="L558" s="10">
        <v>229.67</v>
      </c>
      <c r="M558" s="10">
        <v>426.85</v>
      </c>
      <c r="N558" s="8">
        <v>8</v>
      </c>
      <c r="O558" s="6">
        <v>3.8</v>
      </c>
    </row>
    <row r="559" spans="1:15" x14ac:dyDescent="0.25">
      <c r="A559" s="8">
        <v>96275</v>
      </c>
      <c r="B559" s="9" t="s">
        <v>23</v>
      </c>
      <c r="C559" s="9" t="s">
        <v>60</v>
      </c>
      <c r="D559" s="9" t="s">
        <v>50</v>
      </c>
      <c r="E559" s="9" t="s">
        <v>32</v>
      </c>
      <c r="F559" s="9" t="str">
        <f t="shared" si="8"/>
        <v>Not Delivered</v>
      </c>
      <c r="G559" s="9" t="b">
        <v>0</v>
      </c>
      <c r="H559" s="9" t="s">
        <v>22</v>
      </c>
      <c r="I559" s="8">
        <v>7484</v>
      </c>
      <c r="J559" s="10">
        <v>1741.69</v>
      </c>
      <c r="K559" s="10">
        <v>0</v>
      </c>
      <c r="L559" s="10">
        <v>0</v>
      </c>
      <c r="M559" s="10">
        <v>1741.69</v>
      </c>
      <c r="N559" s="8">
        <v>4</v>
      </c>
    </row>
    <row r="560" spans="1:15" x14ac:dyDescent="0.25">
      <c r="A560" s="8">
        <v>45976</v>
      </c>
      <c r="B560" s="9" t="s">
        <v>5</v>
      </c>
      <c r="C560" s="9" t="s">
        <v>6</v>
      </c>
      <c r="D560" s="9" t="s">
        <v>35</v>
      </c>
      <c r="E560" s="9" t="s">
        <v>8</v>
      </c>
      <c r="F560" s="9" t="str">
        <f t="shared" si="8"/>
        <v>Not Delivered</v>
      </c>
      <c r="G560" s="9" t="b">
        <v>1</v>
      </c>
      <c r="H560" s="9" t="s">
        <v>9</v>
      </c>
      <c r="I560" s="8">
        <v>1132</v>
      </c>
      <c r="J560" s="10">
        <v>1303.5</v>
      </c>
      <c r="K560" s="10">
        <v>120.33</v>
      </c>
      <c r="L560" s="10">
        <v>219.56</v>
      </c>
      <c r="M560" s="10">
        <v>1643.39</v>
      </c>
      <c r="N560" s="8">
        <v>3</v>
      </c>
      <c r="O560" s="6">
        <v>2.6</v>
      </c>
    </row>
    <row r="561" spans="1:15" x14ac:dyDescent="0.25">
      <c r="A561" s="8">
        <v>84177</v>
      </c>
      <c r="B561" s="9" t="s">
        <v>0</v>
      </c>
      <c r="C561" s="9" t="s">
        <v>1</v>
      </c>
      <c r="D561" s="9" t="s">
        <v>16</v>
      </c>
      <c r="E561" s="9" t="s">
        <v>13</v>
      </c>
      <c r="F561" s="9" t="str">
        <f t="shared" si="8"/>
        <v>Delivered</v>
      </c>
      <c r="G561" s="9" t="b">
        <v>0</v>
      </c>
      <c r="H561" s="9" t="s">
        <v>22</v>
      </c>
      <c r="I561" s="8">
        <v>1803</v>
      </c>
      <c r="J561" s="10">
        <v>1569.63</v>
      </c>
      <c r="K561" s="10">
        <v>0</v>
      </c>
      <c r="L561" s="10">
        <v>0</v>
      </c>
      <c r="M561" s="10">
        <v>1569.63</v>
      </c>
      <c r="N561" s="8">
        <v>9</v>
      </c>
    </row>
    <row r="562" spans="1:15" x14ac:dyDescent="0.25">
      <c r="A562" s="8">
        <v>89482</v>
      </c>
      <c r="B562" s="9" t="s">
        <v>41</v>
      </c>
      <c r="C562" s="9" t="s">
        <v>46</v>
      </c>
      <c r="D562" s="9" t="s">
        <v>27</v>
      </c>
      <c r="E562" s="9" t="s">
        <v>13</v>
      </c>
      <c r="F562" s="9" t="str">
        <f t="shared" si="8"/>
        <v>Delivered</v>
      </c>
      <c r="G562" s="9" t="b">
        <v>0</v>
      </c>
      <c r="H562" s="9" t="s">
        <v>4</v>
      </c>
      <c r="I562" s="8">
        <v>9138</v>
      </c>
      <c r="J562" s="10">
        <v>2032.92</v>
      </c>
      <c r="K562" s="10">
        <v>0</v>
      </c>
      <c r="L562" s="10">
        <v>0</v>
      </c>
      <c r="M562" s="10">
        <v>2032.92</v>
      </c>
      <c r="N562" s="8">
        <v>12</v>
      </c>
      <c r="O562" s="6">
        <v>3.1</v>
      </c>
    </row>
    <row r="563" spans="1:15" x14ac:dyDescent="0.25">
      <c r="A563" s="8">
        <v>47512</v>
      </c>
      <c r="B563" s="9" t="s">
        <v>5</v>
      </c>
      <c r="C563" s="9" t="s">
        <v>44</v>
      </c>
      <c r="D563" s="9" t="s">
        <v>19</v>
      </c>
      <c r="E563" s="9" t="s">
        <v>21</v>
      </c>
      <c r="F563" s="9" t="str">
        <f t="shared" si="8"/>
        <v>Not Delivered</v>
      </c>
      <c r="G563" s="9" t="b">
        <v>1</v>
      </c>
      <c r="H563" s="9" t="s">
        <v>4</v>
      </c>
      <c r="I563" s="8">
        <v>4770</v>
      </c>
      <c r="J563" s="10">
        <v>1040.8599999999999</v>
      </c>
      <c r="K563" s="10">
        <v>86.56</v>
      </c>
      <c r="L563" s="10">
        <v>39.020000000000003</v>
      </c>
      <c r="M563" s="10">
        <v>1166.44</v>
      </c>
      <c r="N563" s="8">
        <v>13</v>
      </c>
      <c r="O563" s="6">
        <v>4.9000000000000004</v>
      </c>
    </row>
    <row r="564" spans="1:15" x14ac:dyDescent="0.25">
      <c r="A564" s="8">
        <v>89569</v>
      </c>
      <c r="B564" s="9" t="s">
        <v>0</v>
      </c>
      <c r="C564" s="9" t="s">
        <v>37</v>
      </c>
      <c r="D564" s="9" t="s">
        <v>25</v>
      </c>
      <c r="E564" s="9" t="s">
        <v>17</v>
      </c>
      <c r="F564" s="9" t="str">
        <f t="shared" si="8"/>
        <v>Not Delivered</v>
      </c>
      <c r="G564" s="9" t="b">
        <v>1</v>
      </c>
      <c r="H564" s="9" t="s">
        <v>33</v>
      </c>
      <c r="I564" s="8">
        <v>6772</v>
      </c>
      <c r="J564" s="10">
        <v>1366.68</v>
      </c>
      <c r="K564" s="10">
        <v>137.11000000000001</v>
      </c>
      <c r="L564" s="10">
        <v>66.02</v>
      </c>
      <c r="M564" s="10">
        <v>1569.81</v>
      </c>
      <c r="N564" s="8">
        <v>5</v>
      </c>
      <c r="O564" s="6">
        <v>2.7</v>
      </c>
    </row>
    <row r="565" spans="1:15" x14ac:dyDescent="0.25">
      <c r="A565" s="8">
        <v>38705</v>
      </c>
      <c r="B565" s="9" t="s">
        <v>10</v>
      </c>
      <c r="C565" s="9" t="s">
        <v>20</v>
      </c>
      <c r="D565" s="9" t="s">
        <v>38</v>
      </c>
      <c r="E565" s="9" t="s">
        <v>17</v>
      </c>
      <c r="F565" s="9" t="str">
        <f t="shared" si="8"/>
        <v>Not Delivered</v>
      </c>
      <c r="G565" s="9" t="b">
        <v>0</v>
      </c>
      <c r="H565" s="9" t="s">
        <v>28</v>
      </c>
      <c r="I565" s="8">
        <v>4115</v>
      </c>
      <c r="J565" s="10">
        <v>1023.83</v>
      </c>
      <c r="K565" s="10">
        <v>62.27</v>
      </c>
      <c r="L565" s="10">
        <v>0</v>
      </c>
      <c r="M565" s="10">
        <v>1086.0999999999999</v>
      </c>
      <c r="N565" s="8">
        <v>8</v>
      </c>
      <c r="O565" s="6">
        <v>4.2</v>
      </c>
    </row>
    <row r="566" spans="1:15" x14ac:dyDescent="0.25">
      <c r="A566" s="8">
        <v>91381</v>
      </c>
      <c r="B566" s="9" t="s">
        <v>39</v>
      </c>
      <c r="C566" s="9" t="s">
        <v>57</v>
      </c>
      <c r="D566" s="9" t="s">
        <v>50</v>
      </c>
      <c r="E566" s="9" t="s">
        <v>17</v>
      </c>
      <c r="F566" s="9" t="str">
        <f t="shared" si="8"/>
        <v>Not Delivered</v>
      </c>
      <c r="G566" s="9" t="b">
        <v>0</v>
      </c>
      <c r="H566" s="9" t="s">
        <v>22</v>
      </c>
      <c r="I566" s="8">
        <v>5106</v>
      </c>
      <c r="J566" s="10">
        <v>193.84</v>
      </c>
      <c r="K566" s="10">
        <v>92.35</v>
      </c>
      <c r="L566" s="10">
        <v>0</v>
      </c>
      <c r="M566" s="10">
        <v>286.19</v>
      </c>
      <c r="N566" s="8">
        <v>2</v>
      </c>
    </row>
    <row r="567" spans="1:15" x14ac:dyDescent="0.25">
      <c r="A567" s="8">
        <v>98835</v>
      </c>
      <c r="B567" s="9" t="s">
        <v>23</v>
      </c>
      <c r="C567" s="9" t="s">
        <v>54</v>
      </c>
      <c r="D567" s="9" t="s">
        <v>35</v>
      </c>
      <c r="E567" s="9" t="s">
        <v>3</v>
      </c>
      <c r="F567" s="9" t="str">
        <f t="shared" si="8"/>
        <v>Not Delivered</v>
      </c>
      <c r="G567" s="9" t="b">
        <v>1</v>
      </c>
      <c r="H567" s="9" t="s">
        <v>9</v>
      </c>
      <c r="I567" s="8">
        <v>3240</v>
      </c>
      <c r="J567" s="10">
        <v>578.91999999999996</v>
      </c>
      <c r="K567" s="10">
        <v>0</v>
      </c>
      <c r="L567" s="10">
        <v>141.65</v>
      </c>
      <c r="M567" s="10">
        <v>720.57</v>
      </c>
      <c r="N567" s="8">
        <v>11</v>
      </c>
      <c r="O567" s="6">
        <v>1.5</v>
      </c>
    </row>
    <row r="568" spans="1:15" x14ac:dyDescent="0.25">
      <c r="A568" s="8">
        <v>92345</v>
      </c>
      <c r="B568" s="9" t="s">
        <v>0</v>
      </c>
      <c r="C568" s="9" t="s">
        <v>1</v>
      </c>
      <c r="D568" s="9" t="s">
        <v>45</v>
      </c>
      <c r="E568" s="9" t="s">
        <v>21</v>
      </c>
      <c r="F568" s="9" t="str">
        <f t="shared" si="8"/>
        <v>Not Delivered</v>
      </c>
      <c r="G568" s="9" t="b">
        <v>1</v>
      </c>
      <c r="H568" s="9" t="s">
        <v>22</v>
      </c>
      <c r="I568" s="8">
        <v>2591</v>
      </c>
      <c r="J568" s="10">
        <v>631</v>
      </c>
      <c r="K568" s="10">
        <v>0</v>
      </c>
      <c r="L568" s="10">
        <v>141.16999999999999</v>
      </c>
      <c r="M568" s="10">
        <v>772.17</v>
      </c>
      <c r="N568" s="8">
        <v>6</v>
      </c>
      <c r="O568" s="6">
        <v>4.0999999999999996</v>
      </c>
    </row>
    <row r="569" spans="1:15" x14ac:dyDescent="0.25">
      <c r="A569" s="8">
        <v>92242</v>
      </c>
      <c r="B569" s="9" t="s">
        <v>0</v>
      </c>
      <c r="C569" s="9" t="s">
        <v>43</v>
      </c>
      <c r="D569" s="9" t="s">
        <v>50</v>
      </c>
      <c r="E569" s="9" t="s">
        <v>17</v>
      </c>
      <c r="F569" s="9" t="str">
        <f t="shared" si="8"/>
        <v>Not Delivered</v>
      </c>
      <c r="G569" s="9" t="b">
        <v>1</v>
      </c>
      <c r="H569" s="9" t="s">
        <v>28</v>
      </c>
      <c r="I569" s="8">
        <v>1645</v>
      </c>
      <c r="J569" s="10">
        <v>1539.15</v>
      </c>
      <c r="K569" s="10">
        <v>80.41</v>
      </c>
      <c r="L569" s="10">
        <v>117.17</v>
      </c>
      <c r="M569" s="10">
        <v>1736.73</v>
      </c>
      <c r="N569" s="8">
        <v>5</v>
      </c>
      <c r="O569" s="6">
        <v>2.5</v>
      </c>
    </row>
    <row r="570" spans="1:15" x14ac:dyDescent="0.25">
      <c r="A570" s="8">
        <v>50492</v>
      </c>
      <c r="B570" s="9" t="s">
        <v>10</v>
      </c>
      <c r="C570" s="9" t="s">
        <v>11</v>
      </c>
      <c r="D570" s="9" t="s">
        <v>27</v>
      </c>
      <c r="E570" s="9" t="s">
        <v>32</v>
      </c>
      <c r="F570" s="9" t="str">
        <f t="shared" si="8"/>
        <v>Not Delivered</v>
      </c>
      <c r="G570" s="9" t="b">
        <v>1</v>
      </c>
      <c r="H570" s="9" t="s">
        <v>28</v>
      </c>
      <c r="I570" s="8">
        <v>8222</v>
      </c>
      <c r="J570" s="10">
        <v>966.26</v>
      </c>
      <c r="K570" s="10">
        <v>0</v>
      </c>
      <c r="L570" s="10">
        <v>118.23</v>
      </c>
      <c r="M570" s="10">
        <v>1084.49</v>
      </c>
      <c r="N570" s="8">
        <v>3</v>
      </c>
      <c r="O570" s="6">
        <v>3.8</v>
      </c>
    </row>
    <row r="571" spans="1:15" x14ac:dyDescent="0.25">
      <c r="A571" s="8">
        <v>14373</v>
      </c>
      <c r="B571" s="9" t="s">
        <v>23</v>
      </c>
      <c r="C571" s="9" t="s">
        <v>60</v>
      </c>
      <c r="D571" s="9" t="s">
        <v>27</v>
      </c>
      <c r="E571" s="9" t="s">
        <v>13</v>
      </c>
      <c r="F571" s="9" t="str">
        <f t="shared" si="8"/>
        <v>Delivered</v>
      </c>
      <c r="G571" s="9" t="b">
        <v>1</v>
      </c>
      <c r="H571" s="9" t="s">
        <v>33</v>
      </c>
      <c r="I571" s="8">
        <v>6977</v>
      </c>
      <c r="J571" s="10">
        <v>267.27999999999997</v>
      </c>
      <c r="K571" s="10">
        <v>48.75</v>
      </c>
      <c r="L571" s="10">
        <v>189.06</v>
      </c>
      <c r="M571" s="10">
        <v>505.09</v>
      </c>
      <c r="N571" s="8">
        <v>3</v>
      </c>
      <c r="O571" s="6">
        <v>3.8</v>
      </c>
    </row>
    <row r="572" spans="1:15" x14ac:dyDescent="0.25">
      <c r="A572" s="8">
        <v>27224</v>
      </c>
      <c r="B572" s="9" t="s">
        <v>23</v>
      </c>
      <c r="C572" s="9" t="s">
        <v>49</v>
      </c>
      <c r="E572" s="9" t="s">
        <v>32</v>
      </c>
      <c r="F572" s="9" t="str">
        <f t="shared" si="8"/>
        <v>Not Delivered</v>
      </c>
      <c r="G572" s="9" t="b">
        <v>1</v>
      </c>
      <c r="H572" s="9" t="s">
        <v>4</v>
      </c>
      <c r="I572" s="8">
        <v>2476</v>
      </c>
      <c r="J572" s="10">
        <v>1428.02</v>
      </c>
      <c r="K572" s="10">
        <v>103.36</v>
      </c>
      <c r="L572" s="10">
        <v>35.11</v>
      </c>
      <c r="M572" s="10">
        <v>1566.49</v>
      </c>
      <c r="N572" s="8">
        <v>8</v>
      </c>
      <c r="O572" s="6">
        <v>4.8</v>
      </c>
    </row>
    <row r="573" spans="1:15" x14ac:dyDescent="0.25">
      <c r="A573" s="8">
        <v>48680</v>
      </c>
      <c r="B573" s="9" t="s">
        <v>0</v>
      </c>
      <c r="C573" s="9" t="s">
        <v>43</v>
      </c>
      <c r="D573" s="9" t="s">
        <v>2</v>
      </c>
      <c r="E573" s="9" t="s">
        <v>8</v>
      </c>
      <c r="F573" s="9" t="str">
        <f t="shared" si="8"/>
        <v>Not Delivered</v>
      </c>
      <c r="G573" s="9" t="b">
        <v>0</v>
      </c>
      <c r="H573" s="9" t="s">
        <v>28</v>
      </c>
      <c r="I573" s="8">
        <v>6352</v>
      </c>
      <c r="J573" s="10">
        <v>1759.74</v>
      </c>
      <c r="K573" s="10">
        <v>120.55</v>
      </c>
      <c r="L573" s="10">
        <v>0</v>
      </c>
      <c r="M573" s="10">
        <v>1880.29</v>
      </c>
      <c r="N573" s="8">
        <v>5</v>
      </c>
      <c r="O573" s="6">
        <v>4</v>
      </c>
    </row>
    <row r="574" spans="1:15" x14ac:dyDescent="0.25">
      <c r="A574" s="8">
        <v>64460</v>
      </c>
      <c r="B574" s="9" t="s">
        <v>41</v>
      </c>
      <c r="C574" s="9" t="s">
        <v>42</v>
      </c>
      <c r="D574" s="9" t="s">
        <v>30</v>
      </c>
      <c r="E574" s="9" t="s">
        <v>17</v>
      </c>
      <c r="F574" s="9" t="str">
        <f t="shared" si="8"/>
        <v>Not Delivered</v>
      </c>
      <c r="G574" s="9" t="b">
        <v>0</v>
      </c>
      <c r="H574" s="9" t="s">
        <v>33</v>
      </c>
      <c r="I574" s="8">
        <v>3877</v>
      </c>
      <c r="J574" s="10">
        <v>1045.1099999999999</v>
      </c>
      <c r="K574" s="10">
        <v>0</v>
      </c>
      <c r="L574" s="10">
        <v>0</v>
      </c>
      <c r="M574" s="10">
        <v>1045.1099999999999</v>
      </c>
      <c r="N574" s="8">
        <v>1</v>
      </c>
    </row>
    <row r="575" spans="1:15" x14ac:dyDescent="0.25">
      <c r="A575" s="8">
        <v>36318</v>
      </c>
      <c r="B575" s="9" t="s">
        <v>5</v>
      </c>
      <c r="C575" s="9" t="s">
        <v>44</v>
      </c>
      <c r="D575" s="9" t="s">
        <v>19</v>
      </c>
      <c r="E575" s="9" t="s">
        <v>21</v>
      </c>
      <c r="F575" s="9" t="str">
        <f t="shared" si="8"/>
        <v>Not Delivered</v>
      </c>
      <c r="G575" s="9" t="b">
        <v>0</v>
      </c>
      <c r="H575" s="9" t="s">
        <v>18</v>
      </c>
      <c r="I575" s="8">
        <v>3165</v>
      </c>
      <c r="J575" s="10">
        <v>1620.3</v>
      </c>
      <c r="K575" s="10">
        <v>0</v>
      </c>
      <c r="L575" s="10">
        <v>0</v>
      </c>
      <c r="M575" s="10">
        <v>1620.3</v>
      </c>
      <c r="N575" s="8">
        <v>2</v>
      </c>
      <c r="O575" s="6">
        <v>3.4</v>
      </c>
    </row>
    <row r="576" spans="1:15" x14ac:dyDescent="0.25">
      <c r="A576" s="8">
        <v>80701</v>
      </c>
      <c r="B576" s="9" t="s">
        <v>23</v>
      </c>
      <c r="C576" s="9" t="s">
        <v>49</v>
      </c>
      <c r="D576" s="9" t="s">
        <v>30</v>
      </c>
      <c r="E576" s="9" t="s">
        <v>3</v>
      </c>
      <c r="F576" s="9" t="str">
        <f t="shared" si="8"/>
        <v>Not Delivered</v>
      </c>
      <c r="G576" s="9" t="b">
        <v>0</v>
      </c>
      <c r="H576" s="9" t="s">
        <v>28</v>
      </c>
      <c r="I576" s="8">
        <v>6994</v>
      </c>
      <c r="J576" s="10">
        <v>707.79</v>
      </c>
      <c r="K576" s="10">
        <v>0</v>
      </c>
      <c r="L576" s="10">
        <v>0</v>
      </c>
      <c r="M576" s="10">
        <v>707.79</v>
      </c>
      <c r="N576" s="8">
        <v>11</v>
      </c>
      <c r="O576" s="6">
        <v>1.3</v>
      </c>
    </row>
    <row r="577" spans="1:15" x14ac:dyDescent="0.25">
      <c r="A577" s="8">
        <v>79579</v>
      </c>
      <c r="B577" s="9" t="s">
        <v>39</v>
      </c>
      <c r="C577" s="9" t="s">
        <v>52</v>
      </c>
      <c r="D577" s="9" t="s">
        <v>16</v>
      </c>
      <c r="E577" s="9" t="s">
        <v>13</v>
      </c>
      <c r="F577" s="9" t="str">
        <f t="shared" si="8"/>
        <v>Delivered</v>
      </c>
      <c r="G577" s="9" t="b">
        <v>0</v>
      </c>
      <c r="H577" s="9" t="s">
        <v>9</v>
      </c>
      <c r="I577" s="8">
        <v>9221</v>
      </c>
      <c r="J577" s="10">
        <v>936.5</v>
      </c>
      <c r="K577" s="10">
        <v>55.6</v>
      </c>
      <c r="L577" s="10">
        <v>0</v>
      </c>
      <c r="M577" s="10">
        <v>992.1</v>
      </c>
      <c r="N577" s="8">
        <v>7</v>
      </c>
    </row>
    <row r="578" spans="1:15" x14ac:dyDescent="0.25">
      <c r="A578" s="8">
        <v>45720</v>
      </c>
      <c r="B578" s="9" t="s">
        <v>10</v>
      </c>
      <c r="C578" s="9" t="s">
        <v>26</v>
      </c>
      <c r="D578" s="9" t="s">
        <v>45</v>
      </c>
      <c r="E578" s="9" t="s">
        <v>13</v>
      </c>
      <c r="F578" s="9" t="str">
        <f t="shared" si="8"/>
        <v>Delivered</v>
      </c>
      <c r="G578" s="9" t="b">
        <v>1</v>
      </c>
      <c r="H578" s="9" t="s">
        <v>28</v>
      </c>
      <c r="I578" s="8">
        <v>3695</v>
      </c>
      <c r="J578" s="10">
        <v>640.84</v>
      </c>
      <c r="K578" s="10">
        <v>147.75</v>
      </c>
      <c r="L578" s="10">
        <v>86.39</v>
      </c>
      <c r="M578" s="10">
        <v>874.98</v>
      </c>
      <c r="N578" s="8">
        <v>8</v>
      </c>
      <c r="O578" s="6">
        <v>2.7</v>
      </c>
    </row>
    <row r="579" spans="1:15" x14ac:dyDescent="0.25">
      <c r="A579" s="8">
        <v>43681</v>
      </c>
      <c r="B579" s="9" t="s">
        <v>0</v>
      </c>
      <c r="C579" s="9" t="s">
        <v>37</v>
      </c>
      <c r="D579" s="9" t="s">
        <v>35</v>
      </c>
      <c r="E579" s="9" t="s">
        <v>17</v>
      </c>
      <c r="F579" s="9" t="str">
        <f t="shared" ref="F579:F642" si="9">IF(OR(
E579="Failed Delivery",
E579="Cancelled",
E579="Pending",
E579="Rescheduled",
E579="In Transit"
),"Not Delivered","Delivered")</f>
        <v>Not Delivered</v>
      </c>
      <c r="G579" s="9" t="b">
        <v>1</v>
      </c>
      <c r="H579" s="9" t="s">
        <v>18</v>
      </c>
      <c r="I579" s="8">
        <v>8894</v>
      </c>
      <c r="J579" s="10">
        <v>1352.2</v>
      </c>
      <c r="K579" s="10">
        <v>133.55000000000001</v>
      </c>
      <c r="L579" s="10">
        <v>60.39</v>
      </c>
      <c r="M579" s="10">
        <v>1546.14</v>
      </c>
      <c r="N579" s="8">
        <v>8</v>
      </c>
      <c r="O579" s="6">
        <v>3.1</v>
      </c>
    </row>
    <row r="580" spans="1:15" x14ac:dyDescent="0.25">
      <c r="A580" s="8">
        <v>48684</v>
      </c>
      <c r="B580" s="9" t="s">
        <v>39</v>
      </c>
      <c r="C580" s="9" t="s">
        <v>57</v>
      </c>
      <c r="D580" s="9" t="s">
        <v>2</v>
      </c>
      <c r="E580" s="9" t="s">
        <v>32</v>
      </c>
      <c r="F580" s="9" t="str">
        <f t="shared" si="9"/>
        <v>Not Delivered</v>
      </c>
      <c r="G580" s="9" t="b">
        <v>0</v>
      </c>
      <c r="H580" s="9" t="s">
        <v>28</v>
      </c>
      <c r="I580" s="8">
        <v>6549</v>
      </c>
      <c r="J580" s="10">
        <v>89.4</v>
      </c>
      <c r="K580" s="10">
        <v>72.91</v>
      </c>
      <c r="L580" s="10">
        <v>0</v>
      </c>
      <c r="M580" s="10">
        <v>162.31</v>
      </c>
      <c r="N580" s="8">
        <v>7</v>
      </c>
      <c r="O580" s="6">
        <v>2.8</v>
      </c>
    </row>
    <row r="581" spans="1:15" x14ac:dyDescent="0.25">
      <c r="A581" s="8">
        <v>25095</v>
      </c>
      <c r="B581" s="9" t="s">
        <v>23</v>
      </c>
      <c r="C581" s="9" t="s">
        <v>54</v>
      </c>
      <c r="D581" s="9" t="s">
        <v>38</v>
      </c>
      <c r="E581" s="9" t="s">
        <v>3</v>
      </c>
      <c r="F581" s="9" t="str">
        <f t="shared" si="9"/>
        <v>Not Delivered</v>
      </c>
      <c r="G581" s="9" t="b">
        <v>0</v>
      </c>
      <c r="H581" s="9" t="s">
        <v>28</v>
      </c>
      <c r="I581" s="8">
        <v>8673</v>
      </c>
      <c r="J581" s="10">
        <v>974.97</v>
      </c>
      <c r="L581" s="10">
        <v>0</v>
      </c>
      <c r="M581" s="10">
        <v>1107.25</v>
      </c>
      <c r="N581" s="8">
        <v>14</v>
      </c>
      <c r="O581" s="6">
        <v>3</v>
      </c>
    </row>
    <row r="582" spans="1:15" x14ac:dyDescent="0.25">
      <c r="A582" s="8">
        <v>19869</v>
      </c>
      <c r="B582" s="9" t="s">
        <v>5</v>
      </c>
      <c r="C582" s="9" t="s">
        <v>6</v>
      </c>
      <c r="D582" s="9" t="s">
        <v>16</v>
      </c>
      <c r="E582" s="9" t="s">
        <v>32</v>
      </c>
      <c r="F582" s="9" t="str">
        <f t="shared" si="9"/>
        <v>Not Delivered</v>
      </c>
      <c r="G582" s="9" t="b">
        <v>0</v>
      </c>
      <c r="H582" s="9" t="s">
        <v>9</v>
      </c>
      <c r="I582" s="8">
        <v>3306</v>
      </c>
      <c r="J582" s="10">
        <v>554.26</v>
      </c>
      <c r="K582" s="10">
        <v>114.06</v>
      </c>
      <c r="L582" s="10">
        <v>0</v>
      </c>
      <c r="M582" s="10">
        <v>668.32</v>
      </c>
      <c r="N582" s="8">
        <v>2</v>
      </c>
      <c r="O582" s="6">
        <v>4.5999999999999996</v>
      </c>
    </row>
    <row r="583" spans="1:15" x14ac:dyDescent="0.25">
      <c r="A583" s="8">
        <v>39571</v>
      </c>
      <c r="B583" s="9" t="s">
        <v>0</v>
      </c>
      <c r="C583" s="9" t="s">
        <v>53</v>
      </c>
      <c r="D583" s="9" t="s">
        <v>45</v>
      </c>
      <c r="E583" s="9" t="s">
        <v>21</v>
      </c>
      <c r="F583" s="9" t="str">
        <f t="shared" si="9"/>
        <v>Not Delivered</v>
      </c>
      <c r="G583" s="9" t="b">
        <v>0</v>
      </c>
      <c r="H583" s="9" t="s">
        <v>9</v>
      </c>
      <c r="I583" s="8">
        <v>7511</v>
      </c>
      <c r="J583" s="10">
        <v>196.93</v>
      </c>
      <c r="K583" s="10">
        <v>82.35</v>
      </c>
      <c r="L583" s="10">
        <v>0</v>
      </c>
      <c r="M583" s="10">
        <v>279.27999999999997</v>
      </c>
      <c r="N583" s="8">
        <v>2</v>
      </c>
      <c r="O583" s="6">
        <v>2.4</v>
      </c>
    </row>
    <row r="584" spans="1:15" x14ac:dyDescent="0.25">
      <c r="A584" s="8">
        <v>83048</v>
      </c>
      <c r="B584" s="9" t="s">
        <v>10</v>
      </c>
      <c r="C584" s="9" t="s">
        <v>20</v>
      </c>
      <c r="E584" s="9" t="s">
        <v>8</v>
      </c>
      <c r="F584" s="9" t="str">
        <f t="shared" si="9"/>
        <v>Not Delivered</v>
      </c>
      <c r="G584" s="9" t="b">
        <v>1</v>
      </c>
      <c r="H584" s="9" t="s">
        <v>28</v>
      </c>
      <c r="I584" s="8">
        <v>6992</v>
      </c>
      <c r="J584" s="10">
        <v>1951.09</v>
      </c>
      <c r="K584" s="10">
        <v>87.32</v>
      </c>
      <c r="L584" s="10">
        <v>116.28</v>
      </c>
      <c r="M584" s="10">
        <v>2154.69</v>
      </c>
      <c r="N584" s="8">
        <v>1</v>
      </c>
    </row>
    <row r="585" spans="1:15" x14ac:dyDescent="0.25">
      <c r="A585" s="8">
        <v>21836</v>
      </c>
      <c r="B585" s="9" t="s">
        <v>10</v>
      </c>
      <c r="C585" s="9" t="s">
        <v>29</v>
      </c>
      <c r="D585" s="9" t="s">
        <v>12</v>
      </c>
      <c r="E585" s="9" t="s">
        <v>21</v>
      </c>
      <c r="F585" s="9" t="str">
        <f t="shared" si="9"/>
        <v>Not Delivered</v>
      </c>
      <c r="G585" s="9" t="b">
        <v>0</v>
      </c>
      <c r="H585" s="9" t="s">
        <v>28</v>
      </c>
      <c r="I585" s="8">
        <v>7464</v>
      </c>
      <c r="J585" s="10">
        <v>200.49</v>
      </c>
      <c r="K585" s="10">
        <v>52.09</v>
      </c>
      <c r="L585" s="10">
        <v>0</v>
      </c>
      <c r="M585" s="10">
        <v>252.58</v>
      </c>
      <c r="N585" s="8">
        <v>1</v>
      </c>
      <c r="O585" s="6">
        <v>3.1</v>
      </c>
    </row>
    <row r="586" spans="1:15" x14ac:dyDescent="0.25">
      <c r="A586" s="8">
        <v>11824</v>
      </c>
      <c r="B586" s="9" t="s">
        <v>0</v>
      </c>
      <c r="C586" s="9" t="s">
        <v>53</v>
      </c>
      <c r="D586" s="9" t="s">
        <v>50</v>
      </c>
      <c r="E586" s="9" t="s">
        <v>13</v>
      </c>
      <c r="F586" s="9" t="str">
        <f t="shared" si="9"/>
        <v>Delivered</v>
      </c>
      <c r="G586" s="9" t="b">
        <v>0</v>
      </c>
      <c r="H586" s="9" t="s">
        <v>22</v>
      </c>
      <c r="I586" s="8">
        <v>5332</v>
      </c>
      <c r="J586" s="10">
        <v>1411.74</v>
      </c>
      <c r="K586" s="10">
        <v>66.709999999999994</v>
      </c>
      <c r="L586" s="10">
        <v>0</v>
      </c>
      <c r="M586" s="10">
        <v>1478.45</v>
      </c>
      <c r="N586" s="8">
        <v>14</v>
      </c>
      <c r="O586" s="6">
        <v>4.4000000000000004</v>
      </c>
    </row>
    <row r="587" spans="1:15" x14ac:dyDescent="0.25">
      <c r="A587" s="8">
        <v>80329</v>
      </c>
      <c r="B587" s="9" t="s">
        <v>0</v>
      </c>
      <c r="C587" s="9" t="s">
        <v>51</v>
      </c>
      <c r="D587" s="9" t="s">
        <v>35</v>
      </c>
      <c r="E587" s="9" t="s">
        <v>32</v>
      </c>
      <c r="F587" s="9" t="str">
        <f t="shared" si="9"/>
        <v>Not Delivered</v>
      </c>
      <c r="G587" s="9" t="b">
        <v>1</v>
      </c>
      <c r="H587" s="9" t="s">
        <v>4</v>
      </c>
      <c r="I587" s="8">
        <v>3024</v>
      </c>
      <c r="J587" s="10">
        <v>308.13</v>
      </c>
      <c r="K587" s="10">
        <v>68.5</v>
      </c>
      <c r="L587" s="10">
        <v>28.42</v>
      </c>
      <c r="M587" s="10">
        <v>405.05</v>
      </c>
      <c r="N587" s="8">
        <v>5</v>
      </c>
      <c r="O587" s="6">
        <v>2.9</v>
      </c>
    </row>
    <row r="588" spans="1:15" x14ac:dyDescent="0.25">
      <c r="A588" s="8">
        <v>69609</v>
      </c>
      <c r="B588" s="9" t="s">
        <v>23</v>
      </c>
      <c r="C588" s="9" t="s">
        <v>24</v>
      </c>
      <c r="D588" s="9" t="s">
        <v>7</v>
      </c>
      <c r="E588" s="9" t="s">
        <v>17</v>
      </c>
      <c r="F588" s="9" t="str">
        <f t="shared" si="9"/>
        <v>Not Delivered</v>
      </c>
      <c r="G588" s="9" t="b">
        <v>1</v>
      </c>
      <c r="H588" s="9" t="s">
        <v>9</v>
      </c>
      <c r="I588" s="8">
        <v>7038</v>
      </c>
      <c r="J588" s="10">
        <v>1584.64</v>
      </c>
      <c r="K588" s="10">
        <v>129.51</v>
      </c>
      <c r="L588" s="10">
        <v>219.07</v>
      </c>
      <c r="M588" s="10">
        <v>1933.22</v>
      </c>
      <c r="N588" s="8">
        <v>2</v>
      </c>
    </row>
    <row r="589" spans="1:15" x14ac:dyDescent="0.25">
      <c r="A589" s="8">
        <v>98188</v>
      </c>
      <c r="B589" s="9" t="s">
        <v>10</v>
      </c>
      <c r="C589" s="9" t="s">
        <v>11</v>
      </c>
      <c r="D589" s="9" t="s">
        <v>7</v>
      </c>
      <c r="E589" s="9" t="s">
        <v>8</v>
      </c>
      <c r="F589" s="9" t="str">
        <f t="shared" si="9"/>
        <v>Not Delivered</v>
      </c>
      <c r="G589" s="9" t="b">
        <v>0</v>
      </c>
      <c r="H589" s="9" t="s">
        <v>33</v>
      </c>
      <c r="I589" s="8">
        <v>5295</v>
      </c>
      <c r="J589" s="10">
        <v>1413</v>
      </c>
      <c r="K589" s="10">
        <v>0</v>
      </c>
      <c r="L589" s="10">
        <v>0</v>
      </c>
      <c r="M589" s="10">
        <v>1413</v>
      </c>
      <c r="N589" s="8">
        <v>10</v>
      </c>
      <c r="O589" s="6">
        <v>4.9000000000000004</v>
      </c>
    </row>
    <row r="590" spans="1:15" x14ac:dyDescent="0.25">
      <c r="A590" s="8">
        <v>86619</v>
      </c>
      <c r="B590" s="9" t="s">
        <v>5</v>
      </c>
      <c r="C590" s="9" t="s">
        <v>31</v>
      </c>
      <c r="D590" s="9" t="s">
        <v>12</v>
      </c>
      <c r="E590" s="9" t="s">
        <v>3</v>
      </c>
      <c r="F590" s="9" t="str">
        <f t="shared" si="9"/>
        <v>Not Delivered</v>
      </c>
      <c r="G590" s="9" t="b">
        <v>1</v>
      </c>
      <c r="H590" s="9" t="s">
        <v>22</v>
      </c>
      <c r="I590" s="8">
        <v>7242</v>
      </c>
      <c r="J590" s="10">
        <v>2073.52</v>
      </c>
      <c r="K590" s="10">
        <v>0</v>
      </c>
      <c r="L590" s="10">
        <v>65.37</v>
      </c>
      <c r="M590" s="10">
        <v>2138.89</v>
      </c>
      <c r="N590" s="8">
        <v>4</v>
      </c>
    </row>
    <row r="591" spans="1:15" x14ac:dyDescent="0.25">
      <c r="A591" s="8">
        <v>93695</v>
      </c>
      <c r="B591" s="9" t="s">
        <v>5</v>
      </c>
      <c r="C591" s="9" t="s">
        <v>6</v>
      </c>
      <c r="D591" s="9" t="s">
        <v>27</v>
      </c>
      <c r="E591" s="9" t="s">
        <v>21</v>
      </c>
      <c r="F591" s="9" t="str">
        <f t="shared" si="9"/>
        <v>Not Delivered</v>
      </c>
      <c r="G591" s="9" t="b">
        <v>0</v>
      </c>
      <c r="H591" s="9" t="s">
        <v>18</v>
      </c>
      <c r="I591" s="8">
        <v>7086</v>
      </c>
      <c r="J591" s="10">
        <v>243.25</v>
      </c>
      <c r="K591" s="10">
        <v>61.32</v>
      </c>
      <c r="L591" s="10">
        <v>0</v>
      </c>
      <c r="M591" s="10">
        <v>304.57</v>
      </c>
      <c r="N591" s="8">
        <v>1</v>
      </c>
      <c r="O591" s="6">
        <v>1.1000000000000001</v>
      </c>
    </row>
    <row r="592" spans="1:15" x14ac:dyDescent="0.25">
      <c r="A592" s="8">
        <v>24201</v>
      </c>
      <c r="B592" s="9" t="s">
        <v>5</v>
      </c>
      <c r="C592" s="9" t="s">
        <v>44</v>
      </c>
      <c r="D592" s="9" t="s">
        <v>12</v>
      </c>
      <c r="E592" s="9" t="s">
        <v>21</v>
      </c>
      <c r="F592" s="9" t="str">
        <f t="shared" si="9"/>
        <v>Not Delivered</v>
      </c>
      <c r="G592" s="9" t="b">
        <v>1</v>
      </c>
      <c r="H592" s="9" t="s">
        <v>28</v>
      </c>
      <c r="I592" s="8">
        <v>4830</v>
      </c>
      <c r="J592" s="10">
        <v>473.52</v>
      </c>
      <c r="K592" s="10">
        <v>43.98</v>
      </c>
      <c r="L592" s="10">
        <v>166.76</v>
      </c>
      <c r="M592" s="10">
        <v>684.26</v>
      </c>
      <c r="N592" s="8">
        <v>13</v>
      </c>
    </row>
    <row r="593" spans="1:15" x14ac:dyDescent="0.25">
      <c r="A593" s="8">
        <v>71797</v>
      </c>
      <c r="B593" s="9" t="s">
        <v>41</v>
      </c>
      <c r="C593" s="9" t="s">
        <v>46</v>
      </c>
      <c r="D593" s="9" t="s">
        <v>30</v>
      </c>
      <c r="E593" s="9" t="s">
        <v>8</v>
      </c>
      <c r="F593" s="9" t="str">
        <f t="shared" si="9"/>
        <v>Not Delivered</v>
      </c>
      <c r="G593" s="9" t="b">
        <v>0</v>
      </c>
      <c r="H593" s="9" t="s">
        <v>18</v>
      </c>
      <c r="I593" s="8">
        <v>1410</v>
      </c>
      <c r="J593" s="10">
        <v>706.52</v>
      </c>
      <c r="K593" s="10">
        <v>59.08</v>
      </c>
      <c r="M593" s="10">
        <v>765.6</v>
      </c>
      <c r="N593" s="8">
        <v>10</v>
      </c>
      <c r="O593" s="6">
        <v>1.6</v>
      </c>
    </row>
    <row r="594" spans="1:15" x14ac:dyDescent="0.25">
      <c r="A594" s="8">
        <v>91205</v>
      </c>
      <c r="B594" s="9" t="s">
        <v>23</v>
      </c>
      <c r="C594" s="9" t="s">
        <v>34</v>
      </c>
      <c r="D594" s="9" t="s">
        <v>25</v>
      </c>
      <c r="E594" s="9" t="s">
        <v>8</v>
      </c>
      <c r="F594" s="9" t="str">
        <f t="shared" si="9"/>
        <v>Not Delivered</v>
      </c>
      <c r="G594" s="9" t="b">
        <v>1</v>
      </c>
      <c r="H594" s="9" t="s">
        <v>4</v>
      </c>
      <c r="I594" s="8">
        <v>6374</v>
      </c>
      <c r="J594" s="10">
        <v>1775.17</v>
      </c>
      <c r="K594" s="10">
        <v>0</v>
      </c>
      <c r="L594" s="10">
        <v>85.79</v>
      </c>
      <c r="M594" s="10">
        <v>1860.96</v>
      </c>
      <c r="N594" s="8">
        <v>5</v>
      </c>
      <c r="O594" s="6">
        <v>4</v>
      </c>
    </row>
    <row r="595" spans="1:15" x14ac:dyDescent="0.25">
      <c r="A595" s="8">
        <v>89964</v>
      </c>
      <c r="B595" s="9" t="s">
        <v>23</v>
      </c>
      <c r="C595" s="9" t="s">
        <v>34</v>
      </c>
      <c r="E595" s="9" t="s">
        <v>3</v>
      </c>
      <c r="F595" s="9" t="str">
        <f t="shared" si="9"/>
        <v>Not Delivered</v>
      </c>
      <c r="G595" s="9" t="b">
        <v>1</v>
      </c>
      <c r="H595" s="9" t="s">
        <v>28</v>
      </c>
      <c r="I595" s="8">
        <v>4626</v>
      </c>
      <c r="J595" s="10">
        <v>2576.1999999999998</v>
      </c>
      <c r="K595" s="10">
        <v>119.81</v>
      </c>
      <c r="L595" s="10">
        <v>251.03</v>
      </c>
      <c r="M595" s="10">
        <v>2947.04</v>
      </c>
      <c r="N595" s="8">
        <v>2</v>
      </c>
      <c r="O595" s="6">
        <v>2.4</v>
      </c>
    </row>
    <row r="596" spans="1:15" x14ac:dyDescent="0.25">
      <c r="A596" s="8">
        <v>94889</v>
      </c>
      <c r="B596" s="9" t="s">
        <v>41</v>
      </c>
      <c r="C596" s="9" t="s">
        <v>46</v>
      </c>
      <c r="D596" s="9" t="s">
        <v>35</v>
      </c>
      <c r="E596" s="9" t="s">
        <v>8</v>
      </c>
      <c r="F596" s="9" t="str">
        <f t="shared" si="9"/>
        <v>Not Delivered</v>
      </c>
      <c r="G596" s="9" t="b">
        <v>0</v>
      </c>
      <c r="H596" s="9" t="s">
        <v>33</v>
      </c>
      <c r="I596" s="8">
        <v>2035</v>
      </c>
      <c r="J596" s="10">
        <v>1196.67</v>
      </c>
      <c r="K596" s="10">
        <v>81.430000000000007</v>
      </c>
      <c r="L596" s="10">
        <v>0</v>
      </c>
      <c r="M596" s="10">
        <v>1278.0999999999999</v>
      </c>
      <c r="N596" s="8">
        <v>2</v>
      </c>
      <c r="O596" s="6">
        <v>3</v>
      </c>
    </row>
    <row r="597" spans="1:15" x14ac:dyDescent="0.25">
      <c r="A597" s="8">
        <v>93283</v>
      </c>
      <c r="B597" s="9" t="s">
        <v>41</v>
      </c>
      <c r="C597" s="9" t="s">
        <v>47</v>
      </c>
      <c r="D597" s="9" t="s">
        <v>27</v>
      </c>
      <c r="E597" s="9" t="s">
        <v>3</v>
      </c>
      <c r="F597" s="9" t="str">
        <f t="shared" si="9"/>
        <v>Not Delivered</v>
      </c>
      <c r="G597" s="9" t="b">
        <v>0</v>
      </c>
      <c r="H597" s="9" t="s">
        <v>28</v>
      </c>
      <c r="I597" s="8">
        <v>8606</v>
      </c>
      <c r="J597" s="10">
        <v>480.95</v>
      </c>
      <c r="K597" s="10">
        <v>62.03</v>
      </c>
      <c r="L597" s="10">
        <v>0</v>
      </c>
      <c r="M597" s="10">
        <v>542.98</v>
      </c>
      <c r="N597" s="8">
        <v>5</v>
      </c>
      <c r="O597" s="6">
        <v>3.9</v>
      </c>
    </row>
    <row r="598" spans="1:15" x14ac:dyDescent="0.25">
      <c r="A598" s="8">
        <v>49608</v>
      </c>
      <c r="B598" s="9" t="s">
        <v>41</v>
      </c>
      <c r="C598" s="9" t="s">
        <v>42</v>
      </c>
      <c r="D598" s="9" t="s">
        <v>45</v>
      </c>
      <c r="E598" s="9" t="s">
        <v>8</v>
      </c>
      <c r="F598" s="9" t="str">
        <f t="shared" si="9"/>
        <v>Not Delivered</v>
      </c>
      <c r="G598" s="9" t="b">
        <v>1</v>
      </c>
      <c r="H598" s="9" t="s">
        <v>4</v>
      </c>
      <c r="I598" s="8">
        <v>7689</v>
      </c>
      <c r="J598" s="10">
        <v>939.3</v>
      </c>
      <c r="K598" s="10">
        <v>68.88</v>
      </c>
      <c r="L598" s="10">
        <v>290.86</v>
      </c>
      <c r="M598" s="10">
        <v>1299.04</v>
      </c>
      <c r="N598" s="8">
        <v>6</v>
      </c>
      <c r="O598" s="6">
        <v>5</v>
      </c>
    </row>
    <row r="599" spans="1:15" x14ac:dyDescent="0.25">
      <c r="A599" s="8">
        <v>25292</v>
      </c>
      <c r="B599" s="9" t="s">
        <v>39</v>
      </c>
      <c r="C599" s="9" t="s">
        <v>58</v>
      </c>
      <c r="D599" s="9" t="s">
        <v>38</v>
      </c>
      <c r="E599" s="9" t="s">
        <v>32</v>
      </c>
      <c r="F599" s="9" t="str">
        <f t="shared" si="9"/>
        <v>Not Delivered</v>
      </c>
      <c r="G599" s="9" t="b">
        <v>0</v>
      </c>
      <c r="H599" s="9" t="s">
        <v>4</v>
      </c>
      <c r="I599" s="8">
        <v>3290</v>
      </c>
      <c r="J599" s="10">
        <v>822.18</v>
      </c>
      <c r="K599" s="10">
        <v>61.92</v>
      </c>
      <c r="L599" s="10">
        <v>0</v>
      </c>
      <c r="M599" s="10">
        <v>884.1</v>
      </c>
      <c r="N599" s="8">
        <v>7</v>
      </c>
      <c r="O599" s="6">
        <v>4.9000000000000004</v>
      </c>
    </row>
    <row r="600" spans="1:15" x14ac:dyDescent="0.25">
      <c r="A600" s="8">
        <v>15943</v>
      </c>
      <c r="B600" s="9" t="s">
        <v>10</v>
      </c>
      <c r="C600" s="9" t="s">
        <v>29</v>
      </c>
      <c r="D600" s="9" t="s">
        <v>2</v>
      </c>
      <c r="E600" s="9" t="s">
        <v>21</v>
      </c>
      <c r="F600" s="9" t="str">
        <f t="shared" si="9"/>
        <v>Not Delivered</v>
      </c>
      <c r="G600" s="9" t="b">
        <v>1</v>
      </c>
      <c r="H600" s="9" t="s">
        <v>33</v>
      </c>
      <c r="I600" s="8">
        <v>1609</v>
      </c>
      <c r="J600" s="10">
        <v>743.4</v>
      </c>
      <c r="K600" s="10">
        <v>149.07</v>
      </c>
      <c r="L600" s="10">
        <v>91.91</v>
      </c>
      <c r="M600" s="10">
        <v>984.38</v>
      </c>
      <c r="N600" s="8">
        <v>12</v>
      </c>
      <c r="O600" s="6">
        <v>4.0999999999999996</v>
      </c>
    </row>
    <row r="601" spans="1:15" x14ac:dyDescent="0.25">
      <c r="A601" s="8">
        <v>49893</v>
      </c>
      <c r="B601" s="9" t="s">
        <v>0</v>
      </c>
      <c r="C601" s="9" t="s">
        <v>37</v>
      </c>
      <c r="D601" s="9" t="s">
        <v>12</v>
      </c>
      <c r="E601" s="9" t="s">
        <v>17</v>
      </c>
      <c r="F601" s="9" t="str">
        <f t="shared" si="9"/>
        <v>Not Delivered</v>
      </c>
      <c r="G601" s="9" t="b">
        <v>0</v>
      </c>
      <c r="H601" s="9" t="s">
        <v>33</v>
      </c>
      <c r="I601" s="8">
        <v>9071</v>
      </c>
      <c r="J601" s="10">
        <v>737.56</v>
      </c>
      <c r="K601" s="10">
        <v>145.01</v>
      </c>
      <c r="L601" s="10">
        <v>0</v>
      </c>
      <c r="M601" s="10">
        <v>882.57</v>
      </c>
      <c r="N601" s="8">
        <v>9</v>
      </c>
      <c r="O601" s="6">
        <v>4.0999999999999996</v>
      </c>
    </row>
    <row r="602" spans="1:15" x14ac:dyDescent="0.25">
      <c r="A602" s="8">
        <v>25220</v>
      </c>
      <c r="B602" s="9" t="s">
        <v>39</v>
      </c>
      <c r="C602" s="9" t="s">
        <v>58</v>
      </c>
      <c r="D602" s="9" t="s">
        <v>27</v>
      </c>
      <c r="E602" s="9" t="s">
        <v>17</v>
      </c>
      <c r="F602" s="9" t="str">
        <f t="shared" si="9"/>
        <v>Not Delivered</v>
      </c>
      <c r="G602" s="9" t="b">
        <v>1</v>
      </c>
      <c r="H602" s="9" t="s">
        <v>28</v>
      </c>
      <c r="I602" s="8">
        <v>2592</v>
      </c>
      <c r="J602" s="10">
        <v>407.77</v>
      </c>
      <c r="K602" s="10">
        <v>95.68</v>
      </c>
      <c r="L602" s="10">
        <v>43.44</v>
      </c>
      <c r="M602" s="10">
        <v>546.89</v>
      </c>
      <c r="N602" s="8">
        <v>14</v>
      </c>
    </row>
    <row r="603" spans="1:15" x14ac:dyDescent="0.25">
      <c r="A603" s="8">
        <v>40775</v>
      </c>
      <c r="B603" s="9" t="s">
        <v>39</v>
      </c>
      <c r="C603" s="9" t="s">
        <v>55</v>
      </c>
      <c r="D603" s="9" t="s">
        <v>19</v>
      </c>
      <c r="E603" s="9" t="s">
        <v>13</v>
      </c>
      <c r="F603" s="9" t="str">
        <f t="shared" si="9"/>
        <v>Delivered</v>
      </c>
      <c r="G603" s="9" t="b">
        <v>1</v>
      </c>
      <c r="H603" s="9" t="s">
        <v>22</v>
      </c>
      <c r="I603" s="8">
        <v>9807</v>
      </c>
      <c r="J603" s="10">
        <v>1044.47</v>
      </c>
      <c r="K603" s="10">
        <v>0</v>
      </c>
      <c r="L603" s="10">
        <v>41.53</v>
      </c>
      <c r="M603" s="10">
        <v>1086</v>
      </c>
      <c r="N603" s="8">
        <v>9</v>
      </c>
      <c r="O603" s="6">
        <v>4.2</v>
      </c>
    </row>
    <row r="604" spans="1:15" x14ac:dyDescent="0.25">
      <c r="A604" s="8">
        <v>27781</v>
      </c>
      <c r="B604" s="9" t="s">
        <v>39</v>
      </c>
      <c r="C604" s="9" t="s">
        <v>58</v>
      </c>
      <c r="D604" s="9" t="s">
        <v>16</v>
      </c>
      <c r="E604" s="9" t="s">
        <v>3</v>
      </c>
      <c r="F604" s="9" t="str">
        <f t="shared" si="9"/>
        <v>Not Delivered</v>
      </c>
      <c r="G604" s="9" t="b">
        <v>1</v>
      </c>
      <c r="H604" s="9" t="s">
        <v>9</v>
      </c>
      <c r="I604" s="8">
        <v>7367</v>
      </c>
      <c r="J604" s="10">
        <v>796.81</v>
      </c>
      <c r="K604" s="10">
        <v>130.94999999999999</v>
      </c>
      <c r="L604" s="10">
        <v>49.77</v>
      </c>
      <c r="M604" s="10">
        <v>977.53</v>
      </c>
      <c r="N604" s="8">
        <v>2</v>
      </c>
      <c r="O604" s="6">
        <v>2.2999999999999998</v>
      </c>
    </row>
    <row r="605" spans="1:15" x14ac:dyDescent="0.25">
      <c r="A605" s="8">
        <v>69459</v>
      </c>
      <c r="B605" s="9" t="s">
        <v>5</v>
      </c>
      <c r="C605" s="9" t="s">
        <v>6</v>
      </c>
      <c r="D605" s="9" t="s">
        <v>12</v>
      </c>
      <c r="E605" s="9" t="s">
        <v>21</v>
      </c>
      <c r="F605" s="9" t="str">
        <f t="shared" si="9"/>
        <v>Not Delivered</v>
      </c>
      <c r="G605" s="9" t="b">
        <v>1</v>
      </c>
      <c r="H605" s="9" t="s">
        <v>22</v>
      </c>
      <c r="I605" s="8">
        <v>7078</v>
      </c>
      <c r="J605" s="10">
        <v>606.79999999999995</v>
      </c>
      <c r="K605" s="10">
        <v>127.94</v>
      </c>
      <c r="L605" s="10">
        <v>214.6</v>
      </c>
      <c r="M605" s="10">
        <v>949.34</v>
      </c>
      <c r="N605" s="8">
        <v>5</v>
      </c>
      <c r="O605" s="6">
        <v>2.9</v>
      </c>
    </row>
    <row r="606" spans="1:15" x14ac:dyDescent="0.25">
      <c r="A606" s="8">
        <v>97881</v>
      </c>
      <c r="B606" s="9" t="s">
        <v>39</v>
      </c>
      <c r="C606" s="9" t="s">
        <v>55</v>
      </c>
      <c r="D606" s="9" t="s">
        <v>27</v>
      </c>
      <c r="E606" s="9" t="s">
        <v>13</v>
      </c>
      <c r="F606" s="9" t="str">
        <f t="shared" si="9"/>
        <v>Delivered</v>
      </c>
      <c r="G606" s="9" t="b">
        <v>1</v>
      </c>
      <c r="H606" s="9" t="s">
        <v>14</v>
      </c>
      <c r="I606" s="8">
        <v>9850</v>
      </c>
      <c r="J606" s="10">
        <v>1053.23</v>
      </c>
      <c r="K606" s="10">
        <v>97.59</v>
      </c>
      <c r="L606" s="10">
        <v>34.78</v>
      </c>
      <c r="M606" s="10">
        <v>1185.5999999999999</v>
      </c>
      <c r="N606" s="8">
        <v>8</v>
      </c>
      <c r="O606" s="6">
        <v>2.5</v>
      </c>
    </row>
    <row r="607" spans="1:15" x14ac:dyDescent="0.25">
      <c r="A607" s="8">
        <v>64935</v>
      </c>
      <c r="B607" s="9" t="s">
        <v>10</v>
      </c>
      <c r="C607" s="9" t="s">
        <v>11</v>
      </c>
      <c r="D607" s="9" t="s">
        <v>27</v>
      </c>
      <c r="E607" s="9" t="s">
        <v>13</v>
      </c>
      <c r="F607" s="9" t="str">
        <f t="shared" si="9"/>
        <v>Delivered</v>
      </c>
      <c r="G607" s="9" t="b">
        <v>1</v>
      </c>
      <c r="H607" s="9" t="s">
        <v>9</v>
      </c>
      <c r="I607" s="8">
        <v>3531</v>
      </c>
      <c r="J607" s="10">
        <v>216.71</v>
      </c>
      <c r="L607" s="10">
        <v>134.88999999999999</v>
      </c>
      <c r="M607" s="10">
        <v>420.88</v>
      </c>
      <c r="N607" s="8">
        <v>12</v>
      </c>
      <c r="O607" s="6">
        <v>4.0999999999999996</v>
      </c>
    </row>
    <row r="608" spans="1:15" x14ac:dyDescent="0.25">
      <c r="A608" s="8">
        <v>64379</v>
      </c>
      <c r="B608" s="9" t="s">
        <v>5</v>
      </c>
      <c r="C608" s="9" t="s">
        <v>44</v>
      </c>
      <c r="D608" s="9" t="s">
        <v>12</v>
      </c>
      <c r="E608" s="9" t="s">
        <v>13</v>
      </c>
      <c r="F608" s="9" t="str">
        <f t="shared" si="9"/>
        <v>Delivered</v>
      </c>
      <c r="G608" s="9" t="b">
        <v>1</v>
      </c>
      <c r="H608" s="9" t="s">
        <v>4</v>
      </c>
      <c r="I608" s="8">
        <v>2622</v>
      </c>
      <c r="J608" s="10">
        <v>993.83</v>
      </c>
      <c r="K608" s="10">
        <v>85.13</v>
      </c>
      <c r="L608" s="10">
        <v>61.73</v>
      </c>
      <c r="M608" s="10">
        <v>1140.69</v>
      </c>
      <c r="N608" s="8">
        <v>5</v>
      </c>
      <c r="O608" s="6">
        <v>4.5999999999999996</v>
      </c>
    </row>
    <row r="609" spans="1:15" x14ac:dyDescent="0.25">
      <c r="A609" s="8">
        <v>74139</v>
      </c>
      <c r="B609" s="9" t="s">
        <v>10</v>
      </c>
      <c r="C609" s="9" t="s">
        <v>29</v>
      </c>
      <c r="D609" s="9" t="s">
        <v>16</v>
      </c>
      <c r="E609" s="9" t="s">
        <v>13</v>
      </c>
      <c r="F609" s="9" t="str">
        <f t="shared" si="9"/>
        <v>Delivered</v>
      </c>
      <c r="G609" s="9" t="b">
        <v>0</v>
      </c>
      <c r="H609" s="9" t="s">
        <v>4</v>
      </c>
      <c r="I609" s="8">
        <v>7686</v>
      </c>
      <c r="J609" s="10">
        <v>137.44999999999999</v>
      </c>
      <c r="K609" s="10">
        <v>49.46</v>
      </c>
      <c r="L609" s="10">
        <v>0</v>
      </c>
      <c r="M609" s="10">
        <v>186.91</v>
      </c>
      <c r="N609" s="8">
        <v>11</v>
      </c>
      <c r="O609" s="6">
        <v>3.3</v>
      </c>
    </row>
    <row r="610" spans="1:15" x14ac:dyDescent="0.25">
      <c r="A610" s="8">
        <v>46666</v>
      </c>
      <c r="B610" s="9" t="s">
        <v>0</v>
      </c>
      <c r="C610" s="9" t="s">
        <v>37</v>
      </c>
      <c r="D610" s="9" t="s">
        <v>12</v>
      </c>
      <c r="E610" s="9" t="s">
        <v>8</v>
      </c>
      <c r="F610" s="9" t="str">
        <f t="shared" si="9"/>
        <v>Not Delivered</v>
      </c>
      <c r="G610" s="9" t="b">
        <v>0</v>
      </c>
      <c r="H610" s="9" t="s">
        <v>22</v>
      </c>
      <c r="I610" s="8">
        <v>1536</v>
      </c>
      <c r="J610" s="10">
        <v>1120.18</v>
      </c>
      <c r="K610" s="10">
        <v>87.77</v>
      </c>
      <c r="L610" s="10">
        <v>0</v>
      </c>
      <c r="M610" s="10">
        <v>1207.95</v>
      </c>
      <c r="N610" s="8">
        <v>6</v>
      </c>
      <c r="O610" s="6">
        <v>4.2</v>
      </c>
    </row>
    <row r="611" spans="1:15" x14ac:dyDescent="0.25">
      <c r="A611" s="8">
        <v>58566</v>
      </c>
      <c r="B611" s="9" t="s">
        <v>23</v>
      </c>
      <c r="C611" s="9" t="s">
        <v>49</v>
      </c>
      <c r="D611" s="9" t="s">
        <v>12</v>
      </c>
      <c r="E611" s="9" t="s">
        <v>21</v>
      </c>
      <c r="F611" s="9" t="str">
        <f t="shared" si="9"/>
        <v>Not Delivered</v>
      </c>
      <c r="G611" s="9" t="b">
        <v>1</v>
      </c>
      <c r="H611" s="9" t="s">
        <v>28</v>
      </c>
      <c r="I611" s="8">
        <v>4559</v>
      </c>
      <c r="J611" s="10">
        <v>1565.68</v>
      </c>
      <c r="K611" s="10">
        <v>116.74</v>
      </c>
      <c r="L611" s="10">
        <v>136.33000000000001</v>
      </c>
      <c r="M611" s="10">
        <v>1818.75</v>
      </c>
      <c r="N611" s="8">
        <v>7</v>
      </c>
      <c r="O611" s="6">
        <v>3.5</v>
      </c>
    </row>
    <row r="612" spans="1:15" x14ac:dyDescent="0.25">
      <c r="A612" s="8">
        <v>68115</v>
      </c>
      <c r="B612" s="9" t="s">
        <v>10</v>
      </c>
      <c r="C612" s="9" t="s">
        <v>11</v>
      </c>
      <c r="D612" s="9" t="s">
        <v>12</v>
      </c>
      <c r="E612" s="9" t="s">
        <v>8</v>
      </c>
      <c r="F612" s="9" t="str">
        <f t="shared" si="9"/>
        <v>Not Delivered</v>
      </c>
      <c r="G612" s="9" t="b">
        <v>0</v>
      </c>
      <c r="H612" s="9" t="s">
        <v>14</v>
      </c>
      <c r="I612" s="8">
        <v>8285</v>
      </c>
      <c r="J612" s="10">
        <v>190.31</v>
      </c>
      <c r="K612" s="10">
        <v>99.72</v>
      </c>
      <c r="L612" s="10">
        <v>0</v>
      </c>
      <c r="M612" s="10">
        <v>290.02999999999997</v>
      </c>
      <c r="N612" s="8">
        <v>13</v>
      </c>
      <c r="O612" s="6">
        <v>4</v>
      </c>
    </row>
    <row r="613" spans="1:15" x14ac:dyDescent="0.25">
      <c r="A613" s="8">
        <v>40947</v>
      </c>
      <c r="B613" s="9" t="s">
        <v>41</v>
      </c>
      <c r="C613" s="9" t="s">
        <v>47</v>
      </c>
      <c r="D613" s="9" t="s">
        <v>27</v>
      </c>
      <c r="E613" s="9" t="s">
        <v>13</v>
      </c>
      <c r="F613" s="9" t="str">
        <f t="shared" si="9"/>
        <v>Delivered</v>
      </c>
      <c r="G613" s="9" t="b">
        <v>0</v>
      </c>
      <c r="H613" s="9" t="s">
        <v>18</v>
      </c>
      <c r="I613" s="8">
        <v>6942</v>
      </c>
      <c r="J613" s="10">
        <v>1602.1</v>
      </c>
      <c r="K613" s="10">
        <v>0</v>
      </c>
      <c r="L613" s="10">
        <v>0</v>
      </c>
      <c r="M613" s="10">
        <v>1602.1</v>
      </c>
      <c r="N613" s="8">
        <v>7</v>
      </c>
      <c r="O613" s="6">
        <v>4.2</v>
      </c>
    </row>
    <row r="614" spans="1:15" x14ac:dyDescent="0.25">
      <c r="A614" s="8">
        <v>23022</v>
      </c>
      <c r="B614" s="9" t="s">
        <v>10</v>
      </c>
      <c r="C614" s="9" t="s">
        <v>20</v>
      </c>
      <c r="D614" s="9" t="s">
        <v>30</v>
      </c>
      <c r="E614" s="9" t="s">
        <v>32</v>
      </c>
      <c r="F614" s="9" t="str">
        <f t="shared" si="9"/>
        <v>Not Delivered</v>
      </c>
      <c r="G614" s="9" t="b">
        <v>0</v>
      </c>
      <c r="H614" s="9" t="s">
        <v>4</v>
      </c>
      <c r="I614" s="8">
        <v>7018</v>
      </c>
      <c r="J614" s="10">
        <v>1360.57</v>
      </c>
      <c r="K614" s="10">
        <v>91.43</v>
      </c>
      <c r="L614" s="10">
        <v>0</v>
      </c>
      <c r="M614" s="10">
        <v>1452</v>
      </c>
      <c r="N614" s="8">
        <v>10</v>
      </c>
      <c r="O614" s="6">
        <v>3.7</v>
      </c>
    </row>
    <row r="615" spans="1:15" x14ac:dyDescent="0.25">
      <c r="A615" s="8">
        <v>81364</v>
      </c>
      <c r="B615" s="9" t="s">
        <v>0</v>
      </c>
      <c r="C615" s="9" t="s">
        <v>43</v>
      </c>
      <c r="D615" s="9" t="s">
        <v>2</v>
      </c>
      <c r="E615" s="9" t="s">
        <v>3</v>
      </c>
      <c r="F615" s="9" t="str">
        <f t="shared" si="9"/>
        <v>Not Delivered</v>
      </c>
      <c r="G615" s="9" t="b">
        <v>0</v>
      </c>
      <c r="H615" s="9" t="s">
        <v>18</v>
      </c>
      <c r="I615" s="8">
        <v>6876</v>
      </c>
      <c r="J615" s="10">
        <v>1573.47</v>
      </c>
      <c r="K615" s="10">
        <v>71.3</v>
      </c>
      <c r="L615" s="10">
        <v>0</v>
      </c>
      <c r="M615" s="10">
        <v>1644.77</v>
      </c>
      <c r="N615" s="8">
        <v>5</v>
      </c>
      <c r="O615" s="6">
        <v>3.1</v>
      </c>
    </row>
    <row r="616" spans="1:15" x14ac:dyDescent="0.25">
      <c r="A616" s="8">
        <v>17936</v>
      </c>
      <c r="B616" s="9" t="s">
        <v>0</v>
      </c>
      <c r="C616" s="9" t="s">
        <v>1</v>
      </c>
      <c r="E616" s="9" t="s">
        <v>8</v>
      </c>
      <c r="F616" s="9" t="str">
        <f t="shared" si="9"/>
        <v>Not Delivered</v>
      </c>
      <c r="G616" s="9" t="b">
        <v>1</v>
      </c>
      <c r="H616" s="9" t="s">
        <v>28</v>
      </c>
      <c r="I616" s="8">
        <v>7523</v>
      </c>
      <c r="J616" s="10">
        <v>1011.74</v>
      </c>
      <c r="K616" s="10">
        <v>64.77</v>
      </c>
      <c r="L616" s="10">
        <v>184.41</v>
      </c>
      <c r="M616" s="10">
        <v>1260.92</v>
      </c>
      <c r="N616" s="8">
        <v>7</v>
      </c>
      <c r="O616" s="6">
        <v>4.3</v>
      </c>
    </row>
    <row r="617" spans="1:15" x14ac:dyDescent="0.25">
      <c r="A617" s="8">
        <v>46160</v>
      </c>
      <c r="B617" s="9" t="s">
        <v>39</v>
      </c>
      <c r="C617" s="9" t="s">
        <v>52</v>
      </c>
      <c r="D617" s="9" t="s">
        <v>50</v>
      </c>
      <c r="E617" s="9" t="s">
        <v>3</v>
      </c>
      <c r="F617" s="9" t="str">
        <f t="shared" si="9"/>
        <v>Not Delivered</v>
      </c>
      <c r="G617" s="9" t="b">
        <v>1</v>
      </c>
      <c r="H617" s="9" t="s">
        <v>9</v>
      </c>
      <c r="I617" s="8">
        <v>4109</v>
      </c>
      <c r="J617" s="10">
        <v>1249.67</v>
      </c>
      <c r="K617" s="10">
        <v>75.64</v>
      </c>
      <c r="L617" s="10">
        <v>185.77</v>
      </c>
      <c r="M617" s="10">
        <v>1511.08</v>
      </c>
      <c r="N617" s="8">
        <v>3</v>
      </c>
      <c r="O617" s="6">
        <v>2</v>
      </c>
    </row>
    <row r="618" spans="1:15" x14ac:dyDescent="0.25">
      <c r="A618" s="8">
        <v>26011</v>
      </c>
      <c r="B618" s="9" t="s">
        <v>41</v>
      </c>
      <c r="C618" s="9" t="s">
        <v>42</v>
      </c>
      <c r="D618" s="9" t="s">
        <v>50</v>
      </c>
      <c r="E618" s="9" t="s">
        <v>8</v>
      </c>
      <c r="F618" s="9" t="str">
        <f t="shared" si="9"/>
        <v>Not Delivered</v>
      </c>
      <c r="G618" s="9" t="b">
        <v>0</v>
      </c>
      <c r="H618" s="9" t="s">
        <v>18</v>
      </c>
      <c r="I618" s="8">
        <v>8450</v>
      </c>
      <c r="J618" s="10">
        <v>1228.44</v>
      </c>
      <c r="K618" s="10">
        <v>70.2</v>
      </c>
      <c r="L618" s="10">
        <v>0</v>
      </c>
      <c r="M618" s="10">
        <v>1298.6400000000001</v>
      </c>
      <c r="N618" s="8">
        <v>3</v>
      </c>
    </row>
    <row r="619" spans="1:15" x14ac:dyDescent="0.25">
      <c r="A619" s="8">
        <v>22015</v>
      </c>
      <c r="B619" s="9" t="s">
        <v>23</v>
      </c>
      <c r="C619" s="9" t="s">
        <v>48</v>
      </c>
      <c r="D619" s="9" t="s">
        <v>12</v>
      </c>
      <c r="E619" s="9" t="s">
        <v>3</v>
      </c>
      <c r="F619" s="9" t="str">
        <f t="shared" si="9"/>
        <v>Not Delivered</v>
      </c>
      <c r="G619" s="9" t="b">
        <v>1</v>
      </c>
      <c r="H619" s="9" t="s">
        <v>33</v>
      </c>
      <c r="I619" s="8">
        <v>4475</v>
      </c>
      <c r="J619" s="10">
        <v>2579.6799999999998</v>
      </c>
      <c r="K619" s="10">
        <v>98.58</v>
      </c>
      <c r="L619" s="10">
        <v>46.49</v>
      </c>
      <c r="M619" s="10">
        <v>2724.75</v>
      </c>
      <c r="N619" s="8">
        <v>2</v>
      </c>
      <c r="O619" s="6">
        <v>2.2000000000000002</v>
      </c>
    </row>
    <row r="620" spans="1:15" x14ac:dyDescent="0.25">
      <c r="A620" s="8">
        <v>94109</v>
      </c>
      <c r="B620" s="9" t="s">
        <v>0</v>
      </c>
      <c r="C620" s="9" t="s">
        <v>1</v>
      </c>
      <c r="E620" s="9" t="s">
        <v>21</v>
      </c>
      <c r="F620" s="9" t="str">
        <f t="shared" si="9"/>
        <v>Not Delivered</v>
      </c>
      <c r="G620" s="9" t="b">
        <v>1</v>
      </c>
      <c r="H620" s="9" t="s">
        <v>33</v>
      </c>
      <c r="I620" s="8">
        <v>1349</v>
      </c>
      <c r="J620" s="10">
        <v>804.88</v>
      </c>
      <c r="K620" s="10">
        <v>134.28</v>
      </c>
      <c r="L620" s="10">
        <v>39.270000000000003</v>
      </c>
      <c r="M620" s="10">
        <v>978.43</v>
      </c>
      <c r="N620" s="8">
        <v>9</v>
      </c>
      <c r="O620" s="6">
        <v>3.1</v>
      </c>
    </row>
    <row r="621" spans="1:15" x14ac:dyDescent="0.25">
      <c r="A621" s="8">
        <v>16629</v>
      </c>
      <c r="B621" s="9" t="s">
        <v>39</v>
      </c>
      <c r="C621" s="9" t="s">
        <v>57</v>
      </c>
      <c r="D621" s="9" t="s">
        <v>38</v>
      </c>
      <c r="E621" s="9" t="s">
        <v>8</v>
      </c>
      <c r="F621" s="9" t="str">
        <f t="shared" si="9"/>
        <v>Not Delivered</v>
      </c>
      <c r="G621" s="9" t="b">
        <v>0</v>
      </c>
      <c r="H621" s="9" t="s">
        <v>28</v>
      </c>
      <c r="I621" s="8">
        <v>6464</v>
      </c>
      <c r="J621" s="10">
        <v>418.07</v>
      </c>
      <c r="K621" s="10">
        <v>34.17</v>
      </c>
      <c r="L621" s="10">
        <v>0</v>
      </c>
      <c r="M621" s="10">
        <v>452.24</v>
      </c>
      <c r="N621" s="8">
        <v>6</v>
      </c>
      <c r="O621" s="6">
        <v>3.9</v>
      </c>
    </row>
    <row r="622" spans="1:15" x14ac:dyDescent="0.25">
      <c r="A622" s="8">
        <v>41925</v>
      </c>
      <c r="B622" s="9" t="s">
        <v>39</v>
      </c>
      <c r="C622" s="9" t="s">
        <v>40</v>
      </c>
      <c r="E622" s="9" t="s">
        <v>3</v>
      </c>
      <c r="F622" s="9" t="str">
        <f t="shared" si="9"/>
        <v>Not Delivered</v>
      </c>
      <c r="G622" s="9" t="b">
        <v>0</v>
      </c>
      <c r="H622" s="9" t="s">
        <v>18</v>
      </c>
      <c r="I622" s="8">
        <v>3063</v>
      </c>
      <c r="J622" s="10">
        <v>284.87</v>
      </c>
      <c r="K622" s="10">
        <v>38.14</v>
      </c>
      <c r="L622" s="10">
        <v>0</v>
      </c>
      <c r="M622" s="10">
        <v>323.01</v>
      </c>
      <c r="N622" s="8">
        <v>8</v>
      </c>
      <c r="O622" s="6">
        <v>4.5</v>
      </c>
    </row>
    <row r="623" spans="1:15" x14ac:dyDescent="0.25">
      <c r="A623" s="8">
        <v>84000</v>
      </c>
      <c r="B623" s="9" t="s">
        <v>10</v>
      </c>
      <c r="C623" s="9" t="s">
        <v>26</v>
      </c>
      <c r="D623" s="9" t="s">
        <v>38</v>
      </c>
      <c r="E623" s="9" t="s">
        <v>13</v>
      </c>
      <c r="F623" s="9" t="str">
        <f t="shared" si="9"/>
        <v>Delivered</v>
      </c>
      <c r="G623" s="9" t="b">
        <v>0</v>
      </c>
      <c r="H623" s="9" t="s">
        <v>14</v>
      </c>
      <c r="I623" s="8">
        <v>4362</v>
      </c>
      <c r="J623" s="10">
        <v>701.33</v>
      </c>
      <c r="K623" s="10">
        <v>118.27</v>
      </c>
      <c r="L623" s="10">
        <v>0</v>
      </c>
      <c r="M623" s="10">
        <v>819.6</v>
      </c>
      <c r="N623" s="8">
        <v>13</v>
      </c>
      <c r="O623" s="6">
        <v>2.5</v>
      </c>
    </row>
    <row r="624" spans="1:15" x14ac:dyDescent="0.25">
      <c r="A624" s="8">
        <v>18992</v>
      </c>
      <c r="B624" s="9" t="s">
        <v>10</v>
      </c>
      <c r="C624" s="9" t="s">
        <v>26</v>
      </c>
      <c r="D624" s="9" t="s">
        <v>35</v>
      </c>
      <c r="E624" s="9" t="s">
        <v>8</v>
      </c>
      <c r="F624" s="9" t="str">
        <f t="shared" si="9"/>
        <v>Not Delivered</v>
      </c>
      <c r="G624" s="9" t="b">
        <v>1</v>
      </c>
      <c r="H624" s="9" t="s">
        <v>4</v>
      </c>
      <c r="I624" s="8">
        <v>4394</v>
      </c>
      <c r="J624" s="10">
        <v>1326.26</v>
      </c>
      <c r="K624" s="10">
        <v>53.48</v>
      </c>
      <c r="L624" s="10">
        <v>62.65</v>
      </c>
      <c r="M624" s="10">
        <v>1442.39</v>
      </c>
      <c r="N624" s="8">
        <v>7</v>
      </c>
      <c r="O624" s="6">
        <v>4.8</v>
      </c>
    </row>
    <row r="625" spans="1:15" x14ac:dyDescent="0.25">
      <c r="A625" s="8">
        <v>86858</v>
      </c>
      <c r="B625" s="9" t="s">
        <v>41</v>
      </c>
      <c r="C625" s="9" t="s">
        <v>46</v>
      </c>
      <c r="D625" s="9" t="s">
        <v>19</v>
      </c>
      <c r="E625" s="9" t="s">
        <v>13</v>
      </c>
      <c r="F625" s="9" t="str">
        <f t="shared" si="9"/>
        <v>Delivered</v>
      </c>
      <c r="G625" s="9" t="b">
        <v>0</v>
      </c>
      <c r="H625" s="9" t="s">
        <v>28</v>
      </c>
      <c r="I625" s="8">
        <v>4538</v>
      </c>
      <c r="J625" s="10">
        <v>2186.8200000000002</v>
      </c>
      <c r="K625" s="10">
        <v>140.97999999999999</v>
      </c>
      <c r="L625" s="10">
        <v>0</v>
      </c>
      <c r="M625" s="10">
        <v>2327.8000000000002</v>
      </c>
      <c r="N625" s="8">
        <v>5</v>
      </c>
      <c r="O625" s="6">
        <v>4.7</v>
      </c>
    </row>
    <row r="626" spans="1:15" x14ac:dyDescent="0.25">
      <c r="A626" s="8">
        <v>40539</v>
      </c>
      <c r="B626" s="9" t="s">
        <v>23</v>
      </c>
      <c r="C626" s="9" t="s">
        <v>54</v>
      </c>
      <c r="D626" s="9" t="s">
        <v>12</v>
      </c>
      <c r="E626" s="9" t="s">
        <v>3</v>
      </c>
      <c r="F626" s="9" t="str">
        <f t="shared" si="9"/>
        <v>Not Delivered</v>
      </c>
      <c r="G626" s="9" t="b">
        <v>0</v>
      </c>
      <c r="H626" s="9" t="s">
        <v>9</v>
      </c>
      <c r="I626" s="8">
        <v>6383</v>
      </c>
      <c r="J626" s="10">
        <v>1949.36</v>
      </c>
      <c r="K626" s="10">
        <v>126.67</v>
      </c>
      <c r="L626" s="10">
        <v>0</v>
      </c>
      <c r="M626" s="10">
        <v>2076.0300000000002</v>
      </c>
      <c r="N626" s="8">
        <v>13</v>
      </c>
    </row>
    <row r="627" spans="1:15" x14ac:dyDescent="0.25">
      <c r="A627" s="8">
        <v>29340</v>
      </c>
      <c r="B627" s="9" t="s">
        <v>0</v>
      </c>
      <c r="C627" s="9" t="s">
        <v>37</v>
      </c>
      <c r="D627" s="9" t="s">
        <v>16</v>
      </c>
      <c r="E627" s="9" t="s">
        <v>21</v>
      </c>
      <c r="F627" s="9" t="str">
        <f t="shared" si="9"/>
        <v>Not Delivered</v>
      </c>
      <c r="G627" s="9" t="b">
        <v>1</v>
      </c>
      <c r="H627" s="9" t="s">
        <v>22</v>
      </c>
      <c r="I627" s="8">
        <v>1046</v>
      </c>
      <c r="J627" s="10">
        <v>1678.72</v>
      </c>
      <c r="K627" s="10">
        <v>92.24</v>
      </c>
      <c r="L627" s="10">
        <v>84.92</v>
      </c>
      <c r="M627" s="10">
        <v>1855.88</v>
      </c>
      <c r="N627" s="8">
        <v>9</v>
      </c>
    </row>
    <row r="628" spans="1:15" x14ac:dyDescent="0.25">
      <c r="A628" s="8">
        <v>46342</v>
      </c>
      <c r="B628" s="9" t="s">
        <v>41</v>
      </c>
      <c r="C628" s="9" t="s">
        <v>61</v>
      </c>
      <c r="D628" s="9" t="s">
        <v>19</v>
      </c>
      <c r="E628" s="9" t="s">
        <v>8</v>
      </c>
      <c r="F628" s="9" t="str">
        <f t="shared" si="9"/>
        <v>Not Delivered</v>
      </c>
      <c r="G628" s="9" t="b">
        <v>1</v>
      </c>
      <c r="H628" s="9" t="s">
        <v>33</v>
      </c>
      <c r="I628" s="8">
        <v>3370</v>
      </c>
      <c r="J628" s="10">
        <v>1297.18</v>
      </c>
      <c r="K628" s="10">
        <v>0</v>
      </c>
      <c r="L628" s="10">
        <v>81.510000000000005</v>
      </c>
      <c r="M628" s="10">
        <v>1378.69</v>
      </c>
      <c r="N628" s="8">
        <v>13</v>
      </c>
      <c r="O628" s="6">
        <v>1</v>
      </c>
    </row>
    <row r="629" spans="1:15" x14ac:dyDescent="0.25">
      <c r="A629" s="8">
        <v>27038</v>
      </c>
      <c r="B629" s="9" t="s">
        <v>10</v>
      </c>
      <c r="C629" s="9" t="s">
        <v>15</v>
      </c>
      <c r="D629" s="9" t="s">
        <v>7</v>
      </c>
      <c r="E629" s="9" t="s">
        <v>13</v>
      </c>
      <c r="F629" s="9" t="str">
        <f t="shared" si="9"/>
        <v>Delivered</v>
      </c>
      <c r="G629" s="9" t="b">
        <v>1</v>
      </c>
      <c r="H629" s="9" t="s">
        <v>28</v>
      </c>
      <c r="I629" s="8">
        <v>9850</v>
      </c>
      <c r="J629" s="10">
        <v>256.24</v>
      </c>
      <c r="K629" s="10">
        <v>36.840000000000003</v>
      </c>
      <c r="L629" s="10">
        <v>268.89999999999998</v>
      </c>
      <c r="M629" s="10">
        <v>561.98</v>
      </c>
      <c r="N629" s="8">
        <v>6</v>
      </c>
      <c r="O629" s="6">
        <v>4.5</v>
      </c>
    </row>
    <row r="630" spans="1:15" x14ac:dyDescent="0.25">
      <c r="A630" s="8">
        <v>42853</v>
      </c>
      <c r="B630" s="9" t="s">
        <v>0</v>
      </c>
      <c r="C630" s="9" t="s">
        <v>43</v>
      </c>
      <c r="D630" s="9" t="s">
        <v>2</v>
      </c>
      <c r="E630" s="9" t="s">
        <v>32</v>
      </c>
      <c r="F630" s="9" t="str">
        <f t="shared" si="9"/>
        <v>Not Delivered</v>
      </c>
      <c r="G630" s="9" t="b">
        <v>0</v>
      </c>
      <c r="H630" s="9" t="s">
        <v>4</v>
      </c>
      <c r="I630" s="8">
        <v>3858</v>
      </c>
      <c r="J630" s="10">
        <v>1514.17</v>
      </c>
      <c r="K630" s="10">
        <v>69.87</v>
      </c>
      <c r="L630" s="10">
        <v>0</v>
      </c>
      <c r="M630" s="10">
        <v>1584.04</v>
      </c>
      <c r="N630" s="8">
        <v>6</v>
      </c>
      <c r="O630" s="6">
        <v>4.5</v>
      </c>
    </row>
    <row r="631" spans="1:15" x14ac:dyDescent="0.25">
      <c r="A631" s="8">
        <v>24408</v>
      </c>
      <c r="B631" s="9" t="s">
        <v>5</v>
      </c>
      <c r="C631" s="9" t="s">
        <v>59</v>
      </c>
      <c r="D631" s="9" t="s">
        <v>25</v>
      </c>
      <c r="E631" s="9" t="s">
        <v>3</v>
      </c>
      <c r="F631" s="9" t="str">
        <f t="shared" si="9"/>
        <v>Not Delivered</v>
      </c>
      <c r="G631" s="9" t="b">
        <v>0</v>
      </c>
      <c r="H631" s="9" t="s">
        <v>18</v>
      </c>
      <c r="I631" s="8">
        <v>1422</v>
      </c>
      <c r="J631" s="10">
        <v>1688.35</v>
      </c>
      <c r="K631" s="10">
        <v>140.68</v>
      </c>
      <c r="L631" s="10">
        <v>0</v>
      </c>
      <c r="M631" s="10">
        <v>1829.03</v>
      </c>
      <c r="N631" s="8">
        <v>4</v>
      </c>
      <c r="O631" s="6">
        <v>4.4000000000000004</v>
      </c>
    </row>
    <row r="632" spans="1:15" x14ac:dyDescent="0.25">
      <c r="A632" s="8">
        <v>27275</v>
      </c>
      <c r="B632" s="9" t="s">
        <v>39</v>
      </c>
      <c r="C632" s="9" t="s">
        <v>55</v>
      </c>
      <c r="D632" s="9" t="s">
        <v>38</v>
      </c>
      <c r="E632" s="9" t="s">
        <v>21</v>
      </c>
      <c r="F632" s="9" t="str">
        <f t="shared" si="9"/>
        <v>Not Delivered</v>
      </c>
      <c r="G632" s="9" t="b">
        <v>0</v>
      </c>
      <c r="H632" s="9" t="s">
        <v>9</v>
      </c>
      <c r="I632" s="8">
        <v>1243</v>
      </c>
      <c r="J632" s="10">
        <v>449.42</v>
      </c>
      <c r="K632" s="10">
        <v>31.68</v>
      </c>
      <c r="L632" s="10">
        <v>0</v>
      </c>
      <c r="M632" s="10">
        <v>481.1</v>
      </c>
      <c r="N632" s="8">
        <v>3</v>
      </c>
      <c r="O632" s="6">
        <v>1.5</v>
      </c>
    </row>
    <row r="633" spans="1:15" x14ac:dyDescent="0.25">
      <c r="A633" s="8">
        <v>56955</v>
      </c>
      <c r="B633" s="9" t="s">
        <v>39</v>
      </c>
      <c r="C633" s="9" t="s">
        <v>58</v>
      </c>
      <c r="D633" s="9" t="s">
        <v>19</v>
      </c>
      <c r="E633" s="9" t="s">
        <v>21</v>
      </c>
      <c r="F633" s="9" t="str">
        <f t="shared" si="9"/>
        <v>Not Delivered</v>
      </c>
      <c r="G633" s="9" t="b">
        <v>1</v>
      </c>
      <c r="H633" s="9" t="s">
        <v>28</v>
      </c>
      <c r="I633" s="8">
        <v>4898</v>
      </c>
      <c r="J633" s="10">
        <v>248.29</v>
      </c>
      <c r="K633" s="10">
        <v>78.52</v>
      </c>
      <c r="L633" s="10">
        <v>128.80000000000001</v>
      </c>
      <c r="M633" s="10">
        <v>455.61</v>
      </c>
      <c r="N633" s="8">
        <v>8</v>
      </c>
      <c r="O633" s="6">
        <v>2.7</v>
      </c>
    </row>
    <row r="634" spans="1:15" x14ac:dyDescent="0.25">
      <c r="A634" s="8">
        <v>87182</v>
      </c>
      <c r="B634" s="9" t="s">
        <v>10</v>
      </c>
      <c r="C634" s="9" t="s">
        <v>29</v>
      </c>
      <c r="D634" s="9" t="s">
        <v>19</v>
      </c>
      <c r="E634" s="9" t="s">
        <v>13</v>
      </c>
      <c r="F634" s="9" t="str">
        <f t="shared" si="9"/>
        <v>Delivered</v>
      </c>
      <c r="G634" s="9" t="b">
        <v>0</v>
      </c>
      <c r="H634" s="9" t="s">
        <v>18</v>
      </c>
      <c r="I634" s="8">
        <v>6304</v>
      </c>
      <c r="J634" s="10">
        <v>894.83</v>
      </c>
      <c r="K634" s="10">
        <v>64.59</v>
      </c>
      <c r="M634" s="10">
        <v>959.42</v>
      </c>
      <c r="N634" s="8">
        <v>5</v>
      </c>
      <c r="O634" s="6">
        <v>2.8</v>
      </c>
    </row>
    <row r="635" spans="1:15" x14ac:dyDescent="0.25">
      <c r="A635" s="8">
        <v>12068</v>
      </c>
      <c r="B635" s="9" t="s">
        <v>0</v>
      </c>
      <c r="C635" s="9" t="s">
        <v>37</v>
      </c>
      <c r="D635" s="9" t="s">
        <v>16</v>
      </c>
      <c r="E635" s="9" t="s">
        <v>8</v>
      </c>
      <c r="F635" s="9" t="str">
        <f t="shared" si="9"/>
        <v>Not Delivered</v>
      </c>
      <c r="G635" s="9" t="b">
        <v>0</v>
      </c>
      <c r="H635" s="9" t="s">
        <v>9</v>
      </c>
      <c r="I635" s="8">
        <v>3854</v>
      </c>
      <c r="J635" s="10">
        <v>291.47000000000003</v>
      </c>
      <c r="K635" s="10">
        <v>60.17</v>
      </c>
      <c r="L635" s="10">
        <v>0</v>
      </c>
      <c r="M635" s="10">
        <v>351.64</v>
      </c>
      <c r="N635" s="8">
        <v>12</v>
      </c>
      <c r="O635" s="6">
        <v>1.8</v>
      </c>
    </row>
    <row r="636" spans="1:15" x14ac:dyDescent="0.25">
      <c r="A636" s="8">
        <v>44782</v>
      </c>
      <c r="B636" s="9" t="s">
        <v>0</v>
      </c>
      <c r="C636" s="9" t="s">
        <v>43</v>
      </c>
      <c r="D636" s="9" t="s">
        <v>2</v>
      </c>
      <c r="E636" s="9" t="s">
        <v>8</v>
      </c>
      <c r="F636" s="9" t="str">
        <f t="shared" si="9"/>
        <v>Not Delivered</v>
      </c>
      <c r="G636" s="9" t="b">
        <v>1</v>
      </c>
      <c r="H636" s="9" t="s">
        <v>14</v>
      </c>
      <c r="I636" s="8">
        <v>1858</v>
      </c>
      <c r="J636" s="10">
        <v>572.77</v>
      </c>
      <c r="K636" s="10">
        <v>0</v>
      </c>
      <c r="L636" s="10">
        <v>33.32</v>
      </c>
      <c r="M636" s="10">
        <v>606.09</v>
      </c>
      <c r="N636" s="8">
        <v>4</v>
      </c>
      <c r="O636" s="6">
        <v>2.4</v>
      </c>
    </row>
    <row r="637" spans="1:15" x14ac:dyDescent="0.25">
      <c r="A637" s="8">
        <v>26614</v>
      </c>
      <c r="B637" s="9" t="s">
        <v>41</v>
      </c>
      <c r="C637" s="9" t="s">
        <v>47</v>
      </c>
      <c r="D637" s="9" t="s">
        <v>7</v>
      </c>
      <c r="E637" s="9" t="s">
        <v>21</v>
      </c>
      <c r="F637" s="9" t="str">
        <f t="shared" si="9"/>
        <v>Not Delivered</v>
      </c>
      <c r="G637" s="9" t="b">
        <v>0</v>
      </c>
      <c r="H637" s="9" t="s">
        <v>4</v>
      </c>
      <c r="I637" s="8">
        <v>7897</v>
      </c>
      <c r="J637" s="10">
        <v>311.79000000000002</v>
      </c>
      <c r="K637" s="10">
        <v>62.84</v>
      </c>
      <c r="L637" s="10">
        <v>0</v>
      </c>
      <c r="M637" s="10">
        <v>374.63</v>
      </c>
      <c r="N637" s="8">
        <v>5</v>
      </c>
      <c r="O637" s="6">
        <v>3.7</v>
      </c>
    </row>
    <row r="638" spans="1:15" x14ac:dyDescent="0.25">
      <c r="A638" s="8">
        <v>78955</v>
      </c>
      <c r="B638" s="9" t="s">
        <v>41</v>
      </c>
      <c r="C638" s="9" t="s">
        <v>46</v>
      </c>
      <c r="D638" s="9" t="s">
        <v>38</v>
      </c>
      <c r="E638" s="9" t="s">
        <v>21</v>
      </c>
      <c r="F638" s="9" t="str">
        <f t="shared" si="9"/>
        <v>Not Delivered</v>
      </c>
      <c r="G638" s="9" t="b">
        <v>0</v>
      </c>
      <c r="H638" s="9" t="s">
        <v>9</v>
      </c>
      <c r="I638" s="8">
        <v>2862</v>
      </c>
      <c r="J638" s="10">
        <v>872.64</v>
      </c>
      <c r="K638" s="10">
        <v>143.03</v>
      </c>
      <c r="L638" s="10">
        <v>0</v>
      </c>
      <c r="M638" s="10">
        <v>1015.67</v>
      </c>
      <c r="N638" s="8">
        <v>3</v>
      </c>
    </row>
    <row r="639" spans="1:15" x14ac:dyDescent="0.25">
      <c r="A639" s="8">
        <v>18330</v>
      </c>
      <c r="B639" s="9" t="s">
        <v>23</v>
      </c>
      <c r="C639" s="9" t="s">
        <v>49</v>
      </c>
      <c r="D639" s="9" t="s">
        <v>16</v>
      </c>
      <c r="E639" s="9" t="s">
        <v>13</v>
      </c>
      <c r="F639" s="9" t="str">
        <f t="shared" si="9"/>
        <v>Delivered</v>
      </c>
      <c r="G639" s="9" t="b">
        <v>1</v>
      </c>
      <c r="H639" s="9" t="s">
        <v>33</v>
      </c>
      <c r="I639" s="8">
        <v>8802</v>
      </c>
      <c r="J639" s="10">
        <v>483</v>
      </c>
      <c r="K639" s="10">
        <v>28.31</v>
      </c>
      <c r="L639" s="10">
        <v>280.75</v>
      </c>
      <c r="M639" s="10">
        <v>792.06</v>
      </c>
      <c r="N639" s="8">
        <v>14</v>
      </c>
      <c r="O639" s="6">
        <v>2.4</v>
      </c>
    </row>
    <row r="640" spans="1:15" x14ac:dyDescent="0.25">
      <c r="A640" s="8">
        <v>68756</v>
      </c>
      <c r="B640" s="9" t="s">
        <v>41</v>
      </c>
      <c r="C640" s="9" t="s">
        <v>61</v>
      </c>
      <c r="D640" s="9" t="s">
        <v>27</v>
      </c>
      <c r="E640" s="9" t="s">
        <v>8</v>
      </c>
      <c r="F640" s="9" t="str">
        <f t="shared" si="9"/>
        <v>Not Delivered</v>
      </c>
      <c r="G640" s="9" t="b">
        <v>0</v>
      </c>
      <c r="H640" s="9" t="s">
        <v>14</v>
      </c>
      <c r="I640" s="8">
        <v>6931</v>
      </c>
      <c r="J640" s="10">
        <v>1437.34</v>
      </c>
      <c r="K640" s="10">
        <v>66.5</v>
      </c>
      <c r="L640" s="10">
        <v>0</v>
      </c>
      <c r="M640" s="10">
        <v>1503.84</v>
      </c>
      <c r="N640" s="8">
        <v>13</v>
      </c>
      <c r="O640" s="6">
        <v>3.2</v>
      </c>
    </row>
    <row r="641" spans="1:15" x14ac:dyDescent="0.25">
      <c r="A641" s="8">
        <v>77271</v>
      </c>
      <c r="B641" s="9" t="s">
        <v>39</v>
      </c>
      <c r="C641" s="9" t="s">
        <v>57</v>
      </c>
      <c r="D641" s="9" t="s">
        <v>45</v>
      </c>
      <c r="E641" s="9" t="s">
        <v>17</v>
      </c>
      <c r="F641" s="9" t="str">
        <f t="shared" si="9"/>
        <v>Not Delivered</v>
      </c>
      <c r="G641" s="9" t="b">
        <v>1</v>
      </c>
      <c r="H641" s="9" t="s">
        <v>9</v>
      </c>
      <c r="I641" s="8">
        <v>2786</v>
      </c>
      <c r="J641" s="10">
        <v>348.27</v>
      </c>
      <c r="K641" s="10">
        <v>29.09</v>
      </c>
      <c r="L641" s="10">
        <v>36.76</v>
      </c>
      <c r="M641" s="10">
        <v>414.12</v>
      </c>
      <c r="N641" s="8">
        <v>3</v>
      </c>
      <c r="O641" s="6">
        <v>2.7</v>
      </c>
    </row>
    <row r="642" spans="1:15" x14ac:dyDescent="0.25">
      <c r="A642" s="8">
        <v>69245</v>
      </c>
      <c r="B642" s="9" t="s">
        <v>10</v>
      </c>
      <c r="C642" s="9" t="s">
        <v>15</v>
      </c>
      <c r="D642" s="9" t="s">
        <v>7</v>
      </c>
      <c r="E642" s="9" t="s">
        <v>8</v>
      </c>
      <c r="F642" s="9" t="str">
        <f t="shared" si="9"/>
        <v>Not Delivered</v>
      </c>
      <c r="G642" s="9" t="b">
        <v>1</v>
      </c>
      <c r="H642" s="9" t="s">
        <v>18</v>
      </c>
      <c r="I642" s="8">
        <v>9254</v>
      </c>
      <c r="J642" s="10">
        <v>1021.88</v>
      </c>
      <c r="K642" s="10">
        <v>134.58000000000001</v>
      </c>
      <c r="L642" s="10">
        <v>33.74</v>
      </c>
      <c r="M642" s="10">
        <v>1190.2</v>
      </c>
      <c r="N642" s="8">
        <v>4</v>
      </c>
      <c r="O642" s="6">
        <v>1.7</v>
      </c>
    </row>
    <row r="643" spans="1:15" x14ac:dyDescent="0.25">
      <c r="A643" s="8">
        <v>39038</v>
      </c>
      <c r="B643" s="9" t="s">
        <v>10</v>
      </c>
      <c r="C643" s="9" t="s">
        <v>15</v>
      </c>
      <c r="D643" s="9" t="s">
        <v>12</v>
      </c>
      <c r="E643" s="9" t="s">
        <v>13</v>
      </c>
      <c r="F643" s="9" t="str">
        <f t="shared" ref="F643:F706" si="10">IF(OR(
E643="Failed Delivery",
E643="Cancelled",
E643="Pending",
E643="Rescheduled",
E643="In Transit"
),"Not Delivered","Delivered")</f>
        <v>Delivered</v>
      </c>
      <c r="G643" s="9" t="b">
        <v>1</v>
      </c>
      <c r="H643" s="9" t="s">
        <v>4</v>
      </c>
      <c r="I643" s="8">
        <v>1710</v>
      </c>
      <c r="J643" s="10">
        <v>1792.7</v>
      </c>
      <c r="K643" s="10">
        <v>108.35</v>
      </c>
      <c r="L643" s="10">
        <v>70.819999999999993</v>
      </c>
      <c r="M643" s="10">
        <v>1971.87</v>
      </c>
      <c r="N643" s="8">
        <v>2</v>
      </c>
      <c r="O643" s="6">
        <v>3</v>
      </c>
    </row>
    <row r="644" spans="1:15" x14ac:dyDescent="0.25">
      <c r="A644" s="8">
        <v>96363</v>
      </c>
      <c r="B644" s="9" t="s">
        <v>10</v>
      </c>
      <c r="C644" s="9" t="s">
        <v>26</v>
      </c>
      <c r="D644" s="9" t="s">
        <v>45</v>
      </c>
      <c r="E644" s="9" t="s">
        <v>8</v>
      </c>
      <c r="F644" s="9" t="str">
        <f t="shared" si="10"/>
        <v>Not Delivered</v>
      </c>
      <c r="G644" s="9" t="b">
        <v>0</v>
      </c>
      <c r="H644" s="9" t="s">
        <v>22</v>
      </c>
      <c r="I644" s="8">
        <v>9543</v>
      </c>
      <c r="J644" s="10">
        <v>848.92</v>
      </c>
      <c r="K644" s="10">
        <v>145.12</v>
      </c>
      <c r="L644" s="10">
        <v>0</v>
      </c>
      <c r="M644" s="10">
        <v>994.04</v>
      </c>
      <c r="N644" s="8">
        <v>3</v>
      </c>
    </row>
    <row r="645" spans="1:15" x14ac:dyDescent="0.25">
      <c r="A645" s="8">
        <v>49535</v>
      </c>
      <c r="B645" s="9" t="s">
        <v>39</v>
      </c>
      <c r="C645" s="9" t="s">
        <v>58</v>
      </c>
      <c r="D645" s="9" t="s">
        <v>38</v>
      </c>
      <c r="E645" s="9" t="s">
        <v>8</v>
      </c>
      <c r="F645" s="9" t="str">
        <f t="shared" si="10"/>
        <v>Not Delivered</v>
      </c>
      <c r="G645" s="9" t="b">
        <v>1</v>
      </c>
      <c r="H645" s="9" t="s">
        <v>14</v>
      </c>
      <c r="I645" s="8">
        <v>8504</v>
      </c>
      <c r="J645" s="10">
        <v>972.27</v>
      </c>
      <c r="K645" s="10">
        <v>0</v>
      </c>
      <c r="L645" s="10">
        <v>196.98</v>
      </c>
      <c r="M645" s="10">
        <v>1169.25</v>
      </c>
      <c r="N645" s="8">
        <v>11</v>
      </c>
      <c r="O645" s="6">
        <v>2.8</v>
      </c>
    </row>
    <row r="646" spans="1:15" x14ac:dyDescent="0.25">
      <c r="A646" s="8">
        <v>94323</v>
      </c>
      <c r="B646" s="9" t="s">
        <v>41</v>
      </c>
      <c r="C646" s="9" t="s">
        <v>46</v>
      </c>
      <c r="D646" s="9" t="s">
        <v>30</v>
      </c>
      <c r="E646" s="9" t="s">
        <v>21</v>
      </c>
      <c r="F646" s="9" t="str">
        <f t="shared" si="10"/>
        <v>Not Delivered</v>
      </c>
      <c r="G646" s="9" t="b">
        <v>0</v>
      </c>
      <c r="H646" s="9" t="s">
        <v>9</v>
      </c>
      <c r="I646" s="8">
        <v>1510</v>
      </c>
      <c r="J646" s="10">
        <v>765.01</v>
      </c>
      <c r="K646" s="10">
        <v>0</v>
      </c>
      <c r="L646" s="10">
        <v>0</v>
      </c>
      <c r="M646" s="10">
        <v>765.01</v>
      </c>
      <c r="N646" s="8">
        <v>6</v>
      </c>
      <c r="O646" s="6">
        <v>4</v>
      </c>
    </row>
    <row r="647" spans="1:15" x14ac:dyDescent="0.25">
      <c r="A647" s="8">
        <v>17972</v>
      </c>
      <c r="B647" s="9" t="s">
        <v>5</v>
      </c>
      <c r="C647" s="9" t="s">
        <v>44</v>
      </c>
      <c r="D647" s="9" t="s">
        <v>19</v>
      </c>
      <c r="E647" s="9" t="s">
        <v>32</v>
      </c>
      <c r="F647" s="9" t="str">
        <f t="shared" si="10"/>
        <v>Not Delivered</v>
      </c>
      <c r="G647" s="9" t="b">
        <v>0</v>
      </c>
      <c r="H647" s="9" t="s">
        <v>9</v>
      </c>
      <c r="I647" s="8">
        <v>8847</v>
      </c>
      <c r="J647" s="10">
        <v>786.88</v>
      </c>
      <c r="K647" s="10">
        <v>0</v>
      </c>
      <c r="L647" s="10">
        <v>0</v>
      </c>
      <c r="M647" s="10">
        <v>786.88</v>
      </c>
      <c r="N647" s="8">
        <v>2</v>
      </c>
    </row>
    <row r="648" spans="1:15" x14ac:dyDescent="0.25">
      <c r="A648" s="8">
        <v>62640</v>
      </c>
      <c r="B648" s="9" t="s">
        <v>39</v>
      </c>
      <c r="C648" s="9" t="s">
        <v>52</v>
      </c>
      <c r="D648" s="9" t="s">
        <v>50</v>
      </c>
      <c r="E648" s="9" t="s">
        <v>8</v>
      </c>
      <c r="F648" s="9" t="str">
        <f t="shared" si="10"/>
        <v>Not Delivered</v>
      </c>
      <c r="G648" s="9" t="b">
        <v>0</v>
      </c>
      <c r="H648" s="9" t="s">
        <v>18</v>
      </c>
      <c r="I648" s="8">
        <v>7984</v>
      </c>
      <c r="J648" s="10">
        <v>998.98</v>
      </c>
      <c r="K648" s="10">
        <v>65.41</v>
      </c>
      <c r="L648" s="10">
        <v>0</v>
      </c>
      <c r="M648" s="10">
        <v>1064.3900000000001</v>
      </c>
      <c r="N648" s="8">
        <v>8</v>
      </c>
      <c r="O648" s="6">
        <v>3.9</v>
      </c>
    </row>
    <row r="649" spans="1:15" x14ac:dyDescent="0.25">
      <c r="A649" s="8">
        <v>99928</v>
      </c>
      <c r="B649" s="9" t="s">
        <v>23</v>
      </c>
      <c r="C649" s="9" t="s">
        <v>49</v>
      </c>
      <c r="D649" s="9" t="s">
        <v>2</v>
      </c>
      <c r="E649" s="9" t="s">
        <v>21</v>
      </c>
      <c r="F649" s="9" t="str">
        <f t="shared" si="10"/>
        <v>Not Delivered</v>
      </c>
      <c r="G649" s="9" t="b">
        <v>0</v>
      </c>
      <c r="H649" s="9" t="s">
        <v>9</v>
      </c>
      <c r="I649" s="8">
        <v>2768</v>
      </c>
      <c r="J649" s="10">
        <v>2046.73</v>
      </c>
      <c r="K649" s="10">
        <v>101.27</v>
      </c>
      <c r="L649" s="10">
        <v>0</v>
      </c>
      <c r="M649" s="10">
        <v>2148</v>
      </c>
      <c r="N649" s="8">
        <v>8</v>
      </c>
      <c r="O649" s="6">
        <v>2.9</v>
      </c>
    </row>
    <row r="650" spans="1:15" x14ac:dyDescent="0.25">
      <c r="A650" s="8">
        <v>74260</v>
      </c>
      <c r="B650" s="9" t="s">
        <v>5</v>
      </c>
      <c r="C650" s="9" t="s">
        <v>44</v>
      </c>
      <c r="D650" s="9" t="s">
        <v>35</v>
      </c>
      <c r="E650" s="9" t="s">
        <v>3</v>
      </c>
      <c r="F650" s="9" t="str">
        <f t="shared" si="10"/>
        <v>Not Delivered</v>
      </c>
      <c r="G650" s="9" t="b">
        <v>0</v>
      </c>
      <c r="H650" s="9" t="s">
        <v>22</v>
      </c>
      <c r="I650" s="8">
        <v>8267</v>
      </c>
      <c r="J650" s="10">
        <v>2065.29</v>
      </c>
      <c r="K650" s="10">
        <v>93.41</v>
      </c>
      <c r="L650" s="10">
        <v>0</v>
      </c>
      <c r="M650" s="10">
        <v>2158.6999999999998</v>
      </c>
      <c r="N650" s="8">
        <v>2</v>
      </c>
    </row>
    <row r="651" spans="1:15" x14ac:dyDescent="0.25">
      <c r="A651" s="8">
        <v>19632</v>
      </c>
      <c r="B651" s="9" t="s">
        <v>23</v>
      </c>
      <c r="C651" s="9" t="s">
        <v>48</v>
      </c>
      <c r="D651" s="9" t="s">
        <v>50</v>
      </c>
      <c r="E651" s="9" t="s">
        <v>3</v>
      </c>
      <c r="F651" s="9" t="str">
        <f t="shared" si="10"/>
        <v>Not Delivered</v>
      </c>
      <c r="G651" s="9" t="b">
        <v>0</v>
      </c>
      <c r="H651" s="9" t="s">
        <v>9</v>
      </c>
      <c r="I651" s="8">
        <v>2323</v>
      </c>
      <c r="J651" s="10">
        <v>2105.77</v>
      </c>
      <c r="K651" s="10">
        <v>0</v>
      </c>
      <c r="L651" s="10">
        <v>0</v>
      </c>
      <c r="M651" s="10">
        <v>2105.77</v>
      </c>
      <c r="N651" s="8">
        <v>9</v>
      </c>
      <c r="O651" s="6">
        <v>3.1</v>
      </c>
    </row>
    <row r="652" spans="1:15" x14ac:dyDescent="0.25">
      <c r="A652" s="8">
        <v>52219</v>
      </c>
      <c r="B652" s="9" t="s">
        <v>5</v>
      </c>
      <c r="C652" s="9" t="s">
        <v>44</v>
      </c>
      <c r="D652" s="9" t="s">
        <v>2</v>
      </c>
      <c r="E652" s="9" t="s">
        <v>17</v>
      </c>
      <c r="F652" s="9" t="str">
        <f t="shared" si="10"/>
        <v>Not Delivered</v>
      </c>
      <c r="G652" s="9" t="b">
        <v>0</v>
      </c>
      <c r="H652" s="9" t="s">
        <v>18</v>
      </c>
      <c r="I652" s="8">
        <v>3430</v>
      </c>
      <c r="J652" s="10">
        <v>890.9</v>
      </c>
      <c r="K652" s="10">
        <v>118.43</v>
      </c>
      <c r="L652" s="10">
        <v>0</v>
      </c>
      <c r="M652" s="10">
        <v>1009.33</v>
      </c>
      <c r="N652" s="8">
        <v>14</v>
      </c>
      <c r="O652" s="6">
        <v>2.7</v>
      </c>
    </row>
    <row r="653" spans="1:15" x14ac:dyDescent="0.25">
      <c r="A653" s="8">
        <v>18609</v>
      </c>
      <c r="B653" s="9" t="s">
        <v>5</v>
      </c>
      <c r="C653" s="9" t="s">
        <v>6</v>
      </c>
      <c r="D653" s="9" t="s">
        <v>35</v>
      </c>
      <c r="E653" s="9" t="s">
        <v>13</v>
      </c>
      <c r="F653" s="9" t="str">
        <f t="shared" si="10"/>
        <v>Delivered</v>
      </c>
      <c r="G653" s="9" t="b">
        <v>0</v>
      </c>
      <c r="H653" s="9" t="s">
        <v>18</v>
      </c>
      <c r="I653" s="8">
        <v>3067</v>
      </c>
      <c r="J653" s="10">
        <v>1380.85</v>
      </c>
      <c r="K653" s="10">
        <v>91.3</v>
      </c>
      <c r="L653" s="10">
        <v>0</v>
      </c>
      <c r="M653" s="10">
        <v>1472.15</v>
      </c>
      <c r="N653" s="8">
        <v>11</v>
      </c>
      <c r="O653" s="6">
        <v>4.3</v>
      </c>
    </row>
    <row r="654" spans="1:15" x14ac:dyDescent="0.25">
      <c r="A654" s="8">
        <v>46046</v>
      </c>
      <c r="B654" s="9" t="s">
        <v>5</v>
      </c>
      <c r="C654" s="9" t="s">
        <v>59</v>
      </c>
      <c r="D654" s="9" t="s">
        <v>25</v>
      </c>
      <c r="E654" s="9" t="s">
        <v>17</v>
      </c>
      <c r="F654" s="9" t="str">
        <f t="shared" si="10"/>
        <v>Not Delivered</v>
      </c>
      <c r="G654" s="9" t="b">
        <v>0</v>
      </c>
      <c r="H654" s="9" t="s">
        <v>9</v>
      </c>
      <c r="I654" s="8">
        <v>9984</v>
      </c>
      <c r="J654" s="10">
        <v>237.42</v>
      </c>
      <c r="K654" s="10">
        <v>80.540000000000006</v>
      </c>
      <c r="L654" s="10">
        <v>0</v>
      </c>
      <c r="M654" s="10">
        <v>317.95999999999998</v>
      </c>
      <c r="N654" s="8">
        <v>3</v>
      </c>
      <c r="O654" s="6">
        <v>4.4000000000000004</v>
      </c>
    </row>
    <row r="655" spans="1:15" x14ac:dyDescent="0.25">
      <c r="A655" s="8">
        <v>52622</v>
      </c>
      <c r="B655" s="9" t="s">
        <v>0</v>
      </c>
      <c r="C655" s="9" t="s">
        <v>51</v>
      </c>
      <c r="D655" s="9" t="s">
        <v>7</v>
      </c>
      <c r="E655" s="9" t="s">
        <v>32</v>
      </c>
      <c r="F655" s="9" t="str">
        <f t="shared" si="10"/>
        <v>Not Delivered</v>
      </c>
      <c r="G655" s="9" t="b">
        <v>0</v>
      </c>
      <c r="H655" s="9" t="s">
        <v>28</v>
      </c>
      <c r="I655" s="8">
        <v>7240</v>
      </c>
      <c r="J655" s="10">
        <v>668.01</v>
      </c>
      <c r="K655" s="10">
        <v>125.74</v>
      </c>
      <c r="L655" s="10">
        <v>0</v>
      </c>
      <c r="M655" s="10">
        <v>793.75</v>
      </c>
      <c r="N655" s="8">
        <v>10</v>
      </c>
      <c r="O655" s="6">
        <v>2.4</v>
      </c>
    </row>
    <row r="656" spans="1:15" x14ac:dyDescent="0.25">
      <c r="A656" s="8">
        <v>88301</v>
      </c>
      <c r="B656" s="9" t="s">
        <v>5</v>
      </c>
      <c r="C656" s="9" t="s">
        <v>31</v>
      </c>
      <c r="D656" s="9" t="s">
        <v>27</v>
      </c>
      <c r="E656" s="9" t="s">
        <v>3</v>
      </c>
      <c r="F656" s="9" t="str">
        <f t="shared" si="10"/>
        <v>Not Delivered</v>
      </c>
      <c r="G656" s="9" t="b">
        <v>1</v>
      </c>
      <c r="H656" s="9" t="s">
        <v>9</v>
      </c>
      <c r="I656" s="8">
        <v>9692</v>
      </c>
      <c r="J656" s="10">
        <v>2459.0300000000002</v>
      </c>
      <c r="K656" s="10">
        <v>0</v>
      </c>
      <c r="L656" s="10">
        <v>230.16</v>
      </c>
      <c r="M656" s="10">
        <v>2689.19</v>
      </c>
      <c r="N656" s="8">
        <v>1</v>
      </c>
      <c r="O656" s="6">
        <v>1.1000000000000001</v>
      </c>
    </row>
    <row r="657" spans="1:15" x14ac:dyDescent="0.25">
      <c r="A657" s="8">
        <v>48652</v>
      </c>
      <c r="B657" s="9" t="s">
        <v>0</v>
      </c>
      <c r="C657" s="9" t="s">
        <v>37</v>
      </c>
      <c r="D657" s="9" t="s">
        <v>35</v>
      </c>
      <c r="E657" s="9" t="s">
        <v>8</v>
      </c>
      <c r="F657" s="9" t="str">
        <f t="shared" si="10"/>
        <v>Not Delivered</v>
      </c>
      <c r="G657" s="9" t="b">
        <v>0</v>
      </c>
      <c r="H657" s="9" t="s">
        <v>22</v>
      </c>
      <c r="I657" s="8">
        <v>8433</v>
      </c>
      <c r="J657" s="10">
        <v>1583.49</v>
      </c>
      <c r="K657" s="10">
        <v>110.19</v>
      </c>
      <c r="L657" s="10">
        <v>0</v>
      </c>
      <c r="M657" s="10">
        <v>1693.68</v>
      </c>
      <c r="N657" s="8">
        <v>5</v>
      </c>
      <c r="O657" s="6">
        <v>4.9000000000000004</v>
      </c>
    </row>
    <row r="658" spans="1:15" x14ac:dyDescent="0.25">
      <c r="A658" s="8">
        <v>76263</v>
      </c>
      <c r="B658" s="9" t="s">
        <v>0</v>
      </c>
      <c r="C658" s="9" t="s">
        <v>37</v>
      </c>
      <c r="D658" s="9" t="s">
        <v>19</v>
      </c>
      <c r="E658" s="9" t="s">
        <v>17</v>
      </c>
      <c r="F658" s="9" t="str">
        <f t="shared" si="10"/>
        <v>Not Delivered</v>
      </c>
      <c r="G658" s="9" t="b">
        <v>1</v>
      </c>
      <c r="H658" s="9" t="s">
        <v>28</v>
      </c>
      <c r="I658" s="8">
        <v>8048</v>
      </c>
      <c r="J658" s="10">
        <v>1477.66</v>
      </c>
      <c r="K658" s="10">
        <v>0</v>
      </c>
      <c r="L658" s="10">
        <v>29.77</v>
      </c>
      <c r="M658" s="10">
        <v>1507.43</v>
      </c>
      <c r="N658" s="8">
        <v>14</v>
      </c>
    </row>
    <row r="659" spans="1:15" x14ac:dyDescent="0.25">
      <c r="A659" s="8">
        <v>22999</v>
      </c>
      <c r="B659" s="9" t="s">
        <v>39</v>
      </c>
      <c r="C659" s="9" t="s">
        <v>40</v>
      </c>
      <c r="D659" s="9" t="s">
        <v>16</v>
      </c>
      <c r="E659" s="9" t="s">
        <v>17</v>
      </c>
      <c r="F659" s="9" t="str">
        <f t="shared" si="10"/>
        <v>Not Delivered</v>
      </c>
      <c r="G659" s="9" t="b">
        <v>1</v>
      </c>
      <c r="H659" s="9" t="s">
        <v>4</v>
      </c>
      <c r="I659" s="8">
        <v>2874</v>
      </c>
      <c r="J659" s="10">
        <v>1002.63</v>
      </c>
      <c r="K659" s="10">
        <v>112.61</v>
      </c>
      <c r="L659" s="10">
        <v>32.520000000000003</v>
      </c>
      <c r="M659" s="10">
        <v>1147.76</v>
      </c>
      <c r="N659" s="8">
        <v>8</v>
      </c>
    </row>
    <row r="660" spans="1:15" x14ac:dyDescent="0.25">
      <c r="A660" s="8">
        <v>95814</v>
      </c>
      <c r="B660" s="9" t="s">
        <v>23</v>
      </c>
      <c r="C660" s="9" t="s">
        <v>24</v>
      </c>
      <c r="D660" s="9" t="s">
        <v>16</v>
      </c>
      <c r="E660" s="9" t="s">
        <v>17</v>
      </c>
      <c r="F660" s="9" t="str">
        <f t="shared" si="10"/>
        <v>Not Delivered</v>
      </c>
      <c r="G660" s="9" t="b">
        <v>1</v>
      </c>
      <c r="H660" s="9" t="s">
        <v>33</v>
      </c>
      <c r="I660" s="8">
        <v>4522</v>
      </c>
      <c r="J660" s="10">
        <v>2255.5300000000002</v>
      </c>
      <c r="K660" s="10">
        <v>98.5</v>
      </c>
      <c r="L660" s="10">
        <v>237.78</v>
      </c>
      <c r="M660" s="10">
        <v>2591.81</v>
      </c>
      <c r="N660" s="8">
        <v>4</v>
      </c>
      <c r="O660" s="6">
        <v>4.3</v>
      </c>
    </row>
    <row r="661" spans="1:15" x14ac:dyDescent="0.25">
      <c r="A661" s="8">
        <v>66370</v>
      </c>
      <c r="B661" s="9" t="s">
        <v>5</v>
      </c>
      <c r="C661" s="9" t="s">
        <v>6</v>
      </c>
      <c r="D661" s="9" t="s">
        <v>50</v>
      </c>
      <c r="E661" s="9" t="s">
        <v>17</v>
      </c>
      <c r="F661" s="9" t="str">
        <f t="shared" si="10"/>
        <v>Not Delivered</v>
      </c>
      <c r="G661" s="9" t="b">
        <v>0</v>
      </c>
      <c r="H661" s="9" t="s">
        <v>9</v>
      </c>
      <c r="I661" s="8">
        <v>8398</v>
      </c>
      <c r="J661" s="10">
        <v>1649.94</v>
      </c>
      <c r="K661" s="10">
        <v>147.94999999999999</v>
      </c>
      <c r="L661" s="10">
        <v>0</v>
      </c>
      <c r="M661" s="10">
        <v>1797.89</v>
      </c>
      <c r="N661" s="8">
        <v>12</v>
      </c>
      <c r="O661" s="6">
        <v>3.9</v>
      </c>
    </row>
    <row r="662" spans="1:15" x14ac:dyDescent="0.25">
      <c r="A662" s="8">
        <v>39949</v>
      </c>
      <c r="B662" s="9" t="s">
        <v>39</v>
      </c>
      <c r="C662" s="9" t="s">
        <v>58</v>
      </c>
      <c r="D662" s="9" t="s">
        <v>16</v>
      </c>
      <c r="E662" s="9" t="s">
        <v>21</v>
      </c>
      <c r="F662" s="9" t="str">
        <f t="shared" si="10"/>
        <v>Not Delivered</v>
      </c>
      <c r="G662" s="9" t="b">
        <v>0</v>
      </c>
      <c r="H662" s="9" t="s">
        <v>33</v>
      </c>
      <c r="I662" s="8">
        <v>7779</v>
      </c>
      <c r="J662" s="10">
        <v>808.97</v>
      </c>
      <c r="K662" s="10">
        <v>143.53</v>
      </c>
      <c r="L662" s="10">
        <v>0</v>
      </c>
      <c r="M662" s="10">
        <v>952.5</v>
      </c>
      <c r="N662" s="8">
        <v>4</v>
      </c>
      <c r="O662" s="6">
        <v>3.1</v>
      </c>
    </row>
    <row r="663" spans="1:15" x14ac:dyDescent="0.25">
      <c r="A663" s="8">
        <v>54424</v>
      </c>
      <c r="B663" s="9" t="s">
        <v>41</v>
      </c>
      <c r="C663" s="9" t="s">
        <v>47</v>
      </c>
      <c r="D663" s="9" t="s">
        <v>25</v>
      </c>
      <c r="E663" s="9" t="s">
        <v>32</v>
      </c>
      <c r="F663" s="9" t="str">
        <f t="shared" si="10"/>
        <v>Not Delivered</v>
      </c>
      <c r="G663" s="9" t="b">
        <v>1</v>
      </c>
      <c r="H663" s="9" t="s">
        <v>33</v>
      </c>
      <c r="I663" s="8">
        <v>8430</v>
      </c>
      <c r="J663" s="10">
        <v>889.27</v>
      </c>
      <c r="K663" s="10">
        <v>138.91</v>
      </c>
      <c r="L663" s="10">
        <v>243.4</v>
      </c>
      <c r="M663" s="10">
        <v>1271.58</v>
      </c>
      <c r="N663" s="8">
        <v>11</v>
      </c>
      <c r="O663" s="6">
        <v>3.8</v>
      </c>
    </row>
    <row r="664" spans="1:15" x14ac:dyDescent="0.25">
      <c r="A664" s="8">
        <v>62262</v>
      </c>
      <c r="B664" s="9" t="s">
        <v>0</v>
      </c>
      <c r="C664" s="9" t="s">
        <v>53</v>
      </c>
      <c r="D664" s="9" t="s">
        <v>45</v>
      </c>
      <c r="E664" s="9" t="s">
        <v>32</v>
      </c>
      <c r="F664" s="9" t="str">
        <f t="shared" si="10"/>
        <v>Not Delivered</v>
      </c>
      <c r="G664" s="9" t="b">
        <v>0</v>
      </c>
      <c r="H664" s="9" t="s">
        <v>33</v>
      </c>
      <c r="I664" s="8">
        <v>7815</v>
      </c>
      <c r="J664" s="10">
        <v>924.25</v>
      </c>
      <c r="K664" s="10">
        <v>100.76</v>
      </c>
      <c r="L664" s="10">
        <v>0</v>
      </c>
      <c r="M664" s="10">
        <v>1025.01</v>
      </c>
      <c r="N664" s="8">
        <v>10</v>
      </c>
      <c r="O664" s="6">
        <v>3.9</v>
      </c>
    </row>
    <row r="665" spans="1:15" x14ac:dyDescent="0.25">
      <c r="A665" s="8">
        <v>22463</v>
      </c>
      <c r="B665" s="9" t="s">
        <v>0</v>
      </c>
      <c r="C665" s="9" t="s">
        <v>37</v>
      </c>
      <c r="D665" s="9" t="s">
        <v>7</v>
      </c>
      <c r="E665" s="9" t="s">
        <v>21</v>
      </c>
      <c r="F665" s="9" t="str">
        <f t="shared" si="10"/>
        <v>Not Delivered</v>
      </c>
      <c r="G665" s="9" t="b">
        <v>0</v>
      </c>
      <c r="H665" s="9" t="s">
        <v>28</v>
      </c>
      <c r="I665" s="8">
        <v>6120</v>
      </c>
      <c r="J665" s="10">
        <v>1733.68</v>
      </c>
      <c r="K665" s="10">
        <v>117.31</v>
      </c>
      <c r="L665" s="10">
        <v>0</v>
      </c>
      <c r="M665" s="10">
        <v>1850.99</v>
      </c>
      <c r="N665" s="8">
        <v>13</v>
      </c>
      <c r="O665" s="6">
        <v>4.9000000000000004</v>
      </c>
    </row>
    <row r="666" spans="1:15" x14ac:dyDescent="0.25">
      <c r="A666" s="8">
        <v>65936</v>
      </c>
      <c r="B666" s="9" t="s">
        <v>10</v>
      </c>
      <c r="C666" s="9" t="s">
        <v>26</v>
      </c>
      <c r="D666" s="9" t="s">
        <v>45</v>
      </c>
      <c r="E666" s="9" t="s">
        <v>13</v>
      </c>
      <c r="F666" s="9" t="str">
        <f t="shared" si="10"/>
        <v>Delivered</v>
      </c>
      <c r="G666" s="9" t="b">
        <v>1</v>
      </c>
      <c r="H666" s="9" t="s">
        <v>28</v>
      </c>
      <c r="I666" s="8">
        <v>6120</v>
      </c>
      <c r="J666" s="10">
        <v>1367.41</v>
      </c>
      <c r="K666" s="10">
        <v>0</v>
      </c>
      <c r="L666" s="10">
        <v>80.290000000000006</v>
      </c>
      <c r="M666" s="10">
        <v>1447.7</v>
      </c>
      <c r="N666" s="8">
        <v>2</v>
      </c>
      <c r="O666" s="6">
        <v>4.8</v>
      </c>
    </row>
    <row r="667" spans="1:15" x14ac:dyDescent="0.25">
      <c r="A667" s="8">
        <v>97177</v>
      </c>
      <c r="B667" s="9" t="s">
        <v>23</v>
      </c>
      <c r="C667" s="9" t="s">
        <v>34</v>
      </c>
      <c r="D667" s="9" t="s">
        <v>30</v>
      </c>
      <c r="E667" s="9" t="s">
        <v>17</v>
      </c>
      <c r="F667" s="9" t="str">
        <f t="shared" si="10"/>
        <v>Not Delivered</v>
      </c>
      <c r="G667" s="9" t="b">
        <v>0</v>
      </c>
      <c r="H667" s="9" t="s">
        <v>14</v>
      </c>
      <c r="I667" s="8">
        <v>5176</v>
      </c>
      <c r="J667" s="10">
        <v>284.08999999999997</v>
      </c>
      <c r="K667" s="10">
        <v>26.36</v>
      </c>
      <c r="L667" s="10">
        <v>0</v>
      </c>
      <c r="M667" s="10">
        <v>310.45</v>
      </c>
      <c r="N667" s="8">
        <v>6</v>
      </c>
      <c r="O667" s="6">
        <v>1.7</v>
      </c>
    </row>
    <row r="668" spans="1:15" x14ac:dyDescent="0.25">
      <c r="A668" s="8">
        <v>59060</v>
      </c>
      <c r="B668" s="9" t="s">
        <v>5</v>
      </c>
      <c r="C668" s="9" t="s">
        <v>56</v>
      </c>
      <c r="D668" s="9" t="s">
        <v>30</v>
      </c>
      <c r="E668" s="9" t="s">
        <v>13</v>
      </c>
      <c r="F668" s="9" t="str">
        <f t="shared" si="10"/>
        <v>Delivered</v>
      </c>
      <c r="G668" s="9" t="b">
        <v>1</v>
      </c>
      <c r="H668" s="9" t="s">
        <v>28</v>
      </c>
      <c r="I668" s="8">
        <v>3500</v>
      </c>
      <c r="J668" s="10">
        <v>1190.43</v>
      </c>
      <c r="K668" s="10">
        <v>62.07</v>
      </c>
      <c r="L668" s="10">
        <v>188.67</v>
      </c>
      <c r="M668" s="10">
        <v>1441.17</v>
      </c>
      <c r="N668" s="8">
        <v>6</v>
      </c>
      <c r="O668" s="6">
        <v>4.0999999999999996</v>
      </c>
    </row>
    <row r="669" spans="1:15" x14ac:dyDescent="0.25">
      <c r="A669" s="8">
        <v>72163</v>
      </c>
      <c r="B669" s="9" t="s">
        <v>0</v>
      </c>
      <c r="C669" s="9" t="s">
        <v>43</v>
      </c>
      <c r="D669" s="9" t="s">
        <v>2</v>
      </c>
      <c r="E669" s="9" t="s">
        <v>21</v>
      </c>
      <c r="F669" s="9" t="str">
        <f t="shared" si="10"/>
        <v>Not Delivered</v>
      </c>
      <c r="G669" s="9" t="b">
        <v>1</v>
      </c>
      <c r="H669" s="9" t="s">
        <v>14</v>
      </c>
      <c r="I669" s="8">
        <v>2099</v>
      </c>
      <c r="J669" s="10">
        <v>1147.08</v>
      </c>
      <c r="L669" s="10">
        <v>269.85000000000002</v>
      </c>
      <c r="M669" s="10">
        <v>1416.93</v>
      </c>
      <c r="N669" s="8">
        <v>14</v>
      </c>
      <c r="O669" s="6">
        <v>4.9000000000000004</v>
      </c>
    </row>
    <row r="670" spans="1:15" x14ac:dyDescent="0.25">
      <c r="A670" s="8">
        <v>21957</v>
      </c>
      <c r="B670" s="9" t="s">
        <v>5</v>
      </c>
      <c r="C670" s="9" t="s">
        <v>59</v>
      </c>
      <c r="D670" s="9" t="s">
        <v>30</v>
      </c>
      <c r="E670" s="9" t="s">
        <v>3</v>
      </c>
      <c r="F670" s="9" t="str">
        <f t="shared" si="10"/>
        <v>Not Delivered</v>
      </c>
      <c r="G670" s="9" t="b">
        <v>1</v>
      </c>
      <c r="H670" s="9" t="s">
        <v>22</v>
      </c>
      <c r="I670" s="8">
        <v>2398</v>
      </c>
      <c r="J670" s="10">
        <v>296.52999999999997</v>
      </c>
      <c r="K670" s="10">
        <v>32.909999999999997</v>
      </c>
      <c r="L670" s="10">
        <v>95.55</v>
      </c>
      <c r="M670" s="10">
        <v>424.99</v>
      </c>
      <c r="N670" s="8">
        <v>3</v>
      </c>
      <c r="O670" s="6">
        <v>3.8</v>
      </c>
    </row>
    <row r="671" spans="1:15" x14ac:dyDescent="0.25">
      <c r="A671" s="8">
        <v>22219</v>
      </c>
      <c r="B671" s="9" t="s">
        <v>5</v>
      </c>
      <c r="C671" s="9" t="s">
        <v>36</v>
      </c>
      <c r="D671" s="9" t="s">
        <v>45</v>
      </c>
      <c r="E671" s="9" t="s">
        <v>13</v>
      </c>
      <c r="F671" s="9" t="str">
        <f t="shared" si="10"/>
        <v>Delivered</v>
      </c>
      <c r="G671" s="9" t="b">
        <v>1</v>
      </c>
      <c r="H671" s="9" t="s">
        <v>33</v>
      </c>
      <c r="I671" s="8">
        <v>8075</v>
      </c>
      <c r="J671" s="10">
        <v>1688.31</v>
      </c>
      <c r="K671" s="10">
        <v>63.78</v>
      </c>
      <c r="L671" s="10">
        <v>295.45</v>
      </c>
      <c r="M671" s="10">
        <v>2047.54</v>
      </c>
      <c r="N671" s="8">
        <v>13</v>
      </c>
      <c r="O671" s="6">
        <v>2</v>
      </c>
    </row>
    <row r="672" spans="1:15" x14ac:dyDescent="0.25">
      <c r="A672" s="8">
        <v>22656</v>
      </c>
      <c r="B672" s="9" t="s">
        <v>41</v>
      </c>
      <c r="C672" s="9" t="s">
        <v>46</v>
      </c>
      <c r="E672" s="9" t="s">
        <v>3</v>
      </c>
      <c r="F672" s="9" t="str">
        <f t="shared" si="10"/>
        <v>Not Delivered</v>
      </c>
      <c r="G672" s="9" t="b">
        <v>0</v>
      </c>
      <c r="H672" s="9" t="s">
        <v>14</v>
      </c>
      <c r="I672" s="8">
        <v>7105</v>
      </c>
      <c r="J672" s="10">
        <v>487.51</v>
      </c>
      <c r="K672" s="10">
        <v>52.93</v>
      </c>
      <c r="L672" s="10">
        <v>0</v>
      </c>
      <c r="M672" s="10">
        <v>540.44000000000005</v>
      </c>
      <c r="N672" s="8">
        <v>6</v>
      </c>
      <c r="O672" s="6">
        <v>2</v>
      </c>
    </row>
    <row r="673" spans="1:15" x14ac:dyDescent="0.25">
      <c r="A673" s="8">
        <v>27054</v>
      </c>
      <c r="B673" s="9" t="s">
        <v>23</v>
      </c>
      <c r="C673" s="9" t="s">
        <v>24</v>
      </c>
      <c r="D673" s="9" t="s">
        <v>25</v>
      </c>
      <c r="E673" s="9" t="s">
        <v>3</v>
      </c>
      <c r="F673" s="9" t="str">
        <f t="shared" si="10"/>
        <v>Not Delivered</v>
      </c>
      <c r="G673" s="9" t="b">
        <v>0</v>
      </c>
      <c r="H673" s="9" t="s">
        <v>28</v>
      </c>
      <c r="I673" s="8">
        <v>1982</v>
      </c>
      <c r="J673" s="10">
        <v>2435.04</v>
      </c>
      <c r="K673" s="10">
        <v>90.93</v>
      </c>
      <c r="L673" s="10">
        <v>0</v>
      </c>
      <c r="M673" s="10">
        <v>2525.9699999999998</v>
      </c>
      <c r="N673" s="8">
        <v>14</v>
      </c>
      <c r="O673" s="6">
        <v>3.7</v>
      </c>
    </row>
    <row r="674" spans="1:15" x14ac:dyDescent="0.25">
      <c r="A674" s="8">
        <v>86869</v>
      </c>
      <c r="B674" s="9" t="s">
        <v>5</v>
      </c>
      <c r="C674" s="9" t="s">
        <v>31</v>
      </c>
      <c r="D674" s="9" t="s">
        <v>25</v>
      </c>
      <c r="E674" s="9" t="s">
        <v>3</v>
      </c>
      <c r="F674" s="9" t="str">
        <f t="shared" si="10"/>
        <v>Not Delivered</v>
      </c>
      <c r="G674" s="9" t="b">
        <v>0</v>
      </c>
      <c r="H674" s="9" t="s">
        <v>14</v>
      </c>
      <c r="I674" s="8">
        <v>6400</v>
      </c>
      <c r="J674" s="10">
        <v>2054.37</v>
      </c>
      <c r="K674" s="10">
        <v>58.48</v>
      </c>
      <c r="L674" s="10">
        <v>0</v>
      </c>
      <c r="M674" s="10">
        <v>2112.85</v>
      </c>
      <c r="N674" s="8">
        <v>7</v>
      </c>
      <c r="O674" s="6">
        <v>1.7</v>
      </c>
    </row>
    <row r="675" spans="1:15" x14ac:dyDescent="0.25">
      <c r="A675" s="8">
        <v>97819</v>
      </c>
      <c r="B675" s="9" t="s">
        <v>5</v>
      </c>
      <c r="C675" s="9" t="s">
        <v>31</v>
      </c>
      <c r="D675" s="9" t="s">
        <v>38</v>
      </c>
      <c r="E675" s="9" t="s">
        <v>8</v>
      </c>
      <c r="F675" s="9" t="str">
        <f t="shared" si="10"/>
        <v>Not Delivered</v>
      </c>
      <c r="G675" s="9" t="b">
        <v>1</v>
      </c>
      <c r="H675" s="9" t="s">
        <v>33</v>
      </c>
      <c r="I675" s="8">
        <v>3002</v>
      </c>
      <c r="J675" s="10">
        <v>2321.79</v>
      </c>
      <c r="K675" s="10">
        <v>0</v>
      </c>
      <c r="L675" s="10">
        <v>141.93</v>
      </c>
      <c r="M675" s="10">
        <v>2463.7199999999998</v>
      </c>
      <c r="N675" s="8">
        <v>11</v>
      </c>
      <c r="O675" s="6">
        <v>4.5</v>
      </c>
    </row>
    <row r="676" spans="1:15" x14ac:dyDescent="0.25">
      <c r="A676" s="8">
        <v>63845</v>
      </c>
      <c r="B676" s="9" t="s">
        <v>10</v>
      </c>
      <c r="C676" s="9" t="s">
        <v>26</v>
      </c>
      <c r="E676" s="9" t="s">
        <v>8</v>
      </c>
      <c r="F676" s="9" t="str">
        <f t="shared" si="10"/>
        <v>Not Delivered</v>
      </c>
      <c r="G676" s="9" t="b">
        <v>1</v>
      </c>
      <c r="H676" s="9" t="s">
        <v>9</v>
      </c>
      <c r="I676" s="8">
        <v>6793</v>
      </c>
      <c r="J676" s="10">
        <v>1671.31</v>
      </c>
      <c r="K676" s="10">
        <v>111.04</v>
      </c>
      <c r="L676" s="10">
        <v>216.93</v>
      </c>
      <c r="M676" s="10">
        <v>1999.28</v>
      </c>
      <c r="N676" s="8">
        <v>4</v>
      </c>
      <c r="O676" s="6">
        <v>3.5</v>
      </c>
    </row>
    <row r="677" spans="1:15" x14ac:dyDescent="0.25">
      <c r="A677" s="8">
        <v>97207</v>
      </c>
      <c r="B677" s="9" t="s">
        <v>0</v>
      </c>
      <c r="C677" s="9" t="s">
        <v>51</v>
      </c>
      <c r="D677" s="9" t="s">
        <v>38</v>
      </c>
      <c r="E677" s="9" t="s">
        <v>32</v>
      </c>
      <c r="F677" s="9" t="str">
        <f t="shared" si="10"/>
        <v>Not Delivered</v>
      </c>
      <c r="G677" s="9" t="b">
        <v>1</v>
      </c>
      <c r="H677" s="9" t="s">
        <v>18</v>
      </c>
      <c r="I677" s="8">
        <v>7929</v>
      </c>
      <c r="J677" s="10">
        <v>1614.66</v>
      </c>
      <c r="K677" s="10">
        <v>90.45</v>
      </c>
      <c r="L677" s="10">
        <v>108.43</v>
      </c>
      <c r="M677" s="10">
        <v>1813.54</v>
      </c>
      <c r="N677" s="8">
        <v>9</v>
      </c>
      <c r="O677" s="6">
        <v>3.9</v>
      </c>
    </row>
    <row r="678" spans="1:15" x14ac:dyDescent="0.25">
      <c r="A678" s="8">
        <v>16743</v>
      </c>
      <c r="B678" s="9" t="s">
        <v>41</v>
      </c>
      <c r="C678" s="9" t="s">
        <v>61</v>
      </c>
      <c r="D678" s="9" t="s">
        <v>30</v>
      </c>
      <c r="E678" s="9" t="s">
        <v>21</v>
      </c>
      <c r="F678" s="9" t="str">
        <f t="shared" si="10"/>
        <v>Not Delivered</v>
      </c>
      <c r="G678" s="9" t="b">
        <v>0</v>
      </c>
      <c r="H678" s="9" t="s">
        <v>33</v>
      </c>
      <c r="I678" s="8">
        <v>5712</v>
      </c>
      <c r="J678" s="10">
        <v>770.22</v>
      </c>
      <c r="K678" s="10">
        <v>81.23</v>
      </c>
      <c r="L678" s="10">
        <v>0</v>
      </c>
      <c r="M678" s="10">
        <v>851.45</v>
      </c>
      <c r="N678" s="8">
        <v>13</v>
      </c>
      <c r="O678" s="6">
        <v>1.1000000000000001</v>
      </c>
    </row>
    <row r="679" spans="1:15" x14ac:dyDescent="0.25">
      <c r="A679" s="8">
        <v>88696</v>
      </c>
      <c r="B679" s="9" t="s">
        <v>23</v>
      </c>
      <c r="C679" s="9" t="s">
        <v>49</v>
      </c>
      <c r="D679" s="9" t="s">
        <v>27</v>
      </c>
      <c r="E679" s="9" t="s">
        <v>17</v>
      </c>
      <c r="F679" s="9" t="str">
        <f t="shared" si="10"/>
        <v>Not Delivered</v>
      </c>
      <c r="G679" s="9" t="b">
        <v>1</v>
      </c>
      <c r="H679" s="9" t="s">
        <v>9</v>
      </c>
      <c r="I679" s="8">
        <v>6119</v>
      </c>
      <c r="J679" s="10">
        <v>2220.5500000000002</v>
      </c>
      <c r="K679" s="10">
        <v>61.04</v>
      </c>
      <c r="L679" s="10">
        <v>125.98</v>
      </c>
      <c r="M679" s="10">
        <v>2407.5700000000002</v>
      </c>
      <c r="N679" s="8">
        <v>9</v>
      </c>
      <c r="O679" s="6">
        <v>1.2</v>
      </c>
    </row>
    <row r="680" spans="1:15" x14ac:dyDescent="0.25">
      <c r="A680" s="8">
        <v>56090</v>
      </c>
      <c r="B680" s="9" t="s">
        <v>10</v>
      </c>
      <c r="C680" s="9" t="s">
        <v>15</v>
      </c>
      <c r="D680" s="9" t="s">
        <v>27</v>
      </c>
      <c r="E680" s="9" t="s">
        <v>32</v>
      </c>
      <c r="F680" s="9" t="str">
        <f t="shared" si="10"/>
        <v>Not Delivered</v>
      </c>
      <c r="G680" s="9" t="b">
        <v>1</v>
      </c>
      <c r="H680" s="9" t="s">
        <v>22</v>
      </c>
      <c r="I680" s="8">
        <v>2697</v>
      </c>
      <c r="J680" s="10">
        <v>1500.03</v>
      </c>
      <c r="K680" s="10">
        <v>148.30000000000001</v>
      </c>
      <c r="L680" s="10">
        <v>129.91999999999999</v>
      </c>
      <c r="M680" s="10">
        <v>1778.25</v>
      </c>
      <c r="N680" s="8">
        <v>11</v>
      </c>
      <c r="O680" s="6">
        <v>3.9</v>
      </c>
    </row>
    <row r="681" spans="1:15" x14ac:dyDescent="0.25">
      <c r="A681" s="8">
        <v>85748</v>
      </c>
      <c r="B681" s="9" t="s">
        <v>39</v>
      </c>
      <c r="C681" s="9" t="s">
        <v>55</v>
      </c>
      <c r="D681" s="9" t="s">
        <v>12</v>
      </c>
      <c r="E681" s="9" t="s">
        <v>17</v>
      </c>
      <c r="F681" s="9" t="str">
        <f t="shared" si="10"/>
        <v>Not Delivered</v>
      </c>
      <c r="G681" s="9" t="b">
        <v>1</v>
      </c>
      <c r="H681" s="9" t="s">
        <v>4</v>
      </c>
      <c r="I681" s="8">
        <v>9313</v>
      </c>
      <c r="J681" s="10">
        <v>1127.27</v>
      </c>
      <c r="K681" s="10">
        <v>0</v>
      </c>
      <c r="L681" s="10">
        <v>145.43</v>
      </c>
      <c r="M681" s="10">
        <v>1272.7</v>
      </c>
      <c r="N681" s="8">
        <v>3</v>
      </c>
      <c r="O681" s="6">
        <v>4.3</v>
      </c>
    </row>
    <row r="682" spans="1:15" x14ac:dyDescent="0.25">
      <c r="A682" s="8">
        <v>37884</v>
      </c>
      <c r="B682" s="9" t="s">
        <v>39</v>
      </c>
      <c r="C682" s="9" t="s">
        <v>40</v>
      </c>
      <c r="D682" s="9" t="s">
        <v>50</v>
      </c>
      <c r="E682" s="9" t="s">
        <v>21</v>
      </c>
      <c r="F682" s="9" t="str">
        <f t="shared" si="10"/>
        <v>Not Delivered</v>
      </c>
      <c r="G682" s="9" t="b">
        <v>0</v>
      </c>
      <c r="H682" s="9" t="s">
        <v>9</v>
      </c>
      <c r="I682" s="8">
        <v>3535</v>
      </c>
      <c r="J682" s="10">
        <v>756.28</v>
      </c>
      <c r="K682" s="10">
        <v>86.93</v>
      </c>
      <c r="L682" s="10">
        <v>0</v>
      </c>
      <c r="M682" s="10">
        <v>843.21</v>
      </c>
      <c r="N682" s="8">
        <v>10</v>
      </c>
      <c r="O682" s="6">
        <v>4.0999999999999996</v>
      </c>
    </row>
    <row r="683" spans="1:15" x14ac:dyDescent="0.25">
      <c r="A683" s="8">
        <v>96079</v>
      </c>
      <c r="B683" s="9" t="s">
        <v>0</v>
      </c>
      <c r="C683" s="9" t="s">
        <v>37</v>
      </c>
      <c r="D683" s="9" t="s">
        <v>45</v>
      </c>
      <c r="E683" s="9" t="s">
        <v>8</v>
      </c>
      <c r="F683" s="9" t="str">
        <f t="shared" si="10"/>
        <v>Not Delivered</v>
      </c>
      <c r="G683" s="9" t="b">
        <v>0</v>
      </c>
      <c r="H683" s="9" t="s">
        <v>9</v>
      </c>
      <c r="I683" s="8">
        <v>8900</v>
      </c>
      <c r="J683" s="10">
        <v>1794.24</v>
      </c>
      <c r="K683" s="10">
        <v>144.78</v>
      </c>
      <c r="L683" s="10">
        <v>0</v>
      </c>
      <c r="M683" s="10">
        <v>1939.02</v>
      </c>
      <c r="N683" s="8">
        <v>14</v>
      </c>
      <c r="O683" s="6">
        <v>3</v>
      </c>
    </row>
    <row r="684" spans="1:15" x14ac:dyDescent="0.25">
      <c r="A684" s="8">
        <v>39392</v>
      </c>
      <c r="B684" s="9" t="s">
        <v>23</v>
      </c>
      <c r="C684" s="9" t="s">
        <v>48</v>
      </c>
      <c r="D684" s="9" t="s">
        <v>7</v>
      </c>
      <c r="E684" s="9" t="s">
        <v>21</v>
      </c>
      <c r="F684" s="9" t="str">
        <f t="shared" si="10"/>
        <v>Not Delivered</v>
      </c>
      <c r="G684" s="9" t="b">
        <v>0</v>
      </c>
      <c r="H684" s="9" t="s">
        <v>33</v>
      </c>
      <c r="I684" s="8">
        <v>2773</v>
      </c>
      <c r="J684" s="10">
        <v>1612.58</v>
      </c>
      <c r="K684" s="10">
        <v>119.45</v>
      </c>
      <c r="L684" s="10">
        <v>0</v>
      </c>
      <c r="M684" s="10">
        <v>1732.03</v>
      </c>
      <c r="N684" s="8">
        <v>8</v>
      </c>
    </row>
    <row r="685" spans="1:15" x14ac:dyDescent="0.25">
      <c r="A685" s="8">
        <v>55890</v>
      </c>
      <c r="B685" s="9" t="s">
        <v>5</v>
      </c>
      <c r="C685" s="9" t="s">
        <v>59</v>
      </c>
      <c r="D685" s="9" t="s">
        <v>12</v>
      </c>
      <c r="E685" s="9" t="s">
        <v>13</v>
      </c>
      <c r="F685" s="9" t="str">
        <f t="shared" si="10"/>
        <v>Delivered</v>
      </c>
      <c r="G685" s="9" t="b">
        <v>0</v>
      </c>
      <c r="H685" s="9" t="s">
        <v>33</v>
      </c>
      <c r="I685" s="8">
        <v>7022</v>
      </c>
      <c r="J685" s="10">
        <v>2160.33</v>
      </c>
      <c r="K685" s="10">
        <v>0</v>
      </c>
      <c r="L685" s="10">
        <v>0</v>
      </c>
      <c r="M685" s="10">
        <v>2160.33</v>
      </c>
      <c r="N685" s="8">
        <v>10</v>
      </c>
      <c r="O685" s="6">
        <v>3.1</v>
      </c>
    </row>
    <row r="686" spans="1:15" x14ac:dyDescent="0.25">
      <c r="A686" s="8">
        <v>25058</v>
      </c>
      <c r="B686" s="9" t="s">
        <v>10</v>
      </c>
      <c r="C686" s="9" t="s">
        <v>11</v>
      </c>
      <c r="D686" s="9" t="s">
        <v>50</v>
      </c>
      <c r="E686" s="9" t="s">
        <v>13</v>
      </c>
      <c r="F686" s="9" t="str">
        <f t="shared" si="10"/>
        <v>Delivered</v>
      </c>
      <c r="G686" s="9" t="b">
        <v>1</v>
      </c>
      <c r="H686" s="9" t="s">
        <v>28</v>
      </c>
      <c r="I686" s="8">
        <v>5564</v>
      </c>
      <c r="J686" s="10">
        <v>658.56</v>
      </c>
      <c r="K686" s="10">
        <v>0</v>
      </c>
      <c r="L686" s="10">
        <v>89.19</v>
      </c>
      <c r="M686" s="10">
        <v>747.75</v>
      </c>
      <c r="N686" s="8">
        <v>7</v>
      </c>
    </row>
    <row r="687" spans="1:15" x14ac:dyDescent="0.25">
      <c r="A687" s="8">
        <v>85248</v>
      </c>
      <c r="B687" s="9" t="s">
        <v>23</v>
      </c>
      <c r="C687" s="9" t="s">
        <v>48</v>
      </c>
      <c r="D687" s="9" t="s">
        <v>2</v>
      </c>
      <c r="E687" s="9" t="s">
        <v>13</v>
      </c>
      <c r="F687" s="9" t="str">
        <f t="shared" si="10"/>
        <v>Delivered</v>
      </c>
      <c r="G687" s="9" t="b">
        <v>0</v>
      </c>
      <c r="H687" s="9" t="s">
        <v>18</v>
      </c>
      <c r="I687" s="8">
        <v>4705</v>
      </c>
      <c r="J687" s="10">
        <v>1543.06</v>
      </c>
      <c r="K687" s="10">
        <v>0</v>
      </c>
      <c r="L687" s="10">
        <v>0</v>
      </c>
      <c r="M687" s="10">
        <v>1543.06</v>
      </c>
      <c r="N687" s="8">
        <v>2</v>
      </c>
      <c r="O687" s="6">
        <v>2.7</v>
      </c>
    </row>
    <row r="688" spans="1:15" x14ac:dyDescent="0.25">
      <c r="A688" s="8">
        <v>66244</v>
      </c>
      <c r="B688" s="9" t="s">
        <v>39</v>
      </c>
      <c r="C688" s="9" t="s">
        <v>52</v>
      </c>
      <c r="D688" s="9" t="s">
        <v>7</v>
      </c>
      <c r="E688" s="9" t="s">
        <v>8</v>
      </c>
      <c r="F688" s="9" t="str">
        <f t="shared" si="10"/>
        <v>Not Delivered</v>
      </c>
      <c r="G688" s="9" t="b">
        <v>1</v>
      </c>
      <c r="H688" s="9" t="s">
        <v>33</v>
      </c>
      <c r="I688" s="8">
        <v>1430</v>
      </c>
      <c r="J688" s="10">
        <v>1189.52</v>
      </c>
      <c r="K688" s="10">
        <v>122</v>
      </c>
      <c r="L688" s="10">
        <v>75.239999999999995</v>
      </c>
      <c r="M688" s="10">
        <v>1386.76</v>
      </c>
      <c r="N688" s="8">
        <v>8</v>
      </c>
      <c r="O688" s="6">
        <v>3.7</v>
      </c>
    </row>
    <row r="689" spans="1:15" x14ac:dyDescent="0.25">
      <c r="A689" s="8">
        <v>89822</v>
      </c>
      <c r="B689" s="9" t="s">
        <v>5</v>
      </c>
      <c r="C689" s="9" t="s">
        <v>59</v>
      </c>
      <c r="D689" s="9" t="s">
        <v>45</v>
      </c>
      <c r="E689" s="9" t="s">
        <v>8</v>
      </c>
      <c r="F689" s="9" t="str">
        <f t="shared" si="10"/>
        <v>Not Delivered</v>
      </c>
      <c r="G689" s="9" t="b">
        <v>0</v>
      </c>
      <c r="H689" s="9" t="s">
        <v>33</v>
      </c>
      <c r="I689" s="8">
        <v>5381</v>
      </c>
      <c r="J689" s="10">
        <v>1728.36</v>
      </c>
      <c r="K689" s="10">
        <v>73.28</v>
      </c>
      <c r="L689" s="10">
        <v>0</v>
      </c>
      <c r="M689" s="10">
        <v>1801.64</v>
      </c>
      <c r="N689" s="8">
        <v>6</v>
      </c>
      <c r="O689" s="6">
        <v>4.8</v>
      </c>
    </row>
    <row r="690" spans="1:15" x14ac:dyDescent="0.25">
      <c r="A690" s="8">
        <v>13794</v>
      </c>
      <c r="B690" s="9" t="s">
        <v>0</v>
      </c>
      <c r="C690" s="9" t="s">
        <v>1</v>
      </c>
      <c r="D690" s="9" t="s">
        <v>12</v>
      </c>
      <c r="E690" s="9" t="s">
        <v>32</v>
      </c>
      <c r="F690" s="9" t="str">
        <f t="shared" si="10"/>
        <v>Not Delivered</v>
      </c>
      <c r="G690" s="9" t="b">
        <v>0</v>
      </c>
      <c r="H690" s="9" t="s">
        <v>18</v>
      </c>
      <c r="I690" s="8">
        <v>3955</v>
      </c>
      <c r="J690" s="10">
        <v>1578.82</v>
      </c>
      <c r="K690" s="10">
        <v>107.2</v>
      </c>
      <c r="L690" s="10">
        <v>0</v>
      </c>
      <c r="M690" s="10">
        <v>1686.02</v>
      </c>
      <c r="N690" s="8">
        <v>9</v>
      </c>
      <c r="O690" s="6">
        <v>3.6</v>
      </c>
    </row>
    <row r="691" spans="1:15" x14ac:dyDescent="0.25">
      <c r="A691" s="8">
        <v>45818</v>
      </c>
      <c r="B691" s="9" t="s">
        <v>41</v>
      </c>
      <c r="C691" s="9" t="s">
        <v>47</v>
      </c>
      <c r="D691" s="9" t="s">
        <v>19</v>
      </c>
      <c r="E691" s="9" t="s">
        <v>32</v>
      </c>
      <c r="F691" s="9" t="str">
        <f t="shared" si="10"/>
        <v>Not Delivered</v>
      </c>
      <c r="G691" s="9" t="b">
        <v>1</v>
      </c>
      <c r="H691" s="9" t="s">
        <v>14</v>
      </c>
      <c r="I691" s="8">
        <v>6062</v>
      </c>
      <c r="J691" s="10">
        <v>2406.04</v>
      </c>
      <c r="K691" s="10">
        <v>125.06</v>
      </c>
      <c r="L691" s="10">
        <v>41.46</v>
      </c>
      <c r="M691" s="10">
        <v>2572.56</v>
      </c>
      <c r="N691" s="8">
        <v>9</v>
      </c>
      <c r="O691" s="6">
        <v>1.1000000000000001</v>
      </c>
    </row>
    <row r="692" spans="1:15" x14ac:dyDescent="0.25">
      <c r="A692" s="8">
        <v>54541</v>
      </c>
      <c r="B692" s="9" t="s">
        <v>0</v>
      </c>
      <c r="C692" s="9" t="s">
        <v>43</v>
      </c>
      <c r="D692" s="9" t="s">
        <v>25</v>
      </c>
      <c r="E692" s="9" t="s">
        <v>13</v>
      </c>
      <c r="F692" s="9" t="str">
        <f t="shared" si="10"/>
        <v>Delivered</v>
      </c>
      <c r="G692" s="9" t="b">
        <v>0</v>
      </c>
      <c r="H692" s="9" t="s">
        <v>9</v>
      </c>
      <c r="I692" s="8">
        <v>6751</v>
      </c>
      <c r="J692" s="10">
        <v>882.98</v>
      </c>
      <c r="K692" s="10">
        <v>110.69</v>
      </c>
      <c r="L692" s="10">
        <v>0</v>
      </c>
      <c r="M692" s="10">
        <v>993.67</v>
      </c>
      <c r="N692" s="8">
        <v>10</v>
      </c>
    </row>
    <row r="693" spans="1:15" x14ac:dyDescent="0.25">
      <c r="A693" s="8">
        <v>10800</v>
      </c>
      <c r="B693" s="9" t="s">
        <v>23</v>
      </c>
      <c r="C693" s="9" t="s">
        <v>54</v>
      </c>
      <c r="D693" s="9" t="s">
        <v>12</v>
      </c>
      <c r="E693" s="9" t="s">
        <v>21</v>
      </c>
      <c r="F693" s="9" t="str">
        <f t="shared" si="10"/>
        <v>Not Delivered</v>
      </c>
      <c r="G693" s="9" t="b">
        <v>0</v>
      </c>
      <c r="H693" s="9" t="s">
        <v>28</v>
      </c>
      <c r="I693" s="8">
        <v>3972</v>
      </c>
      <c r="J693" s="10">
        <v>218.56</v>
      </c>
      <c r="K693" s="10">
        <v>64.59</v>
      </c>
      <c r="L693" s="10">
        <v>0</v>
      </c>
      <c r="M693" s="10">
        <v>283.14999999999998</v>
      </c>
      <c r="N693" s="8">
        <v>5</v>
      </c>
    </row>
    <row r="694" spans="1:15" x14ac:dyDescent="0.25">
      <c r="A694" s="8">
        <v>28776</v>
      </c>
      <c r="B694" s="9" t="s">
        <v>10</v>
      </c>
      <c r="C694" s="9" t="s">
        <v>29</v>
      </c>
      <c r="D694" s="9" t="s">
        <v>35</v>
      </c>
      <c r="E694" s="9" t="s">
        <v>32</v>
      </c>
      <c r="F694" s="9" t="str">
        <f t="shared" si="10"/>
        <v>Not Delivered</v>
      </c>
      <c r="G694" s="9" t="b">
        <v>1</v>
      </c>
      <c r="H694" s="9" t="s">
        <v>4</v>
      </c>
      <c r="I694" s="8">
        <v>7566</v>
      </c>
      <c r="J694" s="10">
        <v>447.07</v>
      </c>
      <c r="K694" s="10">
        <v>82.62</v>
      </c>
      <c r="L694" s="10">
        <v>195.22</v>
      </c>
      <c r="M694" s="10">
        <v>724.91</v>
      </c>
      <c r="N694" s="8">
        <v>11</v>
      </c>
      <c r="O694" s="6">
        <v>3.5</v>
      </c>
    </row>
    <row r="695" spans="1:15" x14ac:dyDescent="0.25">
      <c r="A695" s="8">
        <v>19120</v>
      </c>
      <c r="B695" s="9" t="s">
        <v>0</v>
      </c>
      <c r="C695" s="9" t="s">
        <v>1</v>
      </c>
      <c r="D695" s="9" t="s">
        <v>12</v>
      </c>
      <c r="E695" s="9" t="s">
        <v>17</v>
      </c>
      <c r="F695" s="9" t="str">
        <f t="shared" si="10"/>
        <v>Not Delivered</v>
      </c>
      <c r="G695" s="9" t="b">
        <v>1</v>
      </c>
      <c r="H695" s="9" t="s">
        <v>28</v>
      </c>
      <c r="I695" s="8">
        <v>3324</v>
      </c>
      <c r="J695" s="10">
        <v>641.74</v>
      </c>
      <c r="K695" s="10">
        <v>0</v>
      </c>
      <c r="L695" s="10">
        <v>283.95</v>
      </c>
      <c r="M695" s="10">
        <v>925.69</v>
      </c>
      <c r="N695" s="8">
        <v>5</v>
      </c>
      <c r="O695" s="6">
        <v>4.3</v>
      </c>
    </row>
    <row r="696" spans="1:15" x14ac:dyDescent="0.25">
      <c r="A696" s="8">
        <v>92991</v>
      </c>
      <c r="B696" s="9" t="s">
        <v>23</v>
      </c>
      <c r="C696" s="9" t="s">
        <v>34</v>
      </c>
      <c r="D696" s="9" t="s">
        <v>30</v>
      </c>
      <c r="E696" s="9" t="s">
        <v>3</v>
      </c>
      <c r="F696" s="9" t="str">
        <f t="shared" si="10"/>
        <v>Not Delivered</v>
      </c>
      <c r="G696" s="9" t="b">
        <v>0</v>
      </c>
      <c r="H696" s="9" t="s">
        <v>4</v>
      </c>
      <c r="I696" s="8">
        <v>1502</v>
      </c>
      <c r="J696" s="10">
        <v>1820.18</v>
      </c>
      <c r="L696" s="10">
        <v>0</v>
      </c>
      <c r="M696" s="10">
        <v>1945.42</v>
      </c>
      <c r="N696" s="8">
        <v>2</v>
      </c>
      <c r="O696" s="6">
        <v>2.2999999999999998</v>
      </c>
    </row>
    <row r="697" spans="1:15" x14ac:dyDescent="0.25">
      <c r="A697" s="8">
        <v>22026</v>
      </c>
      <c r="B697" s="9" t="s">
        <v>39</v>
      </c>
      <c r="C697" s="9" t="s">
        <v>57</v>
      </c>
      <c r="D697" s="9" t="s">
        <v>30</v>
      </c>
      <c r="E697" s="9" t="s">
        <v>8</v>
      </c>
      <c r="F697" s="9" t="str">
        <f t="shared" si="10"/>
        <v>Not Delivered</v>
      </c>
      <c r="G697" s="9" t="b">
        <v>1</v>
      </c>
      <c r="H697" s="9" t="s">
        <v>14</v>
      </c>
      <c r="I697" s="8">
        <v>9691</v>
      </c>
      <c r="J697" s="10">
        <v>658.64</v>
      </c>
      <c r="K697" s="10">
        <v>0</v>
      </c>
      <c r="L697" s="10">
        <v>155.41</v>
      </c>
      <c r="M697" s="10">
        <v>814.05</v>
      </c>
      <c r="N697" s="8">
        <v>10</v>
      </c>
      <c r="O697" s="6">
        <v>2</v>
      </c>
    </row>
    <row r="698" spans="1:15" x14ac:dyDescent="0.25">
      <c r="A698" s="8">
        <v>38197</v>
      </c>
      <c r="B698" s="9" t="s">
        <v>23</v>
      </c>
      <c r="C698" s="9" t="s">
        <v>49</v>
      </c>
      <c r="D698" s="9" t="s">
        <v>16</v>
      </c>
      <c r="E698" s="9" t="s">
        <v>21</v>
      </c>
      <c r="F698" s="9" t="str">
        <f t="shared" si="10"/>
        <v>Not Delivered</v>
      </c>
      <c r="G698" s="9" t="b">
        <v>1</v>
      </c>
      <c r="H698" s="9" t="s">
        <v>9</v>
      </c>
      <c r="I698" s="8">
        <v>7163</v>
      </c>
      <c r="J698" s="10">
        <v>1769.5</v>
      </c>
      <c r="K698" s="10">
        <v>134.63</v>
      </c>
      <c r="L698" s="10">
        <v>68.67</v>
      </c>
      <c r="M698" s="10">
        <v>1972.8</v>
      </c>
      <c r="N698" s="8">
        <v>3</v>
      </c>
      <c r="O698" s="6">
        <v>3.2</v>
      </c>
    </row>
    <row r="699" spans="1:15" x14ac:dyDescent="0.25">
      <c r="A699" s="8">
        <v>65028</v>
      </c>
      <c r="B699" s="9" t="s">
        <v>5</v>
      </c>
      <c r="C699" s="9" t="s">
        <v>6</v>
      </c>
      <c r="D699" s="9" t="s">
        <v>27</v>
      </c>
      <c r="E699" s="9" t="s">
        <v>3</v>
      </c>
      <c r="F699" s="9" t="str">
        <f t="shared" si="10"/>
        <v>Not Delivered</v>
      </c>
      <c r="G699" s="9" t="b">
        <v>1</v>
      </c>
      <c r="H699" s="9" t="s">
        <v>33</v>
      </c>
      <c r="I699" s="8">
        <v>8432</v>
      </c>
      <c r="J699" s="10">
        <v>2069.08</v>
      </c>
      <c r="K699" s="10">
        <v>112.07</v>
      </c>
      <c r="L699" s="10">
        <v>26.5</v>
      </c>
      <c r="M699" s="10">
        <v>2207.65</v>
      </c>
      <c r="N699" s="8">
        <v>8</v>
      </c>
      <c r="O699" s="6">
        <v>2</v>
      </c>
    </row>
    <row r="700" spans="1:15" x14ac:dyDescent="0.25">
      <c r="A700" s="8">
        <v>54681</v>
      </c>
      <c r="B700" s="9" t="s">
        <v>0</v>
      </c>
      <c r="C700" s="9" t="s">
        <v>53</v>
      </c>
      <c r="D700" s="9" t="s">
        <v>7</v>
      </c>
      <c r="E700" s="9" t="s">
        <v>8</v>
      </c>
      <c r="F700" s="9" t="str">
        <f t="shared" si="10"/>
        <v>Not Delivered</v>
      </c>
      <c r="G700" s="9" t="b">
        <v>1</v>
      </c>
      <c r="H700" s="9" t="s">
        <v>18</v>
      </c>
      <c r="I700" s="8">
        <v>3578</v>
      </c>
      <c r="J700" s="10">
        <v>1115.51</v>
      </c>
      <c r="K700" s="10">
        <v>54.55</v>
      </c>
      <c r="L700" s="10">
        <v>108.97</v>
      </c>
      <c r="M700" s="10">
        <v>1279.03</v>
      </c>
      <c r="N700" s="8">
        <v>12</v>
      </c>
    </row>
    <row r="701" spans="1:15" x14ac:dyDescent="0.25">
      <c r="A701" s="8">
        <v>58503</v>
      </c>
      <c r="B701" s="9" t="s">
        <v>10</v>
      </c>
      <c r="C701" s="9" t="s">
        <v>20</v>
      </c>
      <c r="D701" s="9" t="s">
        <v>45</v>
      </c>
      <c r="E701" s="9" t="s">
        <v>13</v>
      </c>
      <c r="F701" s="9" t="str">
        <f t="shared" si="10"/>
        <v>Delivered</v>
      </c>
      <c r="G701" s="9" t="b">
        <v>0</v>
      </c>
      <c r="H701" s="9" t="s">
        <v>28</v>
      </c>
      <c r="I701" s="8">
        <v>6105</v>
      </c>
      <c r="J701" s="10">
        <v>500.62</v>
      </c>
      <c r="K701" s="10">
        <v>130.21</v>
      </c>
      <c r="L701" s="10">
        <v>0</v>
      </c>
      <c r="M701" s="10">
        <v>630.83000000000004</v>
      </c>
      <c r="N701" s="8">
        <v>11</v>
      </c>
      <c r="O701" s="6">
        <v>4</v>
      </c>
    </row>
    <row r="702" spans="1:15" x14ac:dyDescent="0.25">
      <c r="A702" s="8">
        <v>52517</v>
      </c>
      <c r="B702" s="9" t="s">
        <v>0</v>
      </c>
      <c r="C702" s="9" t="s">
        <v>51</v>
      </c>
      <c r="D702" s="9" t="s">
        <v>25</v>
      </c>
      <c r="E702" s="9" t="s">
        <v>8</v>
      </c>
      <c r="F702" s="9" t="str">
        <f t="shared" si="10"/>
        <v>Not Delivered</v>
      </c>
      <c r="G702" s="9" t="b">
        <v>1</v>
      </c>
      <c r="H702" s="9" t="s">
        <v>28</v>
      </c>
      <c r="I702" s="8">
        <v>2391</v>
      </c>
      <c r="J702" s="10">
        <v>713.69</v>
      </c>
      <c r="K702" s="10">
        <v>109.95</v>
      </c>
      <c r="L702" s="10">
        <v>82.32</v>
      </c>
      <c r="M702" s="10">
        <v>905.96</v>
      </c>
      <c r="N702" s="8">
        <v>1</v>
      </c>
      <c r="O702" s="6">
        <v>1</v>
      </c>
    </row>
    <row r="703" spans="1:15" x14ac:dyDescent="0.25">
      <c r="A703" s="8">
        <v>16895</v>
      </c>
      <c r="B703" s="9" t="s">
        <v>39</v>
      </c>
      <c r="C703" s="9" t="s">
        <v>55</v>
      </c>
      <c r="D703" s="9" t="s">
        <v>12</v>
      </c>
      <c r="E703" s="9" t="s">
        <v>13</v>
      </c>
      <c r="F703" s="9" t="str">
        <f t="shared" si="10"/>
        <v>Delivered</v>
      </c>
      <c r="G703" s="9" t="b">
        <v>1</v>
      </c>
      <c r="H703" s="9" t="s">
        <v>14</v>
      </c>
      <c r="I703" s="8">
        <v>3549</v>
      </c>
      <c r="J703" s="10">
        <v>1351.28</v>
      </c>
      <c r="K703" s="10">
        <v>126.25</v>
      </c>
      <c r="L703" s="10">
        <v>38.47</v>
      </c>
      <c r="M703" s="10">
        <v>1516</v>
      </c>
      <c r="N703" s="8">
        <v>14</v>
      </c>
      <c r="O703" s="6">
        <v>2.8</v>
      </c>
    </row>
    <row r="704" spans="1:15" x14ac:dyDescent="0.25">
      <c r="A704" s="8">
        <v>30632</v>
      </c>
      <c r="B704" s="9" t="s">
        <v>39</v>
      </c>
      <c r="C704" s="9" t="s">
        <v>55</v>
      </c>
      <c r="D704" s="9" t="s">
        <v>25</v>
      </c>
      <c r="E704" s="9" t="s">
        <v>13</v>
      </c>
      <c r="F704" s="9" t="str">
        <f t="shared" si="10"/>
        <v>Delivered</v>
      </c>
      <c r="G704" s="9" t="b">
        <v>1</v>
      </c>
      <c r="H704" s="9" t="s">
        <v>22</v>
      </c>
      <c r="I704" s="8">
        <v>1815</v>
      </c>
      <c r="J704" s="10">
        <v>588.30999999999995</v>
      </c>
      <c r="K704" s="10">
        <v>0</v>
      </c>
      <c r="L704" s="10">
        <v>36.57</v>
      </c>
      <c r="M704" s="10">
        <v>624.88</v>
      </c>
      <c r="N704" s="8">
        <v>4</v>
      </c>
      <c r="O704" s="6">
        <v>1.9</v>
      </c>
    </row>
    <row r="705" spans="1:15" x14ac:dyDescent="0.25">
      <c r="A705" s="8">
        <v>98338</v>
      </c>
      <c r="B705" s="9" t="s">
        <v>0</v>
      </c>
      <c r="C705" s="9" t="s">
        <v>51</v>
      </c>
      <c r="D705" s="9" t="s">
        <v>45</v>
      </c>
      <c r="E705" s="9" t="s">
        <v>13</v>
      </c>
      <c r="F705" s="9" t="str">
        <f t="shared" si="10"/>
        <v>Delivered</v>
      </c>
      <c r="G705" s="9" t="b">
        <v>0</v>
      </c>
      <c r="H705" s="9" t="s">
        <v>4</v>
      </c>
      <c r="I705" s="8">
        <v>2336</v>
      </c>
      <c r="J705" s="10">
        <v>465.99</v>
      </c>
      <c r="K705" s="10">
        <v>86.22</v>
      </c>
      <c r="L705" s="10">
        <v>0</v>
      </c>
      <c r="M705" s="10">
        <v>552.21</v>
      </c>
      <c r="N705" s="8">
        <v>13</v>
      </c>
      <c r="O705" s="6">
        <v>1.9</v>
      </c>
    </row>
    <row r="706" spans="1:15" x14ac:dyDescent="0.25">
      <c r="A706" s="8">
        <v>45665</v>
      </c>
      <c r="B706" s="9" t="s">
        <v>10</v>
      </c>
      <c r="C706" s="9" t="s">
        <v>20</v>
      </c>
      <c r="D706" s="9" t="s">
        <v>30</v>
      </c>
      <c r="E706" s="9" t="s">
        <v>32</v>
      </c>
      <c r="F706" s="9" t="str">
        <f t="shared" si="10"/>
        <v>Not Delivered</v>
      </c>
      <c r="G706" s="9" t="b">
        <v>1</v>
      </c>
      <c r="H706" s="9" t="s">
        <v>22</v>
      </c>
      <c r="I706" s="8">
        <v>8259</v>
      </c>
      <c r="J706" s="10">
        <v>1818.56</v>
      </c>
      <c r="K706" s="10">
        <v>70.91</v>
      </c>
      <c r="L706" s="10">
        <v>166.64</v>
      </c>
      <c r="M706" s="10">
        <v>2056.11</v>
      </c>
      <c r="N706" s="8">
        <v>5</v>
      </c>
      <c r="O706" s="6">
        <v>3</v>
      </c>
    </row>
    <row r="707" spans="1:15" x14ac:dyDescent="0.25">
      <c r="A707" s="8">
        <v>96761</v>
      </c>
      <c r="B707" s="9" t="s">
        <v>0</v>
      </c>
      <c r="C707" s="9" t="s">
        <v>43</v>
      </c>
      <c r="D707" s="9" t="s">
        <v>38</v>
      </c>
      <c r="E707" s="9" t="s">
        <v>13</v>
      </c>
      <c r="F707" s="9" t="str">
        <f t="shared" ref="F707:F770" si="11">IF(OR(
E707="Failed Delivery",
E707="Cancelled",
E707="Pending",
E707="Rescheduled",
E707="In Transit"
),"Not Delivered","Delivered")</f>
        <v>Delivered</v>
      </c>
      <c r="G707" s="9" t="b">
        <v>1</v>
      </c>
      <c r="H707" s="9" t="s">
        <v>28</v>
      </c>
      <c r="I707" s="8">
        <v>7947</v>
      </c>
      <c r="J707" s="10">
        <v>1259.0899999999999</v>
      </c>
      <c r="K707" s="10">
        <v>67.55</v>
      </c>
      <c r="L707" s="10">
        <v>28.19</v>
      </c>
      <c r="M707" s="10">
        <v>1354.83</v>
      </c>
      <c r="N707" s="8">
        <v>10</v>
      </c>
      <c r="O707" s="6">
        <v>4.5</v>
      </c>
    </row>
    <row r="708" spans="1:15" x14ac:dyDescent="0.25">
      <c r="A708" s="8">
        <v>73656</v>
      </c>
      <c r="B708" s="9" t="s">
        <v>0</v>
      </c>
      <c r="C708" s="9" t="s">
        <v>1</v>
      </c>
      <c r="D708" s="9" t="s">
        <v>16</v>
      </c>
      <c r="E708" s="9" t="s">
        <v>8</v>
      </c>
      <c r="F708" s="9" t="str">
        <f t="shared" si="11"/>
        <v>Not Delivered</v>
      </c>
      <c r="G708" s="9" t="b">
        <v>0</v>
      </c>
      <c r="H708" s="9" t="s">
        <v>22</v>
      </c>
      <c r="I708" s="8">
        <v>8242</v>
      </c>
      <c r="J708" s="10">
        <v>1786.72</v>
      </c>
      <c r="K708" s="10">
        <v>103.29</v>
      </c>
      <c r="L708" s="10">
        <v>0</v>
      </c>
      <c r="M708" s="10">
        <v>1890.01</v>
      </c>
      <c r="N708" s="8">
        <v>11</v>
      </c>
      <c r="O708" s="6">
        <v>2.8</v>
      </c>
    </row>
    <row r="709" spans="1:15" x14ac:dyDescent="0.25">
      <c r="A709" s="8">
        <v>64287</v>
      </c>
      <c r="B709" s="9" t="s">
        <v>0</v>
      </c>
      <c r="C709" s="9" t="s">
        <v>1</v>
      </c>
      <c r="D709" s="9" t="s">
        <v>30</v>
      </c>
      <c r="E709" s="9" t="s">
        <v>3</v>
      </c>
      <c r="F709" s="9" t="str">
        <f t="shared" si="11"/>
        <v>Not Delivered</v>
      </c>
      <c r="G709" s="9" t="b">
        <v>0</v>
      </c>
      <c r="H709" s="9" t="s">
        <v>9</v>
      </c>
      <c r="I709" s="8">
        <v>5475</v>
      </c>
      <c r="J709" s="10">
        <v>1558.87</v>
      </c>
      <c r="K709" s="10">
        <v>134.43</v>
      </c>
      <c r="L709" s="10">
        <v>0</v>
      </c>
      <c r="M709" s="10">
        <v>1693.3</v>
      </c>
      <c r="N709" s="8">
        <v>5</v>
      </c>
    </row>
    <row r="710" spans="1:15" x14ac:dyDescent="0.25">
      <c r="A710" s="8">
        <v>38255</v>
      </c>
      <c r="B710" s="9" t="s">
        <v>10</v>
      </c>
      <c r="C710" s="9" t="s">
        <v>15</v>
      </c>
      <c r="D710" s="9" t="s">
        <v>16</v>
      </c>
      <c r="E710" s="9" t="s">
        <v>32</v>
      </c>
      <c r="F710" s="9" t="str">
        <f t="shared" si="11"/>
        <v>Not Delivered</v>
      </c>
      <c r="G710" s="9" t="b">
        <v>0</v>
      </c>
      <c r="H710" s="9" t="s">
        <v>33</v>
      </c>
      <c r="I710" s="8">
        <v>9394</v>
      </c>
      <c r="J710" s="10">
        <v>1542.14</v>
      </c>
      <c r="K710" s="10">
        <v>72.45</v>
      </c>
      <c r="L710" s="10">
        <v>0</v>
      </c>
      <c r="M710" s="10">
        <v>1614.59</v>
      </c>
      <c r="N710" s="8">
        <v>7</v>
      </c>
      <c r="O710" s="6">
        <v>2.2999999999999998</v>
      </c>
    </row>
    <row r="711" spans="1:15" x14ac:dyDescent="0.25">
      <c r="A711" s="8">
        <v>24918</v>
      </c>
      <c r="B711" s="9" t="s">
        <v>5</v>
      </c>
      <c r="C711" s="9" t="s">
        <v>59</v>
      </c>
      <c r="D711" s="9" t="s">
        <v>35</v>
      </c>
      <c r="E711" s="9" t="s">
        <v>13</v>
      </c>
      <c r="F711" s="9" t="str">
        <f t="shared" si="11"/>
        <v>Delivered</v>
      </c>
      <c r="G711" s="9" t="b">
        <v>0</v>
      </c>
      <c r="H711" s="9" t="s">
        <v>4</v>
      </c>
      <c r="I711" s="8">
        <v>6655</v>
      </c>
      <c r="J711" s="10">
        <v>2057.65</v>
      </c>
      <c r="K711" s="10">
        <v>72.56</v>
      </c>
      <c r="L711" s="10">
        <v>0</v>
      </c>
      <c r="M711" s="10">
        <v>2130.21</v>
      </c>
      <c r="N711" s="8">
        <v>2</v>
      </c>
      <c r="O711" s="6">
        <v>1.8</v>
      </c>
    </row>
    <row r="712" spans="1:15" x14ac:dyDescent="0.25">
      <c r="A712" s="8">
        <v>66349</v>
      </c>
      <c r="B712" s="9" t="s">
        <v>0</v>
      </c>
      <c r="C712" s="9" t="s">
        <v>1</v>
      </c>
      <c r="D712" s="9" t="s">
        <v>19</v>
      </c>
      <c r="E712" s="9" t="s">
        <v>13</v>
      </c>
      <c r="F712" s="9" t="str">
        <f t="shared" si="11"/>
        <v>Delivered</v>
      </c>
      <c r="G712" s="9" t="b">
        <v>1</v>
      </c>
      <c r="H712" s="9" t="s">
        <v>14</v>
      </c>
      <c r="I712" s="8">
        <v>2816</v>
      </c>
      <c r="J712" s="10">
        <v>195.99</v>
      </c>
      <c r="K712" s="10">
        <v>57.4</v>
      </c>
      <c r="L712" s="10">
        <v>184.05</v>
      </c>
      <c r="M712" s="10">
        <v>437.44</v>
      </c>
      <c r="N712" s="8">
        <v>4</v>
      </c>
    </row>
    <row r="713" spans="1:15" x14ac:dyDescent="0.25">
      <c r="A713" s="8">
        <v>47125</v>
      </c>
      <c r="B713" s="9" t="s">
        <v>5</v>
      </c>
      <c r="C713" s="9" t="s">
        <v>56</v>
      </c>
      <c r="D713" s="9" t="s">
        <v>25</v>
      </c>
      <c r="E713" s="9" t="s">
        <v>17</v>
      </c>
      <c r="F713" s="9" t="str">
        <f t="shared" si="11"/>
        <v>Not Delivered</v>
      </c>
      <c r="G713" s="9" t="b">
        <v>1</v>
      </c>
      <c r="H713" s="9" t="s">
        <v>9</v>
      </c>
      <c r="I713" s="8">
        <v>8972</v>
      </c>
      <c r="J713" s="10">
        <v>1395.25</v>
      </c>
      <c r="K713" s="10">
        <v>0</v>
      </c>
      <c r="L713" s="10">
        <v>264.61</v>
      </c>
      <c r="M713" s="10">
        <v>1659.86</v>
      </c>
      <c r="N713" s="8">
        <v>11</v>
      </c>
      <c r="O713" s="6">
        <v>1.5</v>
      </c>
    </row>
    <row r="714" spans="1:15" x14ac:dyDescent="0.25">
      <c r="A714" s="8">
        <v>79066</v>
      </c>
      <c r="B714" s="9" t="s">
        <v>10</v>
      </c>
      <c r="C714" s="9" t="s">
        <v>26</v>
      </c>
      <c r="D714" s="9" t="s">
        <v>12</v>
      </c>
      <c r="E714" s="9" t="s">
        <v>17</v>
      </c>
      <c r="F714" s="9" t="str">
        <f t="shared" si="11"/>
        <v>Not Delivered</v>
      </c>
      <c r="G714" s="9" t="b">
        <v>0</v>
      </c>
      <c r="H714" s="9" t="s">
        <v>22</v>
      </c>
      <c r="I714" s="8">
        <v>6053</v>
      </c>
      <c r="J714" s="10">
        <v>1587.03</v>
      </c>
      <c r="K714" s="10">
        <v>0</v>
      </c>
      <c r="L714" s="10">
        <v>0</v>
      </c>
      <c r="M714" s="10">
        <v>1587.03</v>
      </c>
      <c r="N714" s="8">
        <v>1</v>
      </c>
      <c r="O714" s="6">
        <v>3.5</v>
      </c>
    </row>
    <row r="715" spans="1:15" x14ac:dyDescent="0.25">
      <c r="A715" s="8">
        <v>15952</v>
      </c>
      <c r="B715" s="9" t="s">
        <v>5</v>
      </c>
      <c r="C715" s="9" t="s">
        <v>59</v>
      </c>
      <c r="D715" s="9" t="s">
        <v>2</v>
      </c>
      <c r="E715" s="9" t="s">
        <v>8</v>
      </c>
      <c r="F715" s="9" t="str">
        <f t="shared" si="11"/>
        <v>Not Delivered</v>
      </c>
      <c r="G715" s="9" t="b">
        <v>0</v>
      </c>
      <c r="H715" s="9" t="s">
        <v>18</v>
      </c>
      <c r="I715" s="8">
        <v>4612</v>
      </c>
      <c r="J715" s="10">
        <v>320.07</v>
      </c>
      <c r="K715" s="10">
        <v>88.74</v>
      </c>
      <c r="L715" s="10">
        <v>0</v>
      </c>
      <c r="M715" s="10">
        <v>408.81</v>
      </c>
      <c r="N715" s="8">
        <v>2</v>
      </c>
      <c r="O715" s="6">
        <v>2.6</v>
      </c>
    </row>
    <row r="716" spans="1:15" x14ac:dyDescent="0.25">
      <c r="A716" s="8">
        <v>61807</v>
      </c>
      <c r="B716" s="9" t="s">
        <v>5</v>
      </c>
      <c r="C716" s="9" t="s">
        <v>44</v>
      </c>
      <c r="D716" s="9" t="s">
        <v>35</v>
      </c>
      <c r="E716" s="9" t="s">
        <v>21</v>
      </c>
      <c r="F716" s="9" t="str">
        <f t="shared" si="11"/>
        <v>Not Delivered</v>
      </c>
      <c r="G716" s="9" t="b">
        <v>1</v>
      </c>
      <c r="H716" s="9" t="s">
        <v>28</v>
      </c>
      <c r="I716" s="8">
        <v>1897</v>
      </c>
      <c r="J716" s="10">
        <v>1083.02</v>
      </c>
      <c r="K716" s="10">
        <v>137.99</v>
      </c>
      <c r="L716" s="10">
        <v>165.09</v>
      </c>
      <c r="M716" s="10">
        <v>1386.1</v>
      </c>
      <c r="N716" s="8">
        <v>11</v>
      </c>
      <c r="O716" s="6">
        <v>2.8</v>
      </c>
    </row>
    <row r="717" spans="1:15" x14ac:dyDescent="0.25">
      <c r="A717" s="8">
        <v>11007</v>
      </c>
      <c r="B717" s="9" t="s">
        <v>5</v>
      </c>
      <c r="C717" s="9" t="s">
        <v>6</v>
      </c>
      <c r="D717" s="9" t="s">
        <v>2</v>
      </c>
      <c r="E717" s="9" t="s">
        <v>3</v>
      </c>
      <c r="F717" s="9" t="str">
        <f t="shared" si="11"/>
        <v>Not Delivered</v>
      </c>
      <c r="G717" s="9" t="b">
        <v>1</v>
      </c>
      <c r="H717" s="9" t="s">
        <v>28</v>
      </c>
      <c r="I717" s="8">
        <v>4349</v>
      </c>
      <c r="J717" s="10">
        <v>228.26</v>
      </c>
      <c r="K717" s="10">
        <v>78.5</v>
      </c>
      <c r="L717" s="10">
        <v>81.87</v>
      </c>
      <c r="M717" s="10">
        <v>388.63</v>
      </c>
      <c r="N717" s="8">
        <v>5</v>
      </c>
      <c r="O717" s="6">
        <v>2.9</v>
      </c>
    </row>
    <row r="718" spans="1:15" x14ac:dyDescent="0.25">
      <c r="A718" s="8">
        <v>49507</v>
      </c>
      <c r="B718" s="9" t="s">
        <v>23</v>
      </c>
      <c r="C718" s="9" t="s">
        <v>24</v>
      </c>
      <c r="D718" s="9" t="s">
        <v>35</v>
      </c>
      <c r="E718" s="9" t="s">
        <v>13</v>
      </c>
      <c r="F718" s="9" t="str">
        <f t="shared" si="11"/>
        <v>Delivered</v>
      </c>
      <c r="G718" s="9" t="b">
        <v>0</v>
      </c>
      <c r="H718" s="9" t="s">
        <v>18</v>
      </c>
      <c r="I718" s="8">
        <v>4460</v>
      </c>
      <c r="J718" s="10">
        <v>2421.52</v>
      </c>
      <c r="K718" s="10">
        <v>0</v>
      </c>
      <c r="L718" s="10">
        <v>0</v>
      </c>
      <c r="M718" s="10">
        <v>2421.52</v>
      </c>
      <c r="N718" s="8">
        <v>10</v>
      </c>
      <c r="O718" s="6">
        <v>4.8</v>
      </c>
    </row>
    <row r="719" spans="1:15" x14ac:dyDescent="0.25">
      <c r="A719" s="8">
        <v>27987</v>
      </c>
      <c r="B719" s="9" t="s">
        <v>41</v>
      </c>
      <c r="C719" s="9" t="s">
        <v>46</v>
      </c>
      <c r="D719" s="9" t="s">
        <v>7</v>
      </c>
      <c r="E719" s="9" t="s">
        <v>17</v>
      </c>
      <c r="F719" s="9" t="str">
        <f t="shared" si="11"/>
        <v>Not Delivered</v>
      </c>
      <c r="G719" s="9" t="b">
        <v>0</v>
      </c>
      <c r="H719" s="9" t="s">
        <v>28</v>
      </c>
      <c r="I719" s="8">
        <v>5186</v>
      </c>
      <c r="J719" s="10">
        <v>624.29999999999995</v>
      </c>
      <c r="K719" s="10">
        <v>84.29</v>
      </c>
      <c r="L719" s="10">
        <v>0</v>
      </c>
      <c r="M719" s="10">
        <v>708.59</v>
      </c>
      <c r="N719" s="8">
        <v>1</v>
      </c>
      <c r="O719" s="6">
        <v>3.6</v>
      </c>
    </row>
    <row r="720" spans="1:15" x14ac:dyDescent="0.25">
      <c r="A720" s="8">
        <v>47938</v>
      </c>
      <c r="B720" s="9" t="s">
        <v>41</v>
      </c>
      <c r="C720" s="9" t="s">
        <v>47</v>
      </c>
      <c r="D720" s="9" t="s">
        <v>38</v>
      </c>
      <c r="E720" s="9" t="s">
        <v>3</v>
      </c>
      <c r="F720" s="9" t="str">
        <f t="shared" si="11"/>
        <v>Not Delivered</v>
      </c>
      <c r="G720" s="9" t="b">
        <v>1</v>
      </c>
      <c r="H720" s="9" t="s">
        <v>18</v>
      </c>
      <c r="I720" s="8">
        <v>6375</v>
      </c>
      <c r="J720" s="10">
        <v>1228.53</v>
      </c>
      <c r="K720" s="10">
        <v>0</v>
      </c>
      <c r="L720" s="10">
        <v>89.26</v>
      </c>
      <c r="M720" s="10">
        <v>1317.79</v>
      </c>
      <c r="N720" s="8">
        <v>6</v>
      </c>
      <c r="O720" s="6">
        <v>2.9</v>
      </c>
    </row>
    <row r="721" spans="1:15" x14ac:dyDescent="0.25">
      <c r="A721" s="8">
        <v>25726</v>
      </c>
      <c r="B721" s="9" t="s">
        <v>0</v>
      </c>
      <c r="C721" s="9" t="s">
        <v>51</v>
      </c>
      <c r="D721" s="9" t="s">
        <v>25</v>
      </c>
      <c r="E721" s="9" t="s">
        <v>3</v>
      </c>
      <c r="F721" s="9" t="str">
        <f t="shared" si="11"/>
        <v>Not Delivered</v>
      </c>
      <c r="G721" s="9" t="b">
        <v>0</v>
      </c>
      <c r="H721" s="9" t="s">
        <v>28</v>
      </c>
      <c r="I721" s="8">
        <v>1126</v>
      </c>
      <c r="J721" s="10">
        <v>1555.81</v>
      </c>
      <c r="K721" s="10">
        <v>83.57</v>
      </c>
      <c r="L721" s="10">
        <v>0</v>
      </c>
      <c r="M721" s="10">
        <v>1639.38</v>
      </c>
      <c r="N721" s="8">
        <v>7</v>
      </c>
      <c r="O721" s="6">
        <v>1.4</v>
      </c>
    </row>
    <row r="722" spans="1:15" x14ac:dyDescent="0.25">
      <c r="A722" s="8">
        <v>75193</v>
      </c>
      <c r="B722" s="9" t="s">
        <v>5</v>
      </c>
      <c r="C722" s="9" t="s">
        <v>31</v>
      </c>
      <c r="D722" s="9" t="s">
        <v>38</v>
      </c>
      <c r="E722" s="9" t="s">
        <v>3</v>
      </c>
      <c r="F722" s="9" t="str">
        <f t="shared" si="11"/>
        <v>Not Delivered</v>
      </c>
      <c r="G722" s="9" t="b">
        <v>1</v>
      </c>
      <c r="H722" s="9" t="s">
        <v>28</v>
      </c>
      <c r="I722" s="8">
        <v>8055</v>
      </c>
      <c r="J722" s="10">
        <v>712.96</v>
      </c>
      <c r="L722" s="10">
        <v>74.040000000000006</v>
      </c>
      <c r="M722" s="10">
        <v>787</v>
      </c>
      <c r="N722" s="8">
        <v>13</v>
      </c>
      <c r="O722" s="6">
        <v>2.2999999999999998</v>
      </c>
    </row>
    <row r="723" spans="1:15" x14ac:dyDescent="0.25">
      <c r="A723" s="8">
        <v>33028</v>
      </c>
      <c r="B723" s="9" t="s">
        <v>39</v>
      </c>
      <c r="C723" s="9" t="s">
        <v>40</v>
      </c>
      <c r="D723" s="9" t="s">
        <v>50</v>
      </c>
      <c r="E723" s="9" t="s">
        <v>3</v>
      </c>
      <c r="F723" s="9" t="str">
        <f t="shared" si="11"/>
        <v>Not Delivered</v>
      </c>
      <c r="G723" s="9" t="b">
        <v>1</v>
      </c>
      <c r="H723" s="9" t="s">
        <v>28</v>
      </c>
      <c r="I723" s="8">
        <v>3116</v>
      </c>
      <c r="J723" s="10">
        <v>1253.04</v>
      </c>
      <c r="K723" s="10">
        <v>0</v>
      </c>
      <c r="L723" s="10">
        <v>33.950000000000003</v>
      </c>
      <c r="M723" s="10">
        <v>1286.99</v>
      </c>
      <c r="N723" s="8">
        <v>9</v>
      </c>
    </row>
    <row r="724" spans="1:15" x14ac:dyDescent="0.25">
      <c r="A724" s="8">
        <v>59834</v>
      </c>
      <c r="B724" s="9" t="s">
        <v>0</v>
      </c>
      <c r="C724" s="9" t="s">
        <v>43</v>
      </c>
      <c r="D724" s="9" t="s">
        <v>35</v>
      </c>
      <c r="E724" s="9" t="s">
        <v>21</v>
      </c>
      <c r="F724" s="9" t="str">
        <f t="shared" si="11"/>
        <v>Not Delivered</v>
      </c>
      <c r="G724" s="9" t="b">
        <v>1</v>
      </c>
      <c r="H724" s="9" t="s">
        <v>28</v>
      </c>
      <c r="I724" s="8">
        <v>9725</v>
      </c>
      <c r="J724" s="10">
        <v>1655.97</v>
      </c>
      <c r="K724" s="10">
        <v>147.53</v>
      </c>
      <c r="L724" s="10">
        <v>64.209999999999994</v>
      </c>
      <c r="M724" s="10">
        <v>1867.71</v>
      </c>
      <c r="N724" s="8">
        <v>4</v>
      </c>
      <c r="O724" s="6">
        <v>3.9</v>
      </c>
    </row>
    <row r="725" spans="1:15" x14ac:dyDescent="0.25">
      <c r="A725" s="8">
        <v>40161</v>
      </c>
      <c r="B725" s="9" t="s">
        <v>23</v>
      </c>
      <c r="C725" s="9" t="s">
        <v>24</v>
      </c>
      <c r="D725" s="9" t="s">
        <v>12</v>
      </c>
      <c r="E725" s="9" t="s">
        <v>13</v>
      </c>
      <c r="F725" s="9" t="str">
        <f t="shared" si="11"/>
        <v>Delivered</v>
      </c>
      <c r="G725" s="9" t="b">
        <v>1</v>
      </c>
      <c r="H725" s="9" t="s">
        <v>28</v>
      </c>
      <c r="I725" s="8">
        <v>9196</v>
      </c>
      <c r="J725" s="10">
        <v>211.25</v>
      </c>
      <c r="K725" s="10">
        <v>88.22</v>
      </c>
      <c r="L725" s="10">
        <v>45.79</v>
      </c>
      <c r="M725" s="10">
        <v>345.26</v>
      </c>
      <c r="N725" s="8">
        <v>3</v>
      </c>
      <c r="O725" s="6">
        <v>4.0999999999999996</v>
      </c>
    </row>
    <row r="726" spans="1:15" x14ac:dyDescent="0.25">
      <c r="A726" s="8">
        <v>83233</v>
      </c>
      <c r="B726" s="9" t="s">
        <v>10</v>
      </c>
      <c r="C726" s="9" t="s">
        <v>20</v>
      </c>
      <c r="D726" s="9" t="s">
        <v>7</v>
      </c>
      <c r="E726" s="9" t="s">
        <v>32</v>
      </c>
      <c r="F726" s="9" t="str">
        <f t="shared" si="11"/>
        <v>Not Delivered</v>
      </c>
      <c r="G726" s="9" t="b">
        <v>0</v>
      </c>
      <c r="H726" s="9" t="s">
        <v>14</v>
      </c>
      <c r="I726" s="8">
        <v>6802</v>
      </c>
      <c r="J726" s="10">
        <v>556.28</v>
      </c>
      <c r="K726" s="10">
        <v>116.09</v>
      </c>
      <c r="L726" s="10">
        <v>0</v>
      </c>
      <c r="M726" s="10">
        <v>672.37</v>
      </c>
      <c r="N726" s="8">
        <v>12</v>
      </c>
    </row>
    <row r="727" spans="1:15" x14ac:dyDescent="0.25">
      <c r="A727" s="8">
        <v>19447</v>
      </c>
      <c r="B727" s="9" t="s">
        <v>23</v>
      </c>
      <c r="C727" s="9" t="s">
        <v>24</v>
      </c>
      <c r="D727" s="9" t="s">
        <v>2</v>
      </c>
      <c r="E727" s="9" t="s">
        <v>21</v>
      </c>
      <c r="F727" s="9" t="str">
        <f t="shared" si="11"/>
        <v>Not Delivered</v>
      </c>
      <c r="G727" s="9" t="b">
        <v>0</v>
      </c>
      <c r="H727" s="9" t="s">
        <v>28</v>
      </c>
      <c r="I727" s="8">
        <v>7505</v>
      </c>
      <c r="J727" s="10">
        <v>1667.78</v>
      </c>
      <c r="K727" s="10">
        <v>81.8</v>
      </c>
      <c r="L727" s="10">
        <v>0</v>
      </c>
      <c r="M727" s="10">
        <v>1749.58</v>
      </c>
      <c r="N727" s="8">
        <v>11</v>
      </c>
      <c r="O727" s="6">
        <v>1.2</v>
      </c>
    </row>
    <row r="728" spans="1:15" x14ac:dyDescent="0.25">
      <c r="A728" s="8">
        <v>15544</v>
      </c>
      <c r="B728" s="9" t="s">
        <v>41</v>
      </c>
      <c r="C728" s="9" t="s">
        <v>61</v>
      </c>
      <c r="D728" s="9" t="s">
        <v>30</v>
      </c>
      <c r="E728" s="9" t="s">
        <v>21</v>
      </c>
      <c r="F728" s="9" t="str">
        <f t="shared" si="11"/>
        <v>Not Delivered</v>
      </c>
      <c r="G728" s="9" t="b">
        <v>0</v>
      </c>
      <c r="H728" s="9" t="s">
        <v>9</v>
      </c>
      <c r="I728" s="8">
        <v>8147</v>
      </c>
      <c r="J728" s="10">
        <v>2037.09</v>
      </c>
      <c r="K728" s="10">
        <v>55.33</v>
      </c>
      <c r="L728" s="10">
        <v>0</v>
      </c>
      <c r="M728" s="10">
        <v>2092.42</v>
      </c>
      <c r="N728" s="8">
        <v>14</v>
      </c>
    </row>
    <row r="729" spans="1:15" x14ac:dyDescent="0.25">
      <c r="A729" s="8">
        <v>12456</v>
      </c>
      <c r="B729" s="9" t="s">
        <v>23</v>
      </c>
      <c r="C729" s="9" t="s">
        <v>48</v>
      </c>
      <c r="D729" s="9" t="s">
        <v>35</v>
      </c>
      <c r="E729" s="9" t="s">
        <v>3</v>
      </c>
      <c r="F729" s="9" t="str">
        <f t="shared" si="11"/>
        <v>Not Delivered</v>
      </c>
      <c r="G729" s="9" t="b">
        <v>1</v>
      </c>
      <c r="H729" s="9" t="s">
        <v>18</v>
      </c>
      <c r="I729" s="8">
        <v>8532</v>
      </c>
      <c r="J729" s="10">
        <v>382.01</v>
      </c>
      <c r="K729" s="10">
        <v>60.3</v>
      </c>
      <c r="L729" s="10">
        <v>75.430000000000007</v>
      </c>
      <c r="M729" s="10">
        <v>517.74</v>
      </c>
      <c r="N729" s="8">
        <v>13</v>
      </c>
      <c r="O729" s="6">
        <v>4</v>
      </c>
    </row>
    <row r="730" spans="1:15" x14ac:dyDescent="0.25">
      <c r="A730" s="8">
        <v>20205</v>
      </c>
      <c r="B730" s="9" t="s">
        <v>39</v>
      </c>
      <c r="C730" s="9" t="s">
        <v>40</v>
      </c>
      <c r="D730" s="9" t="s">
        <v>2</v>
      </c>
      <c r="E730" s="9" t="s">
        <v>8</v>
      </c>
      <c r="F730" s="9" t="str">
        <f t="shared" si="11"/>
        <v>Not Delivered</v>
      </c>
      <c r="G730" s="9" t="b">
        <v>0</v>
      </c>
      <c r="H730" s="9" t="s">
        <v>4</v>
      </c>
      <c r="I730" s="8">
        <v>6129</v>
      </c>
      <c r="J730" s="10">
        <v>536.99</v>
      </c>
      <c r="K730" s="10">
        <v>119.45</v>
      </c>
      <c r="L730" s="10">
        <v>0</v>
      </c>
      <c r="M730" s="10">
        <v>656.44</v>
      </c>
      <c r="N730" s="8">
        <v>8</v>
      </c>
      <c r="O730" s="6">
        <v>2.6</v>
      </c>
    </row>
    <row r="731" spans="1:15" x14ac:dyDescent="0.25">
      <c r="A731" s="8">
        <v>85465</v>
      </c>
      <c r="B731" s="9" t="s">
        <v>23</v>
      </c>
      <c r="C731" s="9" t="s">
        <v>24</v>
      </c>
      <c r="D731" s="9" t="s">
        <v>35</v>
      </c>
      <c r="E731" s="9" t="s">
        <v>13</v>
      </c>
      <c r="F731" s="9" t="str">
        <f t="shared" si="11"/>
        <v>Delivered</v>
      </c>
      <c r="G731" s="9" t="b">
        <v>1</v>
      </c>
      <c r="H731" s="9" t="s">
        <v>18</v>
      </c>
      <c r="I731" s="8">
        <v>8033</v>
      </c>
      <c r="J731" s="10">
        <v>2700.42</v>
      </c>
      <c r="K731" s="10">
        <v>73.44</v>
      </c>
      <c r="L731" s="10">
        <v>142.5</v>
      </c>
      <c r="M731" s="10">
        <v>2916.36</v>
      </c>
      <c r="N731" s="8">
        <v>7</v>
      </c>
      <c r="O731" s="6">
        <v>4.7</v>
      </c>
    </row>
    <row r="732" spans="1:15" x14ac:dyDescent="0.25">
      <c r="A732" s="8">
        <v>85156</v>
      </c>
      <c r="B732" s="9" t="s">
        <v>5</v>
      </c>
      <c r="C732" s="9" t="s">
        <v>36</v>
      </c>
      <c r="D732" s="9" t="s">
        <v>2</v>
      </c>
      <c r="E732" s="9" t="s">
        <v>13</v>
      </c>
      <c r="F732" s="9" t="str">
        <f t="shared" si="11"/>
        <v>Delivered</v>
      </c>
      <c r="G732" s="9" t="b">
        <v>0</v>
      </c>
      <c r="H732" s="9" t="s">
        <v>9</v>
      </c>
      <c r="I732" s="8">
        <v>7626</v>
      </c>
      <c r="J732" s="10">
        <v>1928.73</v>
      </c>
      <c r="K732" s="10">
        <v>0</v>
      </c>
      <c r="L732" s="10">
        <v>0</v>
      </c>
      <c r="M732" s="10">
        <v>1928.73</v>
      </c>
      <c r="N732" s="8">
        <v>4</v>
      </c>
      <c r="O732" s="6">
        <v>2.9</v>
      </c>
    </row>
    <row r="733" spans="1:15" x14ac:dyDescent="0.25">
      <c r="A733" s="8">
        <v>93904</v>
      </c>
      <c r="B733" s="9" t="s">
        <v>39</v>
      </c>
      <c r="C733" s="9" t="s">
        <v>58</v>
      </c>
      <c r="D733" s="9" t="s">
        <v>45</v>
      </c>
      <c r="E733" s="9" t="s">
        <v>32</v>
      </c>
      <c r="F733" s="9" t="str">
        <f t="shared" si="11"/>
        <v>Not Delivered</v>
      </c>
      <c r="G733" s="9" t="b">
        <v>0</v>
      </c>
      <c r="H733" s="9" t="s">
        <v>33</v>
      </c>
      <c r="I733" s="8">
        <v>7843</v>
      </c>
      <c r="J733" s="10">
        <v>694.16</v>
      </c>
      <c r="K733" s="10">
        <v>99.75</v>
      </c>
      <c r="L733" s="10">
        <v>0</v>
      </c>
      <c r="M733" s="10">
        <v>793.91</v>
      </c>
      <c r="N733" s="8">
        <v>7</v>
      </c>
    </row>
    <row r="734" spans="1:15" x14ac:dyDescent="0.25">
      <c r="A734" s="8">
        <v>47947</v>
      </c>
      <c r="B734" s="9" t="s">
        <v>0</v>
      </c>
      <c r="C734" s="9" t="s">
        <v>1</v>
      </c>
      <c r="D734" s="9" t="s">
        <v>35</v>
      </c>
      <c r="E734" s="9" t="s">
        <v>17</v>
      </c>
      <c r="F734" s="9" t="str">
        <f t="shared" si="11"/>
        <v>Not Delivered</v>
      </c>
      <c r="G734" s="9" t="b">
        <v>1</v>
      </c>
      <c r="H734" s="9" t="s">
        <v>18</v>
      </c>
      <c r="I734" s="8">
        <v>2887</v>
      </c>
      <c r="J734" s="10">
        <v>742.5</v>
      </c>
      <c r="K734" s="10">
        <v>0</v>
      </c>
      <c r="L734" s="10">
        <v>192.66</v>
      </c>
      <c r="M734" s="10">
        <v>935.16</v>
      </c>
      <c r="N734" s="8">
        <v>2</v>
      </c>
    </row>
    <row r="735" spans="1:15" x14ac:dyDescent="0.25">
      <c r="A735" s="8">
        <v>63088</v>
      </c>
      <c r="B735" s="9" t="s">
        <v>23</v>
      </c>
      <c r="C735" s="9" t="s">
        <v>49</v>
      </c>
      <c r="D735" s="9" t="s">
        <v>38</v>
      </c>
      <c r="E735" s="9" t="s">
        <v>8</v>
      </c>
      <c r="F735" s="9" t="str">
        <f t="shared" si="11"/>
        <v>Not Delivered</v>
      </c>
      <c r="G735" s="9" t="b">
        <v>0</v>
      </c>
      <c r="H735" s="9" t="s">
        <v>18</v>
      </c>
      <c r="I735" s="8">
        <v>1341</v>
      </c>
      <c r="J735" s="10">
        <v>710.44</v>
      </c>
      <c r="K735" s="10">
        <v>80.27</v>
      </c>
      <c r="L735" s="10">
        <v>0</v>
      </c>
      <c r="M735" s="10">
        <v>790.71</v>
      </c>
      <c r="N735" s="8">
        <v>4</v>
      </c>
      <c r="O735" s="6">
        <v>5</v>
      </c>
    </row>
    <row r="736" spans="1:15" x14ac:dyDescent="0.25">
      <c r="A736" s="8">
        <v>52568</v>
      </c>
      <c r="B736" s="9" t="s">
        <v>10</v>
      </c>
      <c r="C736" s="9" t="s">
        <v>26</v>
      </c>
      <c r="D736" s="9" t="s">
        <v>2</v>
      </c>
      <c r="E736" s="9" t="s">
        <v>8</v>
      </c>
      <c r="F736" s="9" t="str">
        <f t="shared" si="11"/>
        <v>Not Delivered</v>
      </c>
      <c r="G736" s="9" t="b">
        <v>0</v>
      </c>
      <c r="H736" s="9" t="s">
        <v>4</v>
      </c>
      <c r="I736" s="8">
        <v>3815</v>
      </c>
      <c r="J736" s="10">
        <v>1563.14</v>
      </c>
      <c r="K736" s="10">
        <v>0</v>
      </c>
      <c r="L736" s="10">
        <v>0</v>
      </c>
      <c r="M736" s="10">
        <v>1563.14</v>
      </c>
      <c r="N736" s="8">
        <v>13</v>
      </c>
      <c r="O736" s="6">
        <v>4.8</v>
      </c>
    </row>
    <row r="737" spans="1:15" x14ac:dyDescent="0.25">
      <c r="A737" s="8">
        <v>91018</v>
      </c>
      <c r="B737" s="9" t="s">
        <v>39</v>
      </c>
      <c r="C737" s="9" t="s">
        <v>55</v>
      </c>
      <c r="D737" s="9" t="s">
        <v>30</v>
      </c>
      <c r="E737" s="9" t="s">
        <v>3</v>
      </c>
      <c r="F737" s="9" t="str">
        <f t="shared" si="11"/>
        <v>Not Delivered</v>
      </c>
      <c r="G737" s="9" t="b">
        <v>1</v>
      </c>
      <c r="H737" s="9" t="s">
        <v>22</v>
      </c>
      <c r="I737" s="8">
        <v>8538</v>
      </c>
      <c r="J737" s="10">
        <v>1484.77</v>
      </c>
      <c r="K737" s="10">
        <v>136.55000000000001</v>
      </c>
      <c r="L737" s="10">
        <v>86.17</v>
      </c>
      <c r="M737" s="10">
        <v>1707.49</v>
      </c>
      <c r="N737" s="8">
        <v>4</v>
      </c>
      <c r="O737" s="6">
        <v>3.1</v>
      </c>
    </row>
    <row r="738" spans="1:15" x14ac:dyDescent="0.25">
      <c r="A738" s="8">
        <v>57428</v>
      </c>
      <c r="B738" s="9" t="s">
        <v>39</v>
      </c>
      <c r="C738" s="9" t="s">
        <v>52</v>
      </c>
      <c r="D738" s="9" t="s">
        <v>25</v>
      </c>
      <c r="E738" s="9" t="s">
        <v>13</v>
      </c>
      <c r="F738" s="9" t="str">
        <f t="shared" si="11"/>
        <v>Delivered</v>
      </c>
      <c r="G738" s="9" t="b">
        <v>0</v>
      </c>
      <c r="H738" s="9" t="s">
        <v>28</v>
      </c>
      <c r="I738" s="8">
        <v>2443</v>
      </c>
      <c r="J738" s="10">
        <v>1204.52</v>
      </c>
      <c r="K738" s="10">
        <v>68.78</v>
      </c>
      <c r="L738" s="10">
        <v>0</v>
      </c>
      <c r="M738" s="10">
        <v>1273.3</v>
      </c>
      <c r="N738" s="8">
        <v>4</v>
      </c>
      <c r="O738" s="6">
        <v>4.4000000000000004</v>
      </c>
    </row>
    <row r="739" spans="1:15" x14ac:dyDescent="0.25">
      <c r="A739" s="8">
        <v>67240</v>
      </c>
      <c r="B739" s="9" t="s">
        <v>41</v>
      </c>
      <c r="C739" s="9" t="s">
        <v>46</v>
      </c>
      <c r="D739" s="9" t="s">
        <v>16</v>
      </c>
      <c r="E739" s="9" t="s">
        <v>8</v>
      </c>
      <c r="F739" s="9" t="str">
        <f t="shared" si="11"/>
        <v>Not Delivered</v>
      </c>
      <c r="G739" s="9" t="b">
        <v>0</v>
      </c>
      <c r="H739" s="9" t="s">
        <v>18</v>
      </c>
      <c r="I739" s="8">
        <v>2734</v>
      </c>
      <c r="J739" s="10">
        <v>972.26</v>
      </c>
      <c r="K739" s="10">
        <v>99.98</v>
      </c>
      <c r="L739" s="10">
        <v>0</v>
      </c>
      <c r="M739" s="10">
        <v>1072.24</v>
      </c>
      <c r="N739" s="8">
        <v>6</v>
      </c>
      <c r="O739" s="6">
        <v>2.7</v>
      </c>
    </row>
    <row r="740" spans="1:15" x14ac:dyDescent="0.25">
      <c r="A740" s="8">
        <v>41891</v>
      </c>
      <c r="B740" s="9" t="s">
        <v>10</v>
      </c>
      <c r="C740" s="9" t="s">
        <v>11</v>
      </c>
      <c r="D740" s="9" t="s">
        <v>2</v>
      </c>
      <c r="E740" s="9" t="s">
        <v>21</v>
      </c>
      <c r="F740" s="9" t="str">
        <f t="shared" si="11"/>
        <v>Not Delivered</v>
      </c>
      <c r="G740" s="9" t="b">
        <v>1</v>
      </c>
      <c r="H740" s="9" t="s">
        <v>14</v>
      </c>
      <c r="I740" s="8">
        <v>8138</v>
      </c>
      <c r="J740" s="10">
        <v>1215.21</v>
      </c>
      <c r="K740" s="10">
        <v>53.22</v>
      </c>
      <c r="L740" s="10">
        <v>98.86</v>
      </c>
      <c r="M740" s="10">
        <v>1367.29</v>
      </c>
      <c r="N740" s="8">
        <v>6</v>
      </c>
      <c r="O740" s="6">
        <v>4.2</v>
      </c>
    </row>
    <row r="741" spans="1:15" x14ac:dyDescent="0.25">
      <c r="A741" s="8">
        <v>87184</v>
      </c>
      <c r="B741" s="9" t="s">
        <v>39</v>
      </c>
      <c r="C741" s="9" t="s">
        <v>58</v>
      </c>
      <c r="D741" s="9" t="s">
        <v>45</v>
      </c>
      <c r="E741" s="9" t="s">
        <v>8</v>
      </c>
      <c r="F741" s="9" t="str">
        <f t="shared" si="11"/>
        <v>Not Delivered</v>
      </c>
      <c r="G741" s="9" t="b">
        <v>0</v>
      </c>
      <c r="H741" s="9" t="s">
        <v>33</v>
      </c>
      <c r="I741" s="8">
        <v>7560</v>
      </c>
      <c r="J741" s="10">
        <v>369.97</v>
      </c>
      <c r="K741" s="10">
        <v>54.3</v>
      </c>
      <c r="L741" s="10">
        <v>0</v>
      </c>
      <c r="M741" s="10">
        <v>424.27</v>
      </c>
      <c r="N741" s="8">
        <v>4</v>
      </c>
      <c r="O741" s="6">
        <v>2.2999999999999998</v>
      </c>
    </row>
    <row r="742" spans="1:15" x14ac:dyDescent="0.25">
      <c r="A742" s="8">
        <v>78676</v>
      </c>
      <c r="B742" s="9" t="s">
        <v>5</v>
      </c>
      <c r="C742" s="9" t="s">
        <v>36</v>
      </c>
      <c r="D742" s="9" t="s">
        <v>16</v>
      </c>
      <c r="E742" s="9" t="s">
        <v>13</v>
      </c>
      <c r="F742" s="9" t="str">
        <f t="shared" si="11"/>
        <v>Delivered</v>
      </c>
      <c r="G742" s="9" t="b">
        <v>1</v>
      </c>
      <c r="H742" s="9" t="s">
        <v>28</v>
      </c>
      <c r="I742" s="8">
        <v>2288</v>
      </c>
      <c r="J742" s="10">
        <v>439.92</v>
      </c>
      <c r="K742" s="10">
        <v>66.47</v>
      </c>
      <c r="M742" s="10">
        <v>660.42</v>
      </c>
      <c r="N742" s="8">
        <v>4</v>
      </c>
    </row>
    <row r="743" spans="1:15" x14ac:dyDescent="0.25">
      <c r="A743" s="8">
        <v>61873</v>
      </c>
      <c r="B743" s="9" t="s">
        <v>23</v>
      </c>
      <c r="C743" s="9" t="s">
        <v>49</v>
      </c>
      <c r="D743" s="9" t="s">
        <v>16</v>
      </c>
      <c r="E743" s="9" t="s">
        <v>32</v>
      </c>
      <c r="F743" s="9" t="str">
        <f t="shared" si="11"/>
        <v>Not Delivered</v>
      </c>
      <c r="G743" s="9" t="b">
        <v>1</v>
      </c>
      <c r="H743" s="9" t="s">
        <v>4</v>
      </c>
      <c r="I743" s="8">
        <v>6083</v>
      </c>
      <c r="J743" s="10">
        <v>2029.77</v>
      </c>
      <c r="K743" s="10">
        <v>0</v>
      </c>
      <c r="L743" s="10">
        <v>151.85</v>
      </c>
      <c r="M743" s="10">
        <v>2181.62</v>
      </c>
      <c r="N743" s="8">
        <v>3</v>
      </c>
      <c r="O743" s="6">
        <v>4.5999999999999996</v>
      </c>
    </row>
    <row r="744" spans="1:15" x14ac:dyDescent="0.25">
      <c r="A744" s="8">
        <v>54500</v>
      </c>
      <c r="B744" s="9" t="s">
        <v>23</v>
      </c>
      <c r="C744" s="9" t="s">
        <v>34</v>
      </c>
      <c r="D744" s="9" t="s">
        <v>45</v>
      </c>
      <c r="E744" s="9" t="s">
        <v>32</v>
      </c>
      <c r="F744" s="9" t="str">
        <f t="shared" si="11"/>
        <v>Not Delivered</v>
      </c>
      <c r="G744" s="9" t="b">
        <v>1</v>
      </c>
      <c r="H744" s="9" t="s">
        <v>18</v>
      </c>
      <c r="I744" s="8">
        <v>4630</v>
      </c>
      <c r="J744" s="10">
        <v>1342.48</v>
      </c>
      <c r="K744" s="10">
        <v>88.9</v>
      </c>
      <c r="L744" s="10">
        <v>93.52</v>
      </c>
      <c r="M744" s="10">
        <v>1524.9</v>
      </c>
      <c r="N744" s="8">
        <v>5</v>
      </c>
      <c r="O744" s="6">
        <v>3.8</v>
      </c>
    </row>
    <row r="745" spans="1:15" x14ac:dyDescent="0.25">
      <c r="A745" s="8">
        <v>53655</v>
      </c>
      <c r="B745" s="9" t="s">
        <v>41</v>
      </c>
      <c r="C745" s="9" t="s">
        <v>61</v>
      </c>
      <c r="D745" s="9" t="s">
        <v>7</v>
      </c>
      <c r="E745" s="9" t="s">
        <v>3</v>
      </c>
      <c r="F745" s="9" t="str">
        <f t="shared" si="11"/>
        <v>Not Delivered</v>
      </c>
      <c r="G745" s="9" t="b">
        <v>0</v>
      </c>
      <c r="H745" s="9" t="s">
        <v>4</v>
      </c>
      <c r="I745" s="8">
        <v>3754</v>
      </c>
      <c r="J745" s="10">
        <v>1592.48</v>
      </c>
      <c r="K745" s="10">
        <v>118.48</v>
      </c>
      <c r="L745" s="10">
        <v>0</v>
      </c>
      <c r="M745" s="10">
        <v>1710.96</v>
      </c>
      <c r="N745" s="8">
        <v>4</v>
      </c>
    </row>
    <row r="746" spans="1:15" x14ac:dyDescent="0.25">
      <c r="A746" s="8">
        <v>20011</v>
      </c>
      <c r="B746" s="9" t="s">
        <v>39</v>
      </c>
      <c r="C746" s="9" t="s">
        <v>55</v>
      </c>
      <c r="D746" s="9" t="s">
        <v>12</v>
      </c>
      <c r="E746" s="9" t="s">
        <v>13</v>
      </c>
      <c r="F746" s="9" t="str">
        <f t="shared" si="11"/>
        <v>Delivered</v>
      </c>
      <c r="G746" s="9" t="b">
        <v>0</v>
      </c>
      <c r="H746" s="9" t="s">
        <v>22</v>
      </c>
      <c r="I746" s="8">
        <v>9363</v>
      </c>
      <c r="J746" s="10">
        <v>1226.74</v>
      </c>
      <c r="K746" s="10">
        <v>141.03</v>
      </c>
      <c r="L746" s="10">
        <v>0</v>
      </c>
      <c r="M746" s="10">
        <v>1367.77</v>
      </c>
      <c r="N746" s="8">
        <v>8</v>
      </c>
      <c r="O746" s="6">
        <v>1.2</v>
      </c>
    </row>
    <row r="747" spans="1:15" x14ac:dyDescent="0.25">
      <c r="A747" s="8">
        <v>92998</v>
      </c>
      <c r="B747" s="9" t="s">
        <v>39</v>
      </c>
      <c r="C747" s="9" t="s">
        <v>52</v>
      </c>
      <c r="D747" s="9" t="s">
        <v>27</v>
      </c>
      <c r="E747" s="9" t="s">
        <v>32</v>
      </c>
      <c r="F747" s="9" t="str">
        <f t="shared" si="11"/>
        <v>Not Delivered</v>
      </c>
      <c r="G747" s="9" t="b">
        <v>1</v>
      </c>
      <c r="H747" s="9" t="s">
        <v>22</v>
      </c>
      <c r="I747" s="8">
        <v>2868</v>
      </c>
      <c r="J747" s="10">
        <v>1074.45</v>
      </c>
      <c r="K747" s="10">
        <v>79.739999999999995</v>
      </c>
      <c r="L747" s="10">
        <v>187.37</v>
      </c>
      <c r="M747" s="10">
        <v>1341.56</v>
      </c>
      <c r="N747" s="8">
        <v>10</v>
      </c>
      <c r="O747" s="6">
        <v>2.8</v>
      </c>
    </row>
    <row r="748" spans="1:15" x14ac:dyDescent="0.25">
      <c r="A748" s="8">
        <v>79547</v>
      </c>
      <c r="B748" s="9" t="s">
        <v>41</v>
      </c>
      <c r="C748" s="9" t="s">
        <v>47</v>
      </c>
      <c r="D748" s="9" t="s">
        <v>38</v>
      </c>
      <c r="E748" s="9" t="s">
        <v>8</v>
      </c>
      <c r="F748" s="9" t="str">
        <f t="shared" si="11"/>
        <v>Not Delivered</v>
      </c>
      <c r="G748" s="9" t="b">
        <v>1</v>
      </c>
      <c r="H748" s="9" t="s">
        <v>22</v>
      </c>
      <c r="I748" s="8">
        <v>9355</v>
      </c>
      <c r="J748" s="10">
        <v>1165.81</v>
      </c>
      <c r="K748" s="10">
        <v>73.97</v>
      </c>
      <c r="L748" s="10">
        <v>188.26</v>
      </c>
      <c r="M748" s="10">
        <v>1428.04</v>
      </c>
      <c r="N748" s="8">
        <v>9</v>
      </c>
      <c r="O748" s="6">
        <v>4.7</v>
      </c>
    </row>
    <row r="749" spans="1:15" x14ac:dyDescent="0.25">
      <c r="A749" s="8">
        <v>35415</v>
      </c>
      <c r="B749" s="9" t="s">
        <v>23</v>
      </c>
      <c r="C749" s="9" t="s">
        <v>54</v>
      </c>
      <c r="D749" s="9" t="s">
        <v>35</v>
      </c>
      <c r="E749" s="9" t="s">
        <v>3</v>
      </c>
      <c r="F749" s="9" t="str">
        <f t="shared" si="11"/>
        <v>Not Delivered</v>
      </c>
      <c r="G749" s="9" t="b">
        <v>0</v>
      </c>
      <c r="H749" s="9" t="s">
        <v>9</v>
      </c>
      <c r="I749" s="8">
        <v>6724</v>
      </c>
      <c r="J749" s="10">
        <v>1322.14</v>
      </c>
      <c r="K749" s="10">
        <v>62.12</v>
      </c>
      <c r="M749" s="10">
        <v>1384.26</v>
      </c>
      <c r="N749" s="8">
        <v>2</v>
      </c>
      <c r="O749" s="6">
        <v>3</v>
      </c>
    </row>
    <row r="750" spans="1:15" x14ac:dyDescent="0.25">
      <c r="A750" s="8">
        <v>56019</v>
      </c>
      <c r="B750" s="9" t="s">
        <v>23</v>
      </c>
      <c r="C750" s="9" t="s">
        <v>49</v>
      </c>
      <c r="D750" s="9" t="s">
        <v>38</v>
      </c>
      <c r="E750" s="9" t="s">
        <v>3</v>
      </c>
      <c r="F750" s="9" t="str">
        <f t="shared" si="11"/>
        <v>Not Delivered</v>
      </c>
      <c r="G750" s="9" t="b">
        <v>1</v>
      </c>
      <c r="H750" s="9" t="s">
        <v>14</v>
      </c>
      <c r="I750" s="8">
        <v>3419</v>
      </c>
      <c r="J750" s="10">
        <v>741.01</v>
      </c>
      <c r="K750" s="10">
        <v>0</v>
      </c>
      <c r="L750" s="10">
        <v>40.97</v>
      </c>
      <c r="M750" s="10">
        <v>781.98</v>
      </c>
      <c r="N750" s="8">
        <v>11</v>
      </c>
      <c r="O750" s="6">
        <v>2.5</v>
      </c>
    </row>
    <row r="751" spans="1:15" x14ac:dyDescent="0.25">
      <c r="A751" s="8">
        <v>40968</v>
      </c>
      <c r="B751" s="9" t="s">
        <v>23</v>
      </c>
      <c r="C751" s="9" t="s">
        <v>54</v>
      </c>
      <c r="D751" s="9" t="s">
        <v>30</v>
      </c>
      <c r="E751" s="9" t="s">
        <v>8</v>
      </c>
      <c r="F751" s="9" t="str">
        <f t="shared" si="11"/>
        <v>Not Delivered</v>
      </c>
      <c r="G751" s="9" t="b">
        <v>1</v>
      </c>
      <c r="H751" s="9" t="s">
        <v>28</v>
      </c>
      <c r="I751" s="8">
        <v>2684</v>
      </c>
      <c r="J751" s="10">
        <v>257.66000000000003</v>
      </c>
      <c r="K751" s="10">
        <v>43.8</v>
      </c>
      <c r="L751" s="10">
        <v>167.03</v>
      </c>
      <c r="M751" s="10">
        <v>468.49</v>
      </c>
      <c r="N751" s="8">
        <v>8</v>
      </c>
      <c r="O751" s="6">
        <v>1.3</v>
      </c>
    </row>
    <row r="752" spans="1:15" x14ac:dyDescent="0.25">
      <c r="A752" s="8">
        <v>29194</v>
      </c>
      <c r="B752" s="9" t="s">
        <v>0</v>
      </c>
      <c r="C752" s="9" t="s">
        <v>37</v>
      </c>
      <c r="D752" s="9" t="s">
        <v>50</v>
      </c>
      <c r="E752" s="9" t="s">
        <v>17</v>
      </c>
      <c r="F752" s="9" t="str">
        <f t="shared" si="11"/>
        <v>Not Delivered</v>
      </c>
      <c r="G752" s="9" t="b">
        <v>1</v>
      </c>
      <c r="H752" s="9" t="s">
        <v>18</v>
      </c>
      <c r="I752" s="8">
        <v>5193</v>
      </c>
      <c r="J752" s="10">
        <v>381.42</v>
      </c>
      <c r="K752" s="10">
        <v>86.53</v>
      </c>
      <c r="L752" s="10">
        <v>91.92</v>
      </c>
      <c r="M752" s="10">
        <v>559.87</v>
      </c>
      <c r="N752" s="8">
        <v>10</v>
      </c>
    </row>
    <row r="753" spans="1:15" x14ac:dyDescent="0.25">
      <c r="A753" s="8">
        <v>35856</v>
      </c>
      <c r="B753" s="9" t="s">
        <v>0</v>
      </c>
      <c r="C753" s="9" t="s">
        <v>37</v>
      </c>
      <c r="D753" s="9" t="s">
        <v>27</v>
      </c>
      <c r="E753" s="9" t="s">
        <v>21</v>
      </c>
      <c r="F753" s="9" t="str">
        <f t="shared" si="11"/>
        <v>Not Delivered</v>
      </c>
      <c r="G753" s="9" t="b">
        <v>1</v>
      </c>
      <c r="H753" s="9" t="s">
        <v>28</v>
      </c>
      <c r="I753" s="8">
        <v>3842</v>
      </c>
      <c r="J753" s="10">
        <v>427.95</v>
      </c>
      <c r="K753" s="10">
        <v>75.349999999999994</v>
      </c>
      <c r="L753" s="10">
        <v>115.35</v>
      </c>
      <c r="M753" s="10">
        <v>618.65</v>
      </c>
      <c r="N753" s="8">
        <v>6</v>
      </c>
      <c r="O753" s="6">
        <v>3.9</v>
      </c>
    </row>
    <row r="754" spans="1:15" x14ac:dyDescent="0.25">
      <c r="A754" s="8">
        <v>88957</v>
      </c>
      <c r="B754" s="9" t="s">
        <v>39</v>
      </c>
      <c r="C754" s="9" t="s">
        <v>57</v>
      </c>
      <c r="D754" s="9" t="s">
        <v>25</v>
      </c>
      <c r="E754" s="9" t="s">
        <v>17</v>
      </c>
      <c r="F754" s="9" t="str">
        <f t="shared" si="11"/>
        <v>Not Delivered</v>
      </c>
      <c r="G754" s="9" t="b">
        <v>1</v>
      </c>
      <c r="H754" s="9" t="s">
        <v>14</v>
      </c>
      <c r="I754" s="8">
        <v>3504</v>
      </c>
      <c r="J754" s="10">
        <v>1267.83</v>
      </c>
      <c r="K754" s="10">
        <v>114.1</v>
      </c>
      <c r="L754" s="10">
        <v>253.55</v>
      </c>
      <c r="M754" s="10">
        <v>1635.48</v>
      </c>
      <c r="N754" s="8">
        <v>8</v>
      </c>
    </row>
    <row r="755" spans="1:15" x14ac:dyDescent="0.25">
      <c r="A755" s="8">
        <v>95918</v>
      </c>
      <c r="B755" s="9" t="s">
        <v>39</v>
      </c>
      <c r="C755" s="9" t="s">
        <v>40</v>
      </c>
      <c r="D755" s="9" t="s">
        <v>27</v>
      </c>
      <c r="E755" s="9" t="s">
        <v>17</v>
      </c>
      <c r="F755" s="9" t="str">
        <f t="shared" si="11"/>
        <v>Not Delivered</v>
      </c>
      <c r="G755" s="9" t="b">
        <v>1</v>
      </c>
      <c r="H755" s="9" t="s">
        <v>28</v>
      </c>
      <c r="I755" s="8">
        <v>2234</v>
      </c>
      <c r="J755" s="10">
        <v>1398.93</v>
      </c>
      <c r="K755" s="10">
        <v>73.849999999999994</v>
      </c>
      <c r="L755" s="10">
        <v>35.54</v>
      </c>
      <c r="M755" s="10">
        <v>1508.32</v>
      </c>
      <c r="N755" s="8">
        <v>1</v>
      </c>
      <c r="O755" s="6">
        <v>1.8</v>
      </c>
    </row>
    <row r="756" spans="1:15" x14ac:dyDescent="0.25">
      <c r="A756" s="8">
        <v>33218</v>
      </c>
      <c r="B756" s="9" t="s">
        <v>5</v>
      </c>
      <c r="C756" s="9" t="s">
        <v>31</v>
      </c>
      <c r="D756" s="9" t="s">
        <v>35</v>
      </c>
      <c r="E756" s="9" t="s">
        <v>13</v>
      </c>
      <c r="F756" s="9" t="str">
        <f t="shared" si="11"/>
        <v>Delivered</v>
      </c>
      <c r="G756" s="9" t="b">
        <v>0</v>
      </c>
      <c r="H756" s="9" t="s">
        <v>18</v>
      </c>
      <c r="I756" s="8">
        <v>9095</v>
      </c>
      <c r="J756" s="10">
        <v>586.13</v>
      </c>
      <c r="K756" s="10">
        <v>0</v>
      </c>
      <c r="L756" s="10">
        <v>0</v>
      </c>
      <c r="M756" s="10">
        <v>586.13</v>
      </c>
      <c r="N756" s="8">
        <v>9</v>
      </c>
    </row>
    <row r="757" spans="1:15" x14ac:dyDescent="0.25">
      <c r="A757" s="8">
        <v>70811</v>
      </c>
      <c r="B757" s="9" t="s">
        <v>0</v>
      </c>
      <c r="C757" s="9" t="s">
        <v>53</v>
      </c>
      <c r="D757" s="9" t="s">
        <v>35</v>
      </c>
      <c r="E757" s="9" t="s">
        <v>32</v>
      </c>
      <c r="F757" s="9" t="str">
        <f t="shared" si="11"/>
        <v>Not Delivered</v>
      </c>
      <c r="G757" s="9" t="b">
        <v>0</v>
      </c>
      <c r="H757" s="9" t="s">
        <v>4</v>
      </c>
      <c r="I757" s="8">
        <v>8354</v>
      </c>
      <c r="J757" s="10">
        <v>1180.71</v>
      </c>
      <c r="K757" s="10">
        <v>89.51</v>
      </c>
      <c r="L757" s="10">
        <v>0</v>
      </c>
      <c r="M757" s="10">
        <v>1270.22</v>
      </c>
      <c r="N757" s="8">
        <v>2</v>
      </c>
      <c r="O757" s="6">
        <v>1.4</v>
      </c>
    </row>
    <row r="758" spans="1:15" x14ac:dyDescent="0.25">
      <c r="A758" s="8">
        <v>99277</v>
      </c>
      <c r="B758" s="9" t="s">
        <v>39</v>
      </c>
      <c r="C758" s="9" t="s">
        <v>52</v>
      </c>
      <c r="D758" s="9" t="s">
        <v>12</v>
      </c>
      <c r="E758" s="9" t="s">
        <v>32</v>
      </c>
      <c r="F758" s="9" t="str">
        <f t="shared" si="11"/>
        <v>Not Delivered</v>
      </c>
      <c r="G758" s="9" t="b">
        <v>1</v>
      </c>
      <c r="H758" s="9" t="s">
        <v>9</v>
      </c>
      <c r="I758" s="8">
        <v>6295</v>
      </c>
      <c r="J758" s="10">
        <v>97.01</v>
      </c>
      <c r="K758" s="10">
        <v>40.96</v>
      </c>
      <c r="L758" s="10">
        <v>41.45</v>
      </c>
      <c r="M758" s="10">
        <v>179.42</v>
      </c>
      <c r="N758" s="8">
        <v>5</v>
      </c>
      <c r="O758" s="6">
        <v>2.5</v>
      </c>
    </row>
    <row r="759" spans="1:15" x14ac:dyDescent="0.25">
      <c r="A759" s="8">
        <v>92210</v>
      </c>
      <c r="B759" s="9" t="s">
        <v>10</v>
      </c>
      <c r="C759" s="9" t="s">
        <v>15</v>
      </c>
      <c r="D759" s="9" t="s">
        <v>16</v>
      </c>
      <c r="E759" s="9" t="s">
        <v>8</v>
      </c>
      <c r="F759" s="9" t="str">
        <f t="shared" si="11"/>
        <v>Not Delivered</v>
      </c>
      <c r="G759" s="9" t="b">
        <v>1</v>
      </c>
      <c r="H759" s="9" t="s">
        <v>14</v>
      </c>
      <c r="I759" s="8">
        <v>6179</v>
      </c>
      <c r="J759" s="10">
        <v>1049.19</v>
      </c>
      <c r="K759" s="10">
        <v>121.25</v>
      </c>
      <c r="L759" s="10">
        <v>195.9</v>
      </c>
      <c r="M759" s="10">
        <v>1366.34</v>
      </c>
      <c r="N759" s="8">
        <v>10</v>
      </c>
      <c r="O759" s="6">
        <v>3.5</v>
      </c>
    </row>
    <row r="760" spans="1:15" x14ac:dyDescent="0.25">
      <c r="A760" s="8">
        <v>29786</v>
      </c>
      <c r="B760" s="9" t="s">
        <v>0</v>
      </c>
      <c r="C760" s="9" t="s">
        <v>53</v>
      </c>
      <c r="D760" s="9" t="s">
        <v>25</v>
      </c>
      <c r="E760" s="9" t="s">
        <v>21</v>
      </c>
      <c r="F760" s="9" t="str">
        <f t="shared" si="11"/>
        <v>Not Delivered</v>
      </c>
      <c r="G760" s="9" t="b">
        <v>0</v>
      </c>
      <c r="H760" s="9" t="s">
        <v>18</v>
      </c>
      <c r="I760" s="8">
        <v>8205</v>
      </c>
      <c r="J760" s="10">
        <v>697.88</v>
      </c>
      <c r="K760" s="10">
        <v>138.4</v>
      </c>
      <c r="L760" s="10">
        <v>0</v>
      </c>
      <c r="M760" s="10">
        <v>836.28</v>
      </c>
      <c r="N760" s="8">
        <v>14</v>
      </c>
      <c r="O760" s="6">
        <v>1.3</v>
      </c>
    </row>
    <row r="761" spans="1:15" x14ac:dyDescent="0.25">
      <c r="A761" s="8">
        <v>18950</v>
      </c>
      <c r="B761" s="9" t="s">
        <v>39</v>
      </c>
      <c r="C761" s="9" t="s">
        <v>58</v>
      </c>
      <c r="D761" s="9" t="s">
        <v>38</v>
      </c>
      <c r="E761" s="9" t="s">
        <v>3</v>
      </c>
      <c r="F761" s="9" t="str">
        <f t="shared" si="11"/>
        <v>Not Delivered</v>
      </c>
      <c r="G761" s="9" t="b">
        <v>1</v>
      </c>
      <c r="H761" s="9" t="s">
        <v>14</v>
      </c>
      <c r="I761" s="8">
        <v>8682</v>
      </c>
      <c r="J761" s="10">
        <v>805.66</v>
      </c>
      <c r="K761" s="10">
        <v>100.34</v>
      </c>
      <c r="L761" s="10">
        <v>51.06</v>
      </c>
      <c r="M761" s="10">
        <v>957.06</v>
      </c>
      <c r="N761" s="8">
        <v>13</v>
      </c>
      <c r="O761" s="6">
        <v>2.2000000000000002</v>
      </c>
    </row>
    <row r="762" spans="1:15" x14ac:dyDescent="0.25">
      <c r="A762" s="8">
        <v>67961</v>
      </c>
      <c r="B762" s="9" t="s">
        <v>23</v>
      </c>
      <c r="C762" s="9" t="s">
        <v>34</v>
      </c>
      <c r="D762" s="9" t="s">
        <v>27</v>
      </c>
      <c r="E762" s="9" t="s">
        <v>17</v>
      </c>
      <c r="F762" s="9" t="str">
        <f t="shared" si="11"/>
        <v>Not Delivered</v>
      </c>
      <c r="G762" s="9" t="b">
        <v>0</v>
      </c>
      <c r="H762" s="9" t="s">
        <v>28</v>
      </c>
      <c r="I762" s="8">
        <v>5961</v>
      </c>
      <c r="J762" s="10">
        <v>376.26</v>
      </c>
      <c r="K762" s="10">
        <v>35.32</v>
      </c>
      <c r="L762" s="10">
        <v>0</v>
      </c>
      <c r="M762" s="10">
        <v>411.58</v>
      </c>
      <c r="N762" s="8">
        <v>5</v>
      </c>
      <c r="O762" s="6">
        <v>2.5</v>
      </c>
    </row>
    <row r="763" spans="1:15" x14ac:dyDescent="0.25">
      <c r="A763" s="8">
        <v>46002</v>
      </c>
      <c r="B763" s="9" t="s">
        <v>0</v>
      </c>
      <c r="C763" s="9" t="s">
        <v>43</v>
      </c>
      <c r="D763" s="9" t="s">
        <v>16</v>
      </c>
      <c r="E763" s="9" t="s">
        <v>8</v>
      </c>
      <c r="F763" s="9" t="str">
        <f t="shared" si="11"/>
        <v>Not Delivered</v>
      </c>
      <c r="G763" s="9" t="b">
        <v>1</v>
      </c>
      <c r="H763" s="9" t="s">
        <v>14</v>
      </c>
      <c r="I763" s="8">
        <v>1920</v>
      </c>
      <c r="J763" s="10">
        <v>1781.11</v>
      </c>
      <c r="K763" s="10">
        <v>137.72999999999999</v>
      </c>
      <c r="L763" s="10">
        <v>131.75</v>
      </c>
      <c r="M763" s="10">
        <v>2050.59</v>
      </c>
      <c r="N763" s="8">
        <v>13</v>
      </c>
      <c r="O763" s="6">
        <v>3.1</v>
      </c>
    </row>
    <row r="764" spans="1:15" x14ac:dyDescent="0.25">
      <c r="A764" s="8">
        <v>56129</v>
      </c>
      <c r="B764" s="9" t="s">
        <v>10</v>
      </c>
      <c r="C764" s="9" t="s">
        <v>26</v>
      </c>
      <c r="D764" s="9" t="s">
        <v>38</v>
      </c>
      <c r="E764" s="9" t="s">
        <v>8</v>
      </c>
      <c r="F764" s="9" t="str">
        <f t="shared" si="11"/>
        <v>Not Delivered</v>
      </c>
      <c r="G764" s="9" t="b">
        <v>1</v>
      </c>
      <c r="H764" s="9" t="s">
        <v>28</v>
      </c>
      <c r="I764" s="8">
        <v>9312</v>
      </c>
      <c r="J764" s="10">
        <v>535.12</v>
      </c>
      <c r="K764" s="10">
        <v>84.27</v>
      </c>
      <c r="L764" s="10">
        <v>47.67</v>
      </c>
      <c r="M764" s="10">
        <v>667.06</v>
      </c>
      <c r="N764" s="8">
        <v>11</v>
      </c>
      <c r="O764" s="6">
        <v>4.2</v>
      </c>
    </row>
    <row r="765" spans="1:15" x14ac:dyDescent="0.25">
      <c r="A765" s="8">
        <v>19724</v>
      </c>
      <c r="B765" s="9" t="s">
        <v>41</v>
      </c>
      <c r="C765" s="9" t="s">
        <v>42</v>
      </c>
      <c r="D765" s="9" t="s">
        <v>7</v>
      </c>
      <c r="E765" s="9" t="s">
        <v>32</v>
      </c>
      <c r="F765" s="9" t="str">
        <f t="shared" si="11"/>
        <v>Not Delivered</v>
      </c>
      <c r="G765" s="9" t="b">
        <v>1</v>
      </c>
      <c r="H765" s="9" t="s">
        <v>28</v>
      </c>
      <c r="I765" s="8">
        <v>6085</v>
      </c>
      <c r="J765" s="10">
        <v>1447.24</v>
      </c>
      <c r="K765" s="10">
        <v>0</v>
      </c>
      <c r="L765" s="10">
        <v>46.75</v>
      </c>
      <c r="M765" s="10">
        <v>1493.99</v>
      </c>
      <c r="N765" s="8">
        <v>2</v>
      </c>
      <c r="O765" s="6">
        <v>1.2</v>
      </c>
    </row>
    <row r="766" spans="1:15" x14ac:dyDescent="0.25">
      <c r="A766" s="8">
        <v>70521</v>
      </c>
      <c r="B766" s="9" t="s">
        <v>5</v>
      </c>
      <c r="C766" s="9" t="s">
        <v>36</v>
      </c>
      <c r="D766" s="9" t="s">
        <v>19</v>
      </c>
      <c r="E766" s="9" t="s">
        <v>3</v>
      </c>
      <c r="F766" s="9" t="str">
        <f t="shared" si="11"/>
        <v>Not Delivered</v>
      </c>
      <c r="G766" s="9" t="b">
        <v>1</v>
      </c>
      <c r="H766" s="9" t="s">
        <v>28</v>
      </c>
      <c r="I766" s="8">
        <v>8404</v>
      </c>
      <c r="J766" s="10">
        <v>1563.05</v>
      </c>
      <c r="K766" s="10">
        <v>143.18</v>
      </c>
      <c r="M766" s="10">
        <v>1741.89</v>
      </c>
      <c r="N766" s="8">
        <v>8</v>
      </c>
      <c r="O766" s="6">
        <v>3.9</v>
      </c>
    </row>
    <row r="767" spans="1:15" x14ac:dyDescent="0.25">
      <c r="A767" s="8">
        <v>14929</v>
      </c>
      <c r="B767" s="9" t="s">
        <v>41</v>
      </c>
      <c r="C767" s="9" t="s">
        <v>46</v>
      </c>
      <c r="D767" s="9" t="s">
        <v>35</v>
      </c>
      <c r="E767" s="9" t="s">
        <v>3</v>
      </c>
      <c r="F767" s="9" t="str">
        <f t="shared" si="11"/>
        <v>Not Delivered</v>
      </c>
      <c r="G767" s="9" t="b">
        <v>1</v>
      </c>
      <c r="H767" s="9" t="s">
        <v>9</v>
      </c>
      <c r="I767" s="8">
        <v>1932</v>
      </c>
      <c r="J767" s="10">
        <v>966.82</v>
      </c>
      <c r="K767" s="10">
        <v>146.77000000000001</v>
      </c>
      <c r="L767" s="10">
        <v>186.24</v>
      </c>
      <c r="M767" s="10">
        <v>1299.83</v>
      </c>
      <c r="N767" s="8">
        <v>8</v>
      </c>
    </row>
    <row r="768" spans="1:15" x14ac:dyDescent="0.25">
      <c r="A768" s="8">
        <v>58331</v>
      </c>
      <c r="B768" s="9" t="s">
        <v>23</v>
      </c>
      <c r="C768" s="9" t="s">
        <v>54</v>
      </c>
      <c r="D768" s="9" t="s">
        <v>50</v>
      </c>
      <c r="E768" s="9" t="s">
        <v>21</v>
      </c>
      <c r="F768" s="9" t="str">
        <f t="shared" si="11"/>
        <v>Not Delivered</v>
      </c>
      <c r="G768" s="9" t="b">
        <v>1</v>
      </c>
      <c r="H768" s="9" t="s">
        <v>18</v>
      </c>
      <c r="I768" s="8">
        <v>5703</v>
      </c>
      <c r="J768" s="10">
        <v>1407.92</v>
      </c>
      <c r="K768" s="10">
        <v>123.49</v>
      </c>
      <c r="L768" s="10">
        <v>152.97</v>
      </c>
      <c r="M768" s="10">
        <v>1684.38</v>
      </c>
      <c r="N768" s="8">
        <v>7</v>
      </c>
      <c r="O768" s="6">
        <v>1.3</v>
      </c>
    </row>
    <row r="769" spans="1:15" x14ac:dyDescent="0.25">
      <c r="A769" s="8">
        <v>20057</v>
      </c>
      <c r="B769" s="9" t="s">
        <v>23</v>
      </c>
      <c r="C769" s="9" t="s">
        <v>34</v>
      </c>
      <c r="D769" s="9" t="s">
        <v>2</v>
      </c>
      <c r="E769" s="9" t="s">
        <v>3</v>
      </c>
      <c r="F769" s="9" t="str">
        <f t="shared" si="11"/>
        <v>Not Delivered</v>
      </c>
      <c r="G769" s="9" t="b">
        <v>0</v>
      </c>
      <c r="H769" s="9" t="s">
        <v>4</v>
      </c>
      <c r="I769" s="8">
        <v>2479</v>
      </c>
      <c r="J769" s="10">
        <v>2220.9499999999998</v>
      </c>
      <c r="K769" s="10">
        <v>0</v>
      </c>
      <c r="L769" s="10">
        <v>0</v>
      </c>
      <c r="M769" s="10">
        <v>2220.9499999999998</v>
      </c>
      <c r="N769" s="8">
        <v>5</v>
      </c>
      <c r="O769" s="6">
        <v>2.5</v>
      </c>
    </row>
    <row r="770" spans="1:15" x14ac:dyDescent="0.25">
      <c r="A770" s="8">
        <v>90610</v>
      </c>
      <c r="B770" s="9" t="s">
        <v>10</v>
      </c>
      <c r="C770" s="9" t="s">
        <v>29</v>
      </c>
      <c r="D770" s="9" t="s">
        <v>16</v>
      </c>
      <c r="E770" s="9" t="s">
        <v>3</v>
      </c>
      <c r="F770" s="9" t="str">
        <f t="shared" si="11"/>
        <v>Not Delivered</v>
      </c>
      <c r="G770" s="9" t="b">
        <v>1</v>
      </c>
      <c r="H770" s="9" t="s">
        <v>9</v>
      </c>
      <c r="I770" s="8">
        <v>9307</v>
      </c>
      <c r="J770" s="10">
        <v>1458.24</v>
      </c>
      <c r="K770" s="10">
        <v>0</v>
      </c>
      <c r="L770" s="10">
        <v>25.32</v>
      </c>
      <c r="M770" s="10">
        <v>1483.56</v>
      </c>
      <c r="N770" s="8">
        <v>9</v>
      </c>
      <c r="O770" s="6">
        <v>2.5</v>
      </c>
    </row>
    <row r="771" spans="1:15" x14ac:dyDescent="0.25">
      <c r="A771" s="8">
        <v>60394</v>
      </c>
      <c r="B771" s="9" t="s">
        <v>0</v>
      </c>
      <c r="C771" s="9" t="s">
        <v>51</v>
      </c>
      <c r="D771" s="9" t="s">
        <v>19</v>
      </c>
      <c r="E771" s="9" t="s">
        <v>3</v>
      </c>
      <c r="F771" s="9" t="str">
        <f t="shared" ref="F771:F834" si="12">IF(OR(
E771="Failed Delivery",
E771="Cancelled",
E771="Pending",
E771="Rescheduled",
E771="In Transit"
),"Not Delivered","Delivered")</f>
        <v>Not Delivered</v>
      </c>
      <c r="G771" s="9" t="b">
        <v>1</v>
      </c>
      <c r="H771" s="9" t="s">
        <v>33</v>
      </c>
      <c r="I771" s="8">
        <v>8581</v>
      </c>
      <c r="J771" s="10">
        <v>783.66</v>
      </c>
      <c r="K771" s="10">
        <v>148.75</v>
      </c>
      <c r="L771" s="10">
        <v>282.75</v>
      </c>
      <c r="M771" s="10">
        <v>1215.1600000000001</v>
      </c>
      <c r="N771" s="8">
        <v>2</v>
      </c>
      <c r="O771" s="6">
        <v>3.3</v>
      </c>
    </row>
    <row r="772" spans="1:15" x14ac:dyDescent="0.25">
      <c r="A772" s="8">
        <v>86064</v>
      </c>
      <c r="B772" s="9" t="s">
        <v>0</v>
      </c>
      <c r="C772" s="9" t="s">
        <v>51</v>
      </c>
      <c r="D772" s="9" t="s">
        <v>35</v>
      </c>
      <c r="E772" s="9" t="s">
        <v>8</v>
      </c>
      <c r="F772" s="9" t="str">
        <f t="shared" si="12"/>
        <v>Not Delivered</v>
      </c>
      <c r="G772" s="9" t="b">
        <v>1</v>
      </c>
      <c r="H772" s="9" t="s">
        <v>22</v>
      </c>
      <c r="I772" s="8">
        <v>1672</v>
      </c>
      <c r="J772" s="10">
        <v>990.85</v>
      </c>
      <c r="K772" s="10">
        <v>118.85</v>
      </c>
      <c r="L772" s="10">
        <v>288.98</v>
      </c>
      <c r="M772" s="10">
        <v>1398.68</v>
      </c>
      <c r="N772" s="8">
        <v>12</v>
      </c>
      <c r="O772" s="6">
        <v>2.9</v>
      </c>
    </row>
    <row r="773" spans="1:15" x14ac:dyDescent="0.25">
      <c r="A773" s="8">
        <v>68947</v>
      </c>
      <c r="B773" s="9" t="s">
        <v>0</v>
      </c>
      <c r="C773" s="9" t="s">
        <v>1</v>
      </c>
      <c r="D773" s="9" t="s">
        <v>19</v>
      </c>
      <c r="E773" s="9" t="s">
        <v>21</v>
      </c>
      <c r="F773" s="9" t="str">
        <f t="shared" si="12"/>
        <v>Not Delivered</v>
      </c>
      <c r="G773" s="9" t="b">
        <v>0</v>
      </c>
      <c r="H773" s="9" t="s">
        <v>18</v>
      </c>
      <c r="I773" s="8">
        <v>4084</v>
      </c>
      <c r="J773" s="10">
        <v>1300.83</v>
      </c>
      <c r="K773" s="10">
        <v>76.13</v>
      </c>
      <c r="L773" s="10">
        <v>0</v>
      </c>
      <c r="M773" s="10">
        <v>1376.96</v>
      </c>
      <c r="N773" s="8">
        <v>11</v>
      </c>
    </row>
    <row r="774" spans="1:15" x14ac:dyDescent="0.25">
      <c r="A774" s="8">
        <v>52143</v>
      </c>
      <c r="B774" s="9" t="s">
        <v>0</v>
      </c>
      <c r="C774" s="9" t="s">
        <v>53</v>
      </c>
      <c r="D774" s="9" t="s">
        <v>12</v>
      </c>
      <c r="E774" s="9" t="s">
        <v>21</v>
      </c>
      <c r="F774" s="9" t="str">
        <f t="shared" si="12"/>
        <v>Not Delivered</v>
      </c>
      <c r="G774" s="9" t="b">
        <v>0</v>
      </c>
      <c r="H774" s="9" t="s">
        <v>28</v>
      </c>
      <c r="I774" s="8">
        <v>8792</v>
      </c>
      <c r="J774" s="10">
        <v>170.36</v>
      </c>
      <c r="K774" s="10">
        <v>82.82</v>
      </c>
      <c r="L774" s="10">
        <v>0</v>
      </c>
      <c r="M774" s="10">
        <v>253.18</v>
      </c>
      <c r="N774" s="8">
        <v>7</v>
      </c>
      <c r="O774" s="6">
        <v>4.9000000000000004</v>
      </c>
    </row>
    <row r="775" spans="1:15" x14ac:dyDescent="0.25">
      <c r="A775" s="8">
        <v>75715</v>
      </c>
      <c r="B775" s="9" t="s">
        <v>39</v>
      </c>
      <c r="C775" s="9" t="s">
        <v>40</v>
      </c>
      <c r="D775" s="9" t="s">
        <v>16</v>
      </c>
      <c r="E775" s="9" t="s">
        <v>21</v>
      </c>
      <c r="F775" s="9" t="str">
        <f t="shared" si="12"/>
        <v>Not Delivered</v>
      </c>
      <c r="G775" s="9" t="b">
        <v>0</v>
      </c>
      <c r="H775" s="9" t="s">
        <v>33</v>
      </c>
      <c r="I775" s="8">
        <v>3471</v>
      </c>
      <c r="J775" s="10">
        <v>1258.24</v>
      </c>
      <c r="K775" s="10">
        <v>0</v>
      </c>
      <c r="L775" s="10">
        <v>0</v>
      </c>
      <c r="M775" s="10">
        <v>1258.24</v>
      </c>
      <c r="N775" s="8">
        <v>9</v>
      </c>
      <c r="O775" s="6">
        <v>3.6</v>
      </c>
    </row>
    <row r="776" spans="1:15" x14ac:dyDescent="0.25">
      <c r="A776" s="8">
        <v>18109</v>
      </c>
      <c r="B776" s="9" t="s">
        <v>0</v>
      </c>
      <c r="C776" s="9" t="s">
        <v>37</v>
      </c>
      <c r="D776" s="9" t="s">
        <v>16</v>
      </c>
      <c r="E776" s="9" t="s">
        <v>8</v>
      </c>
      <c r="F776" s="9" t="str">
        <f t="shared" si="12"/>
        <v>Not Delivered</v>
      </c>
      <c r="G776" s="9" t="b">
        <v>1</v>
      </c>
      <c r="H776" s="9" t="s">
        <v>33</v>
      </c>
      <c r="I776" s="8">
        <v>8381</v>
      </c>
      <c r="J776" s="10">
        <v>1391.56</v>
      </c>
      <c r="K776" s="10">
        <v>136.94</v>
      </c>
      <c r="L776" s="10">
        <v>181.42</v>
      </c>
      <c r="M776" s="10">
        <v>1709.92</v>
      </c>
      <c r="N776" s="8">
        <v>5</v>
      </c>
      <c r="O776" s="6">
        <v>4.7</v>
      </c>
    </row>
    <row r="777" spans="1:15" x14ac:dyDescent="0.25">
      <c r="A777" s="8">
        <v>23566</v>
      </c>
      <c r="B777" s="9" t="s">
        <v>5</v>
      </c>
      <c r="C777" s="9" t="s">
        <v>36</v>
      </c>
      <c r="D777" s="9" t="s">
        <v>7</v>
      </c>
      <c r="E777" s="9" t="s">
        <v>13</v>
      </c>
      <c r="F777" s="9" t="str">
        <f t="shared" si="12"/>
        <v>Delivered</v>
      </c>
      <c r="G777" s="9" t="b">
        <v>1</v>
      </c>
      <c r="H777" s="9" t="s">
        <v>28</v>
      </c>
      <c r="I777" s="8">
        <v>6626</v>
      </c>
      <c r="J777" s="10">
        <v>2077.6999999999998</v>
      </c>
      <c r="K777" s="10">
        <v>0</v>
      </c>
      <c r="L777" s="10">
        <v>228.74</v>
      </c>
      <c r="M777" s="10">
        <v>2306.44</v>
      </c>
      <c r="N777" s="8">
        <v>11</v>
      </c>
      <c r="O777" s="6">
        <v>2.7</v>
      </c>
    </row>
    <row r="778" spans="1:15" x14ac:dyDescent="0.25">
      <c r="A778" s="8">
        <v>21053</v>
      </c>
      <c r="B778" s="9" t="s">
        <v>0</v>
      </c>
      <c r="C778" s="9" t="s">
        <v>53</v>
      </c>
      <c r="D778" s="9" t="s">
        <v>7</v>
      </c>
      <c r="E778" s="9" t="s">
        <v>32</v>
      </c>
      <c r="F778" s="9" t="str">
        <f t="shared" si="12"/>
        <v>Not Delivered</v>
      </c>
      <c r="G778" s="9" t="b">
        <v>1</v>
      </c>
      <c r="H778" s="9" t="s">
        <v>33</v>
      </c>
      <c r="I778" s="8">
        <v>9266</v>
      </c>
      <c r="J778" s="10">
        <v>476.73</v>
      </c>
      <c r="K778" s="10">
        <v>38.65</v>
      </c>
      <c r="L778" s="10">
        <v>235.06</v>
      </c>
      <c r="M778" s="10">
        <v>750.44</v>
      </c>
      <c r="N778" s="8">
        <v>4</v>
      </c>
      <c r="O778" s="6">
        <v>1.2</v>
      </c>
    </row>
    <row r="779" spans="1:15" x14ac:dyDescent="0.25">
      <c r="A779" s="8">
        <v>94689</v>
      </c>
      <c r="B779" s="9" t="s">
        <v>39</v>
      </c>
      <c r="C779" s="9" t="s">
        <v>58</v>
      </c>
      <c r="E779" s="9" t="s">
        <v>13</v>
      </c>
      <c r="F779" s="9" t="str">
        <f t="shared" si="12"/>
        <v>Delivered</v>
      </c>
      <c r="G779" s="9" t="b">
        <v>1</v>
      </c>
      <c r="H779" s="9" t="s">
        <v>4</v>
      </c>
      <c r="I779" s="8">
        <v>3827</v>
      </c>
      <c r="J779" s="10">
        <v>970.11</v>
      </c>
      <c r="K779" s="10">
        <v>136.84</v>
      </c>
      <c r="L779" s="10">
        <v>32.33</v>
      </c>
      <c r="M779" s="10">
        <v>1139.28</v>
      </c>
      <c r="N779" s="8">
        <v>7</v>
      </c>
    </row>
    <row r="780" spans="1:15" x14ac:dyDescent="0.25">
      <c r="A780" s="8">
        <v>15130</v>
      </c>
      <c r="B780" s="9" t="s">
        <v>41</v>
      </c>
      <c r="C780" s="9" t="s">
        <v>46</v>
      </c>
      <c r="D780" s="9" t="s">
        <v>25</v>
      </c>
      <c r="E780" s="9" t="s">
        <v>17</v>
      </c>
      <c r="F780" s="9" t="str">
        <f t="shared" si="12"/>
        <v>Not Delivered</v>
      </c>
      <c r="G780" s="9" t="b">
        <v>1</v>
      </c>
      <c r="H780" s="9" t="s">
        <v>28</v>
      </c>
      <c r="I780" s="8">
        <v>5059</v>
      </c>
      <c r="J780" s="10">
        <v>1351.37</v>
      </c>
      <c r="K780" s="10">
        <v>60.08</v>
      </c>
      <c r="L780" s="10">
        <v>175.18</v>
      </c>
      <c r="M780" s="10">
        <v>1586.63</v>
      </c>
      <c r="N780" s="8">
        <v>1</v>
      </c>
      <c r="O780" s="6">
        <v>4.2</v>
      </c>
    </row>
    <row r="781" spans="1:15" x14ac:dyDescent="0.25">
      <c r="A781" s="8">
        <v>67377</v>
      </c>
      <c r="B781" s="9" t="s">
        <v>41</v>
      </c>
      <c r="C781" s="9" t="s">
        <v>47</v>
      </c>
      <c r="D781" s="9" t="s">
        <v>16</v>
      </c>
      <c r="E781" s="9" t="s">
        <v>13</v>
      </c>
      <c r="F781" s="9" t="str">
        <f t="shared" si="12"/>
        <v>Delivered</v>
      </c>
      <c r="G781" s="9" t="b">
        <v>0</v>
      </c>
      <c r="H781" s="9" t="s">
        <v>33</v>
      </c>
      <c r="I781" s="8">
        <v>8199</v>
      </c>
      <c r="J781" s="10">
        <v>1126.46</v>
      </c>
      <c r="K781" s="10">
        <v>146.21</v>
      </c>
      <c r="L781" s="10">
        <v>0</v>
      </c>
      <c r="M781" s="10">
        <v>1272.67</v>
      </c>
      <c r="N781" s="8">
        <v>8</v>
      </c>
      <c r="O781" s="6">
        <v>2.2999999999999998</v>
      </c>
    </row>
    <row r="782" spans="1:15" x14ac:dyDescent="0.25">
      <c r="A782" s="8">
        <v>78690</v>
      </c>
      <c r="B782" s="9" t="s">
        <v>0</v>
      </c>
      <c r="C782" s="9" t="s">
        <v>51</v>
      </c>
      <c r="D782" s="9" t="s">
        <v>35</v>
      </c>
      <c r="E782" s="9" t="s">
        <v>17</v>
      </c>
      <c r="F782" s="9" t="str">
        <f t="shared" si="12"/>
        <v>Not Delivered</v>
      </c>
      <c r="G782" s="9" t="b">
        <v>0</v>
      </c>
      <c r="H782" s="9" t="s">
        <v>4</v>
      </c>
      <c r="I782" s="8">
        <v>9564</v>
      </c>
      <c r="J782" s="10">
        <v>1799.08</v>
      </c>
      <c r="K782" s="10">
        <v>144.1</v>
      </c>
      <c r="L782" s="10">
        <v>0</v>
      </c>
      <c r="M782" s="10">
        <v>1943.18</v>
      </c>
      <c r="N782" s="8">
        <v>7</v>
      </c>
      <c r="O782" s="6">
        <v>4.9000000000000004</v>
      </c>
    </row>
    <row r="783" spans="1:15" x14ac:dyDescent="0.25">
      <c r="A783" s="8">
        <v>89928</v>
      </c>
      <c r="B783" s="9" t="s">
        <v>39</v>
      </c>
      <c r="C783" s="9" t="s">
        <v>58</v>
      </c>
      <c r="D783" s="9" t="s">
        <v>2</v>
      </c>
      <c r="E783" s="9" t="s">
        <v>8</v>
      </c>
      <c r="F783" s="9" t="str">
        <f t="shared" si="12"/>
        <v>Not Delivered</v>
      </c>
      <c r="G783" s="9" t="b">
        <v>1</v>
      </c>
      <c r="H783" s="9" t="s">
        <v>22</v>
      </c>
      <c r="I783" s="8">
        <v>3600</v>
      </c>
      <c r="J783" s="10">
        <v>1109.81</v>
      </c>
      <c r="K783" s="10">
        <v>63.89</v>
      </c>
      <c r="L783" s="10">
        <v>195.11</v>
      </c>
      <c r="M783" s="10">
        <v>1368.81</v>
      </c>
      <c r="N783" s="8">
        <v>13</v>
      </c>
      <c r="O783" s="6">
        <v>2.5</v>
      </c>
    </row>
    <row r="784" spans="1:15" x14ac:dyDescent="0.25">
      <c r="A784" s="8">
        <v>57696</v>
      </c>
      <c r="B784" s="9" t="s">
        <v>39</v>
      </c>
      <c r="C784" s="9" t="s">
        <v>55</v>
      </c>
      <c r="D784" s="9" t="s">
        <v>38</v>
      </c>
      <c r="E784" s="9" t="s">
        <v>13</v>
      </c>
      <c r="F784" s="9" t="str">
        <f t="shared" si="12"/>
        <v>Delivered</v>
      </c>
      <c r="G784" s="9" t="b">
        <v>0</v>
      </c>
      <c r="H784" s="9" t="s">
        <v>22</v>
      </c>
      <c r="I784" s="8">
        <v>7108</v>
      </c>
      <c r="J784" s="10">
        <v>666.64</v>
      </c>
      <c r="K784" s="10">
        <v>0</v>
      </c>
      <c r="L784" s="10">
        <v>0</v>
      </c>
      <c r="M784" s="10">
        <v>666.64</v>
      </c>
      <c r="N784" s="8">
        <v>1</v>
      </c>
      <c r="O784" s="6">
        <v>4.5</v>
      </c>
    </row>
    <row r="785" spans="1:15" x14ac:dyDescent="0.25">
      <c r="A785" s="8">
        <v>47079</v>
      </c>
      <c r="B785" s="9" t="s">
        <v>39</v>
      </c>
      <c r="C785" s="9" t="s">
        <v>40</v>
      </c>
      <c r="D785" s="9" t="s">
        <v>12</v>
      </c>
      <c r="E785" s="9" t="s">
        <v>8</v>
      </c>
      <c r="F785" s="9" t="str">
        <f t="shared" si="12"/>
        <v>Not Delivered</v>
      </c>
      <c r="G785" s="9" t="b">
        <v>1</v>
      </c>
      <c r="H785" s="9" t="s">
        <v>9</v>
      </c>
      <c r="I785" s="8">
        <v>7347</v>
      </c>
      <c r="J785" s="10">
        <v>941.6</v>
      </c>
      <c r="K785" s="10">
        <v>111.26</v>
      </c>
      <c r="M785" s="10">
        <v>1195.6500000000001</v>
      </c>
      <c r="N785" s="8">
        <v>8</v>
      </c>
      <c r="O785" s="6">
        <v>4.4000000000000004</v>
      </c>
    </row>
    <row r="786" spans="1:15" x14ac:dyDescent="0.25">
      <c r="A786" s="8">
        <v>63578</v>
      </c>
      <c r="B786" s="9" t="s">
        <v>10</v>
      </c>
      <c r="C786" s="9" t="s">
        <v>15</v>
      </c>
      <c r="D786" s="9" t="s">
        <v>30</v>
      </c>
      <c r="E786" s="9" t="s">
        <v>3</v>
      </c>
      <c r="F786" s="9" t="str">
        <f t="shared" si="12"/>
        <v>Not Delivered</v>
      </c>
      <c r="G786" s="9" t="b">
        <v>1</v>
      </c>
      <c r="H786" s="9" t="s">
        <v>28</v>
      </c>
      <c r="I786" s="8">
        <v>6543</v>
      </c>
      <c r="J786" s="10">
        <v>470.65</v>
      </c>
      <c r="K786" s="10">
        <v>35.74</v>
      </c>
      <c r="L786" s="10">
        <v>74.900000000000006</v>
      </c>
      <c r="M786" s="10">
        <v>581.29</v>
      </c>
      <c r="N786" s="8">
        <v>2</v>
      </c>
      <c r="O786" s="6">
        <v>3.7</v>
      </c>
    </row>
    <row r="787" spans="1:15" x14ac:dyDescent="0.25">
      <c r="A787" s="8">
        <v>98984</v>
      </c>
      <c r="B787" s="9" t="s">
        <v>39</v>
      </c>
      <c r="C787" s="9" t="s">
        <v>57</v>
      </c>
      <c r="D787" s="9" t="s">
        <v>35</v>
      </c>
      <c r="E787" s="9" t="s">
        <v>3</v>
      </c>
      <c r="F787" s="9" t="str">
        <f t="shared" si="12"/>
        <v>Not Delivered</v>
      </c>
      <c r="G787" s="9" t="b">
        <v>1</v>
      </c>
      <c r="H787" s="9" t="s">
        <v>14</v>
      </c>
      <c r="I787" s="8">
        <v>1857</v>
      </c>
      <c r="J787" s="10">
        <v>764.68</v>
      </c>
      <c r="K787" s="10">
        <v>74.34</v>
      </c>
      <c r="L787" s="10">
        <v>27.64</v>
      </c>
      <c r="M787" s="10">
        <v>866.66</v>
      </c>
      <c r="N787" s="8">
        <v>12</v>
      </c>
    </row>
    <row r="788" spans="1:15" x14ac:dyDescent="0.25">
      <c r="A788" s="8">
        <v>92691</v>
      </c>
      <c r="B788" s="9" t="s">
        <v>10</v>
      </c>
      <c r="C788" s="9" t="s">
        <v>29</v>
      </c>
      <c r="D788" s="9" t="s">
        <v>38</v>
      </c>
      <c r="E788" s="9" t="s">
        <v>13</v>
      </c>
      <c r="F788" s="9" t="str">
        <f t="shared" si="12"/>
        <v>Delivered</v>
      </c>
      <c r="G788" s="9" t="b">
        <v>1</v>
      </c>
      <c r="H788" s="9" t="s">
        <v>14</v>
      </c>
      <c r="I788" s="8">
        <v>6482</v>
      </c>
      <c r="J788" s="10">
        <v>1466.43</v>
      </c>
      <c r="K788" s="10">
        <v>145.15</v>
      </c>
      <c r="L788" s="10">
        <v>96.14</v>
      </c>
      <c r="M788" s="10">
        <v>1707.72</v>
      </c>
      <c r="N788" s="8">
        <v>11</v>
      </c>
      <c r="O788" s="6">
        <v>1.4</v>
      </c>
    </row>
    <row r="789" spans="1:15" x14ac:dyDescent="0.25">
      <c r="A789" s="8">
        <v>18639</v>
      </c>
      <c r="B789" s="9" t="s">
        <v>23</v>
      </c>
      <c r="C789" s="9" t="s">
        <v>34</v>
      </c>
      <c r="D789" s="9" t="s">
        <v>27</v>
      </c>
      <c r="E789" s="9" t="s">
        <v>8</v>
      </c>
      <c r="F789" s="9" t="str">
        <f t="shared" si="12"/>
        <v>Not Delivered</v>
      </c>
      <c r="G789" s="9" t="b">
        <v>0</v>
      </c>
      <c r="H789" s="9" t="s">
        <v>14</v>
      </c>
      <c r="I789" s="8">
        <v>6401</v>
      </c>
      <c r="J789" s="10">
        <v>2334.06</v>
      </c>
      <c r="K789" s="10">
        <v>114.4</v>
      </c>
      <c r="L789" s="10">
        <v>0</v>
      </c>
      <c r="M789" s="10">
        <v>2448.46</v>
      </c>
      <c r="N789" s="8">
        <v>12</v>
      </c>
      <c r="O789" s="6">
        <v>3.9</v>
      </c>
    </row>
    <row r="790" spans="1:15" x14ac:dyDescent="0.25">
      <c r="A790" s="8">
        <v>22387</v>
      </c>
      <c r="B790" s="9" t="s">
        <v>41</v>
      </c>
      <c r="C790" s="9" t="s">
        <v>42</v>
      </c>
      <c r="D790" s="9" t="s">
        <v>19</v>
      </c>
      <c r="E790" s="9" t="s">
        <v>8</v>
      </c>
      <c r="F790" s="9" t="str">
        <f t="shared" si="12"/>
        <v>Not Delivered</v>
      </c>
      <c r="G790" s="9" t="b">
        <v>1</v>
      </c>
      <c r="H790" s="9" t="s">
        <v>4</v>
      </c>
      <c r="I790" s="8">
        <v>7333</v>
      </c>
      <c r="J790" s="10">
        <v>2078.58</v>
      </c>
      <c r="K790" s="10">
        <v>0</v>
      </c>
      <c r="L790" s="10">
        <v>108.77</v>
      </c>
      <c r="M790" s="10">
        <v>2187.35</v>
      </c>
      <c r="N790" s="8">
        <v>2</v>
      </c>
      <c r="O790" s="6">
        <v>3.4</v>
      </c>
    </row>
    <row r="791" spans="1:15" x14ac:dyDescent="0.25">
      <c r="A791" s="8">
        <v>47243</v>
      </c>
      <c r="B791" s="9" t="s">
        <v>41</v>
      </c>
      <c r="C791" s="9" t="s">
        <v>61</v>
      </c>
      <c r="D791" s="9" t="s">
        <v>16</v>
      </c>
      <c r="E791" s="9" t="s">
        <v>13</v>
      </c>
      <c r="F791" s="9" t="str">
        <f t="shared" si="12"/>
        <v>Delivered</v>
      </c>
      <c r="G791" s="9" t="b">
        <v>1</v>
      </c>
      <c r="H791" s="9" t="s">
        <v>14</v>
      </c>
      <c r="I791" s="8">
        <v>5128</v>
      </c>
      <c r="J791" s="10">
        <v>580.32000000000005</v>
      </c>
      <c r="K791" s="10">
        <v>88.02</v>
      </c>
      <c r="L791" s="10">
        <v>106.19</v>
      </c>
      <c r="M791" s="10">
        <v>774.53</v>
      </c>
      <c r="N791" s="8">
        <v>9</v>
      </c>
      <c r="O791" s="6">
        <v>2.6</v>
      </c>
    </row>
    <row r="792" spans="1:15" x14ac:dyDescent="0.25">
      <c r="A792" s="8">
        <v>96057</v>
      </c>
      <c r="B792" s="9" t="s">
        <v>10</v>
      </c>
      <c r="C792" s="9" t="s">
        <v>29</v>
      </c>
      <c r="D792" s="9" t="s">
        <v>7</v>
      </c>
      <c r="E792" s="9" t="s">
        <v>13</v>
      </c>
      <c r="F792" s="9" t="str">
        <f t="shared" si="12"/>
        <v>Delivered</v>
      </c>
      <c r="G792" s="9" t="b">
        <v>0</v>
      </c>
      <c r="H792" s="9" t="s">
        <v>14</v>
      </c>
      <c r="I792" s="8">
        <v>3463</v>
      </c>
      <c r="J792" s="10">
        <v>1087.53</v>
      </c>
      <c r="K792" s="10">
        <v>72.209999999999994</v>
      </c>
      <c r="L792" s="10">
        <v>0</v>
      </c>
      <c r="M792" s="10">
        <v>1159.74</v>
      </c>
      <c r="N792" s="8">
        <v>1</v>
      </c>
      <c r="O792" s="6">
        <v>2.8</v>
      </c>
    </row>
    <row r="793" spans="1:15" x14ac:dyDescent="0.25">
      <c r="A793" s="8">
        <v>53694</v>
      </c>
      <c r="B793" s="9" t="s">
        <v>23</v>
      </c>
      <c r="C793" s="9" t="s">
        <v>54</v>
      </c>
      <c r="D793" s="9" t="s">
        <v>38</v>
      </c>
      <c r="E793" s="9" t="s">
        <v>17</v>
      </c>
      <c r="F793" s="9" t="str">
        <f t="shared" si="12"/>
        <v>Not Delivered</v>
      </c>
      <c r="G793" s="9" t="b">
        <v>0</v>
      </c>
      <c r="H793" s="9" t="s">
        <v>18</v>
      </c>
      <c r="I793" s="8">
        <v>2335</v>
      </c>
      <c r="J793" s="10">
        <v>2087.9499999999998</v>
      </c>
      <c r="K793" s="10">
        <v>0</v>
      </c>
      <c r="L793" s="10">
        <v>0</v>
      </c>
      <c r="M793" s="10">
        <v>2087.9499999999998</v>
      </c>
      <c r="N793" s="8">
        <v>3</v>
      </c>
      <c r="O793" s="6">
        <v>4.4000000000000004</v>
      </c>
    </row>
    <row r="794" spans="1:15" x14ac:dyDescent="0.25">
      <c r="A794" s="8">
        <v>86380</v>
      </c>
      <c r="B794" s="9" t="s">
        <v>10</v>
      </c>
      <c r="C794" s="9" t="s">
        <v>11</v>
      </c>
      <c r="D794" s="9" t="s">
        <v>38</v>
      </c>
      <c r="E794" s="9" t="s">
        <v>3</v>
      </c>
      <c r="F794" s="9" t="str">
        <f t="shared" si="12"/>
        <v>Not Delivered</v>
      </c>
      <c r="G794" s="9" t="b">
        <v>0</v>
      </c>
      <c r="H794" s="9" t="s">
        <v>4</v>
      </c>
      <c r="I794" s="8">
        <v>3317</v>
      </c>
      <c r="J794" s="10">
        <v>1054.52</v>
      </c>
      <c r="K794" s="10">
        <v>77.349999999999994</v>
      </c>
      <c r="L794" s="10">
        <v>0</v>
      </c>
      <c r="M794" s="10">
        <v>1131.8699999999999</v>
      </c>
      <c r="N794" s="8">
        <v>11</v>
      </c>
      <c r="O794" s="6">
        <v>3</v>
      </c>
    </row>
    <row r="795" spans="1:15" x14ac:dyDescent="0.25">
      <c r="A795" s="8">
        <v>55851</v>
      </c>
      <c r="B795" s="9" t="s">
        <v>10</v>
      </c>
      <c r="C795" s="9" t="s">
        <v>29</v>
      </c>
      <c r="D795" s="9" t="s">
        <v>16</v>
      </c>
      <c r="E795" s="9" t="s">
        <v>13</v>
      </c>
      <c r="F795" s="9" t="str">
        <f t="shared" si="12"/>
        <v>Delivered</v>
      </c>
      <c r="G795" s="9" t="b">
        <v>1</v>
      </c>
      <c r="H795" s="9" t="s">
        <v>14</v>
      </c>
      <c r="I795" s="8">
        <v>6082</v>
      </c>
      <c r="J795" s="10">
        <v>1672.98</v>
      </c>
      <c r="K795" s="10">
        <v>0</v>
      </c>
      <c r="L795" s="10">
        <v>48.08</v>
      </c>
      <c r="M795" s="10">
        <v>1721.06</v>
      </c>
      <c r="N795" s="8">
        <v>13</v>
      </c>
      <c r="O795" s="6">
        <v>3</v>
      </c>
    </row>
    <row r="796" spans="1:15" x14ac:dyDescent="0.25">
      <c r="A796" s="8">
        <v>95990</v>
      </c>
      <c r="B796" s="9" t="s">
        <v>0</v>
      </c>
      <c r="C796" s="9" t="s">
        <v>53</v>
      </c>
      <c r="D796" s="9" t="s">
        <v>30</v>
      </c>
      <c r="E796" s="9" t="s">
        <v>8</v>
      </c>
      <c r="F796" s="9" t="str">
        <f t="shared" si="12"/>
        <v>Not Delivered</v>
      </c>
      <c r="G796" s="9" t="b">
        <v>0</v>
      </c>
      <c r="H796" s="9" t="s">
        <v>33</v>
      </c>
      <c r="I796" s="8">
        <v>7421</v>
      </c>
      <c r="J796" s="10">
        <v>1785.25</v>
      </c>
      <c r="K796" s="10">
        <v>83.74</v>
      </c>
      <c r="L796" s="10">
        <v>0</v>
      </c>
      <c r="M796" s="10">
        <v>1868.99</v>
      </c>
      <c r="N796" s="8">
        <v>6</v>
      </c>
      <c r="O796" s="6">
        <v>2.6</v>
      </c>
    </row>
    <row r="797" spans="1:15" x14ac:dyDescent="0.25">
      <c r="A797" s="8">
        <v>26901</v>
      </c>
      <c r="B797" s="9" t="s">
        <v>10</v>
      </c>
      <c r="C797" s="9" t="s">
        <v>29</v>
      </c>
      <c r="D797" s="9" t="s">
        <v>25</v>
      </c>
      <c r="E797" s="9" t="s">
        <v>8</v>
      </c>
      <c r="F797" s="9" t="str">
        <f t="shared" si="12"/>
        <v>Not Delivered</v>
      </c>
      <c r="G797" s="9" t="b">
        <v>0</v>
      </c>
      <c r="H797" s="9" t="s">
        <v>33</v>
      </c>
      <c r="I797" s="8">
        <v>2388</v>
      </c>
      <c r="J797" s="10">
        <v>1432.11</v>
      </c>
      <c r="K797" s="10">
        <v>59.73</v>
      </c>
      <c r="L797" s="10">
        <v>0</v>
      </c>
      <c r="M797" s="10">
        <v>1491.84</v>
      </c>
      <c r="N797" s="8">
        <v>13</v>
      </c>
      <c r="O797" s="6">
        <v>4.5</v>
      </c>
    </row>
    <row r="798" spans="1:15" x14ac:dyDescent="0.25">
      <c r="A798" s="8">
        <v>50577</v>
      </c>
      <c r="B798" s="9" t="s">
        <v>39</v>
      </c>
      <c r="C798" s="9" t="s">
        <v>40</v>
      </c>
      <c r="D798" s="9" t="s">
        <v>35</v>
      </c>
      <c r="E798" s="9" t="s">
        <v>8</v>
      </c>
      <c r="F798" s="9" t="str">
        <f t="shared" si="12"/>
        <v>Not Delivered</v>
      </c>
      <c r="G798" s="9" t="b">
        <v>1</v>
      </c>
      <c r="H798" s="9" t="s">
        <v>14</v>
      </c>
      <c r="I798" s="8">
        <v>7171</v>
      </c>
      <c r="J798" s="10">
        <v>899.56</v>
      </c>
      <c r="K798" s="10">
        <v>98.24</v>
      </c>
      <c r="L798" s="10">
        <v>60.91</v>
      </c>
      <c r="M798" s="10">
        <v>1058.71</v>
      </c>
      <c r="N798" s="8">
        <v>12</v>
      </c>
      <c r="O798" s="6">
        <v>3.6</v>
      </c>
    </row>
    <row r="799" spans="1:15" x14ac:dyDescent="0.25">
      <c r="A799" s="8">
        <v>94343</v>
      </c>
      <c r="B799" s="9" t="s">
        <v>41</v>
      </c>
      <c r="C799" s="9" t="s">
        <v>47</v>
      </c>
      <c r="D799" s="9" t="s">
        <v>12</v>
      </c>
      <c r="E799" s="9" t="s">
        <v>13</v>
      </c>
      <c r="F799" s="9" t="str">
        <f t="shared" si="12"/>
        <v>Delivered</v>
      </c>
      <c r="G799" s="9" t="b">
        <v>0</v>
      </c>
      <c r="H799" s="9" t="s">
        <v>9</v>
      </c>
      <c r="I799" s="8">
        <v>6381</v>
      </c>
      <c r="J799" s="10">
        <v>1792.3</v>
      </c>
      <c r="K799" s="10">
        <v>64.760000000000005</v>
      </c>
      <c r="L799" s="10">
        <v>0</v>
      </c>
      <c r="M799" s="10">
        <v>1857.06</v>
      </c>
      <c r="N799" s="8">
        <v>11</v>
      </c>
      <c r="O799" s="6">
        <v>4.7</v>
      </c>
    </row>
    <row r="800" spans="1:15" x14ac:dyDescent="0.25">
      <c r="A800" s="8">
        <v>26750</v>
      </c>
      <c r="B800" s="9" t="s">
        <v>23</v>
      </c>
      <c r="C800" s="9" t="s">
        <v>60</v>
      </c>
      <c r="D800" s="9" t="s">
        <v>38</v>
      </c>
      <c r="E800" s="9" t="s">
        <v>3</v>
      </c>
      <c r="F800" s="9" t="str">
        <f t="shared" si="12"/>
        <v>Not Delivered</v>
      </c>
      <c r="G800" s="9" t="b">
        <v>0</v>
      </c>
      <c r="H800" s="9" t="s">
        <v>28</v>
      </c>
      <c r="I800" s="8">
        <v>9624</v>
      </c>
      <c r="J800" s="10">
        <v>484.44</v>
      </c>
      <c r="K800" s="10">
        <v>63.66</v>
      </c>
      <c r="L800" s="10">
        <v>0</v>
      </c>
      <c r="M800" s="10">
        <v>548.1</v>
      </c>
      <c r="N800" s="8">
        <v>10</v>
      </c>
      <c r="O800" s="6">
        <v>1.6</v>
      </c>
    </row>
    <row r="801" spans="1:15" x14ac:dyDescent="0.25">
      <c r="A801" s="8">
        <v>22249</v>
      </c>
      <c r="B801" s="9" t="s">
        <v>5</v>
      </c>
      <c r="C801" s="9" t="s">
        <v>6</v>
      </c>
      <c r="D801" s="9" t="s">
        <v>45</v>
      </c>
      <c r="E801" s="9" t="s">
        <v>8</v>
      </c>
      <c r="F801" s="9" t="str">
        <f t="shared" si="12"/>
        <v>Not Delivered</v>
      </c>
      <c r="G801" s="9" t="b">
        <v>1</v>
      </c>
      <c r="H801" s="9" t="s">
        <v>9</v>
      </c>
      <c r="I801" s="8">
        <v>7937</v>
      </c>
      <c r="J801" s="10">
        <v>753.97</v>
      </c>
      <c r="K801" s="10">
        <v>118.8</v>
      </c>
      <c r="L801" s="10">
        <v>266.38</v>
      </c>
      <c r="M801" s="10">
        <v>1139.1500000000001</v>
      </c>
      <c r="N801" s="8">
        <v>13</v>
      </c>
      <c r="O801" s="6">
        <v>1.4</v>
      </c>
    </row>
    <row r="802" spans="1:15" x14ac:dyDescent="0.25">
      <c r="A802" s="8">
        <v>76648</v>
      </c>
      <c r="B802" s="9" t="s">
        <v>10</v>
      </c>
      <c r="C802" s="9" t="s">
        <v>20</v>
      </c>
      <c r="D802" s="9" t="s">
        <v>2</v>
      </c>
      <c r="E802" s="9" t="s">
        <v>21</v>
      </c>
      <c r="F802" s="9" t="str">
        <f t="shared" si="12"/>
        <v>Not Delivered</v>
      </c>
      <c r="G802" s="9" t="b">
        <v>1</v>
      </c>
      <c r="H802" s="9" t="s">
        <v>18</v>
      </c>
      <c r="I802" s="8">
        <v>6928</v>
      </c>
      <c r="J802" s="10">
        <v>797.91</v>
      </c>
      <c r="K802" s="10">
        <v>0</v>
      </c>
      <c r="L802" s="10">
        <v>37.229999999999997</v>
      </c>
      <c r="M802" s="10">
        <v>835.14</v>
      </c>
      <c r="N802" s="8">
        <v>11</v>
      </c>
      <c r="O802" s="6">
        <v>1.9</v>
      </c>
    </row>
    <row r="803" spans="1:15" x14ac:dyDescent="0.25">
      <c r="A803" s="8">
        <v>12389</v>
      </c>
      <c r="B803" s="9" t="s">
        <v>39</v>
      </c>
      <c r="C803" s="9" t="s">
        <v>52</v>
      </c>
      <c r="D803" s="9" t="s">
        <v>7</v>
      </c>
      <c r="E803" s="9" t="s">
        <v>17</v>
      </c>
      <c r="F803" s="9" t="str">
        <f t="shared" si="12"/>
        <v>Not Delivered</v>
      </c>
      <c r="G803" s="9" t="b">
        <v>1</v>
      </c>
      <c r="H803" s="9" t="s">
        <v>33</v>
      </c>
      <c r="I803" s="8">
        <v>6940</v>
      </c>
      <c r="J803" s="10">
        <v>1065.0899999999999</v>
      </c>
      <c r="K803" s="10">
        <v>0</v>
      </c>
      <c r="L803" s="10">
        <v>222.63</v>
      </c>
      <c r="M803" s="10">
        <v>1287.72</v>
      </c>
      <c r="N803" s="8">
        <v>11</v>
      </c>
      <c r="O803" s="6">
        <v>2.2000000000000002</v>
      </c>
    </row>
    <row r="804" spans="1:15" x14ac:dyDescent="0.25">
      <c r="A804" s="8">
        <v>50483</v>
      </c>
      <c r="B804" s="9" t="s">
        <v>5</v>
      </c>
      <c r="C804" s="9" t="s">
        <v>31</v>
      </c>
      <c r="E804" s="9" t="s">
        <v>21</v>
      </c>
      <c r="F804" s="9" t="str">
        <f t="shared" si="12"/>
        <v>Not Delivered</v>
      </c>
      <c r="G804" s="9" t="b">
        <v>1</v>
      </c>
      <c r="H804" s="9" t="s">
        <v>14</v>
      </c>
      <c r="I804" s="8">
        <v>3953</v>
      </c>
      <c r="J804" s="10">
        <v>2290.4299999999998</v>
      </c>
      <c r="K804" s="10">
        <v>68.489999999999995</v>
      </c>
      <c r="L804" s="10">
        <v>233.41</v>
      </c>
      <c r="M804" s="10">
        <v>2592.33</v>
      </c>
      <c r="N804" s="8">
        <v>9</v>
      </c>
      <c r="O804" s="6">
        <v>3.1</v>
      </c>
    </row>
    <row r="805" spans="1:15" x14ac:dyDescent="0.25">
      <c r="A805" s="8">
        <v>38074</v>
      </c>
      <c r="B805" s="9" t="s">
        <v>41</v>
      </c>
      <c r="C805" s="9" t="s">
        <v>47</v>
      </c>
      <c r="D805" s="9" t="s">
        <v>35</v>
      </c>
      <c r="E805" s="9" t="s">
        <v>17</v>
      </c>
      <c r="F805" s="9" t="str">
        <f t="shared" si="12"/>
        <v>Not Delivered</v>
      </c>
      <c r="G805" s="9" t="b">
        <v>1</v>
      </c>
      <c r="H805" s="9" t="s">
        <v>4</v>
      </c>
      <c r="I805" s="8">
        <v>6598</v>
      </c>
      <c r="J805" s="10">
        <v>1957.72</v>
      </c>
      <c r="K805" s="10">
        <v>0</v>
      </c>
      <c r="L805" s="10">
        <v>93.1</v>
      </c>
      <c r="M805" s="10">
        <v>2050.8200000000002</v>
      </c>
      <c r="N805" s="8">
        <v>12</v>
      </c>
      <c r="O805" s="6">
        <v>3.2</v>
      </c>
    </row>
    <row r="806" spans="1:15" x14ac:dyDescent="0.25">
      <c r="A806" s="8">
        <v>73736</v>
      </c>
      <c r="B806" s="9" t="s">
        <v>23</v>
      </c>
      <c r="C806" s="9" t="s">
        <v>34</v>
      </c>
      <c r="D806" s="9" t="s">
        <v>12</v>
      </c>
      <c r="E806" s="9" t="s">
        <v>21</v>
      </c>
      <c r="F806" s="9" t="str">
        <f t="shared" si="12"/>
        <v>Not Delivered</v>
      </c>
      <c r="G806" s="9" t="b">
        <v>0</v>
      </c>
      <c r="H806" s="9" t="s">
        <v>33</v>
      </c>
      <c r="I806" s="8">
        <v>4145</v>
      </c>
      <c r="J806" s="10">
        <v>737.76</v>
      </c>
      <c r="K806" s="10">
        <v>0</v>
      </c>
      <c r="L806" s="10">
        <v>0</v>
      </c>
      <c r="M806" s="10">
        <v>737.76</v>
      </c>
      <c r="N806" s="8">
        <v>14</v>
      </c>
      <c r="O806" s="6">
        <v>1.3</v>
      </c>
    </row>
    <row r="807" spans="1:15" x14ac:dyDescent="0.25">
      <c r="A807" s="8">
        <v>39693</v>
      </c>
      <c r="B807" s="9" t="s">
        <v>10</v>
      </c>
      <c r="C807" s="9" t="s">
        <v>15</v>
      </c>
      <c r="D807" s="9" t="s">
        <v>30</v>
      </c>
      <c r="E807" s="9" t="s">
        <v>3</v>
      </c>
      <c r="F807" s="9" t="str">
        <f t="shared" si="12"/>
        <v>Not Delivered</v>
      </c>
      <c r="G807" s="9" t="b">
        <v>1</v>
      </c>
      <c r="H807" s="9" t="s">
        <v>28</v>
      </c>
      <c r="I807" s="8">
        <v>3253</v>
      </c>
      <c r="J807" s="10">
        <v>426.05</v>
      </c>
      <c r="K807" s="10">
        <v>98.28</v>
      </c>
      <c r="L807" s="10">
        <v>65.03</v>
      </c>
      <c r="M807" s="10">
        <v>589.36</v>
      </c>
      <c r="N807" s="8">
        <v>9</v>
      </c>
      <c r="O807" s="6">
        <v>2.2000000000000002</v>
      </c>
    </row>
    <row r="808" spans="1:15" x14ac:dyDescent="0.25">
      <c r="A808" s="8">
        <v>30308</v>
      </c>
      <c r="B808" s="9" t="s">
        <v>41</v>
      </c>
      <c r="C808" s="9" t="s">
        <v>42</v>
      </c>
      <c r="D808" s="9" t="s">
        <v>12</v>
      </c>
      <c r="E808" s="9" t="s">
        <v>8</v>
      </c>
      <c r="F808" s="9" t="str">
        <f t="shared" si="12"/>
        <v>Not Delivered</v>
      </c>
      <c r="G808" s="9" t="b">
        <v>0</v>
      </c>
      <c r="H808" s="9" t="s">
        <v>14</v>
      </c>
      <c r="I808" s="8">
        <v>2264</v>
      </c>
      <c r="J808" s="10">
        <v>1829.22</v>
      </c>
      <c r="K808" s="10">
        <v>148.6</v>
      </c>
      <c r="L808" s="10">
        <v>0</v>
      </c>
      <c r="M808" s="10">
        <v>1977.82</v>
      </c>
      <c r="N808" s="8">
        <v>10</v>
      </c>
      <c r="O808" s="6">
        <v>1.8</v>
      </c>
    </row>
    <row r="809" spans="1:15" x14ac:dyDescent="0.25">
      <c r="A809" s="8">
        <v>48770</v>
      </c>
      <c r="B809" s="9" t="s">
        <v>5</v>
      </c>
      <c r="C809" s="9" t="s">
        <v>36</v>
      </c>
      <c r="D809" s="9" t="s">
        <v>38</v>
      </c>
      <c r="E809" s="9" t="s">
        <v>21</v>
      </c>
      <c r="F809" s="9" t="str">
        <f t="shared" si="12"/>
        <v>Not Delivered</v>
      </c>
      <c r="G809" s="9" t="b">
        <v>1</v>
      </c>
      <c r="H809" s="9" t="s">
        <v>9</v>
      </c>
      <c r="I809" s="8">
        <v>2657</v>
      </c>
      <c r="J809" s="10">
        <v>284.49</v>
      </c>
      <c r="K809" s="10">
        <v>35.630000000000003</v>
      </c>
      <c r="L809" s="10">
        <v>80.11</v>
      </c>
      <c r="M809" s="10">
        <v>400.23</v>
      </c>
      <c r="N809" s="8">
        <v>4</v>
      </c>
      <c r="O809" s="6">
        <v>2.1</v>
      </c>
    </row>
    <row r="810" spans="1:15" x14ac:dyDescent="0.25">
      <c r="A810" s="8">
        <v>76543</v>
      </c>
      <c r="B810" s="9" t="s">
        <v>5</v>
      </c>
      <c r="C810" s="9" t="s">
        <v>59</v>
      </c>
      <c r="D810" s="9" t="s">
        <v>50</v>
      </c>
      <c r="E810" s="9" t="s">
        <v>8</v>
      </c>
      <c r="F810" s="9" t="str">
        <f t="shared" si="12"/>
        <v>Not Delivered</v>
      </c>
      <c r="G810" s="9" t="b">
        <v>0</v>
      </c>
      <c r="H810" s="9" t="s">
        <v>9</v>
      </c>
      <c r="I810" s="8">
        <v>9843</v>
      </c>
      <c r="J810" s="10">
        <v>786.42</v>
      </c>
      <c r="K810" s="10">
        <v>140.37</v>
      </c>
      <c r="L810" s="10">
        <v>0</v>
      </c>
      <c r="M810" s="10">
        <v>926.79</v>
      </c>
      <c r="N810" s="8">
        <v>8</v>
      </c>
    </row>
    <row r="811" spans="1:15" x14ac:dyDescent="0.25">
      <c r="A811" s="8">
        <v>79013</v>
      </c>
      <c r="B811" s="9" t="s">
        <v>0</v>
      </c>
      <c r="C811" s="9" t="s">
        <v>53</v>
      </c>
      <c r="D811" s="9" t="s">
        <v>35</v>
      </c>
      <c r="E811" s="9" t="s">
        <v>21</v>
      </c>
      <c r="F811" s="9" t="str">
        <f t="shared" si="12"/>
        <v>Not Delivered</v>
      </c>
      <c r="G811" s="9" t="b">
        <v>0</v>
      </c>
      <c r="H811" s="9" t="s">
        <v>22</v>
      </c>
      <c r="I811" s="8">
        <v>1618</v>
      </c>
      <c r="J811" s="10">
        <v>1034.24</v>
      </c>
      <c r="K811" s="10">
        <v>0</v>
      </c>
      <c r="L811" s="10">
        <v>0</v>
      </c>
      <c r="M811" s="10">
        <v>1034.24</v>
      </c>
      <c r="N811" s="8">
        <v>11</v>
      </c>
      <c r="O811" s="6">
        <v>1.8</v>
      </c>
    </row>
    <row r="812" spans="1:15" x14ac:dyDescent="0.25">
      <c r="A812" s="8">
        <v>96760</v>
      </c>
      <c r="B812" s="9" t="s">
        <v>0</v>
      </c>
      <c r="C812" s="9" t="s">
        <v>43</v>
      </c>
      <c r="E812" s="9" t="s">
        <v>32</v>
      </c>
      <c r="F812" s="9" t="str">
        <f t="shared" si="12"/>
        <v>Not Delivered</v>
      </c>
      <c r="G812" s="9" t="b">
        <v>0</v>
      </c>
      <c r="H812" s="9" t="s">
        <v>4</v>
      </c>
      <c r="I812" s="8">
        <v>6517</v>
      </c>
      <c r="J812" s="10">
        <v>1148.1600000000001</v>
      </c>
      <c r="K812" s="10">
        <v>65.349999999999994</v>
      </c>
      <c r="L812" s="10">
        <v>0</v>
      </c>
      <c r="M812" s="10">
        <v>1213.51</v>
      </c>
      <c r="N812" s="8">
        <v>7</v>
      </c>
    </row>
    <row r="813" spans="1:15" x14ac:dyDescent="0.25">
      <c r="A813" s="8">
        <v>91006</v>
      </c>
      <c r="B813" s="9" t="s">
        <v>10</v>
      </c>
      <c r="C813" s="9" t="s">
        <v>26</v>
      </c>
      <c r="D813" s="9" t="s">
        <v>35</v>
      </c>
      <c r="E813" s="9" t="s">
        <v>13</v>
      </c>
      <c r="F813" s="9" t="str">
        <f t="shared" si="12"/>
        <v>Delivered</v>
      </c>
      <c r="G813" s="9" t="b">
        <v>0</v>
      </c>
      <c r="H813" s="9" t="s">
        <v>28</v>
      </c>
      <c r="I813" s="8">
        <v>3147</v>
      </c>
      <c r="J813" s="10">
        <v>1109.79</v>
      </c>
      <c r="K813" s="10">
        <v>90.68</v>
      </c>
      <c r="L813" s="10">
        <v>0</v>
      </c>
      <c r="M813" s="10">
        <v>1200.47</v>
      </c>
      <c r="N813" s="8">
        <v>11</v>
      </c>
    </row>
    <row r="814" spans="1:15" x14ac:dyDescent="0.25">
      <c r="A814" s="8">
        <v>88282</v>
      </c>
      <c r="B814" s="9" t="s">
        <v>23</v>
      </c>
      <c r="C814" s="9" t="s">
        <v>49</v>
      </c>
      <c r="D814" s="9" t="s">
        <v>38</v>
      </c>
      <c r="E814" s="9" t="s">
        <v>13</v>
      </c>
      <c r="F814" s="9" t="str">
        <f t="shared" si="12"/>
        <v>Delivered</v>
      </c>
      <c r="G814" s="9" t="b">
        <v>1</v>
      </c>
      <c r="H814" s="9" t="s">
        <v>18</v>
      </c>
      <c r="I814" s="8">
        <v>7172</v>
      </c>
      <c r="J814" s="10">
        <v>178.11</v>
      </c>
      <c r="K814" s="10">
        <v>53.29</v>
      </c>
      <c r="L814" s="10">
        <v>292.77</v>
      </c>
      <c r="M814" s="10">
        <v>524.16999999999996</v>
      </c>
      <c r="N814" s="8">
        <v>13</v>
      </c>
      <c r="O814" s="6">
        <v>1.7</v>
      </c>
    </row>
    <row r="815" spans="1:15" x14ac:dyDescent="0.25">
      <c r="A815" s="8">
        <v>30218</v>
      </c>
      <c r="B815" s="9" t="s">
        <v>39</v>
      </c>
      <c r="C815" s="9" t="s">
        <v>57</v>
      </c>
      <c r="D815" s="9" t="s">
        <v>25</v>
      </c>
      <c r="E815" s="9" t="s">
        <v>32</v>
      </c>
      <c r="F815" s="9" t="str">
        <f t="shared" si="12"/>
        <v>Not Delivered</v>
      </c>
      <c r="G815" s="9" t="b">
        <v>0</v>
      </c>
      <c r="H815" s="9" t="s">
        <v>33</v>
      </c>
      <c r="I815" s="8">
        <v>3658</v>
      </c>
      <c r="J815" s="10">
        <v>831.12</v>
      </c>
      <c r="K815" s="10">
        <v>136.54</v>
      </c>
      <c r="L815" s="10">
        <v>0</v>
      </c>
      <c r="M815" s="10">
        <v>967.66</v>
      </c>
      <c r="N815" s="8">
        <v>10</v>
      </c>
    </row>
    <row r="816" spans="1:15" x14ac:dyDescent="0.25">
      <c r="A816" s="8">
        <v>33703</v>
      </c>
      <c r="B816" s="9" t="s">
        <v>39</v>
      </c>
      <c r="C816" s="9" t="s">
        <v>40</v>
      </c>
      <c r="D816" s="9" t="s">
        <v>27</v>
      </c>
      <c r="E816" s="9" t="s">
        <v>21</v>
      </c>
      <c r="F816" s="9" t="str">
        <f t="shared" si="12"/>
        <v>Not Delivered</v>
      </c>
      <c r="G816" s="9" t="b">
        <v>0</v>
      </c>
      <c r="H816" s="9" t="s">
        <v>22</v>
      </c>
      <c r="I816" s="8">
        <v>3712</v>
      </c>
      <c r="J816" s="10">
        <v>570.15</v>
      </c>
      <c r="K816" s="10">
        <v>146.80000000000001</v>
      </c>
      <c r="L816" s="10">
        <v>0</v>
      </c>
      <c r="M816" s="10">
        <v>716.95</v>
      </c>
      <c r="N816" s="8">
        <v>8</v>
      </c>
      <c r="O816" s="6">
        <v>2</v>
      </c>
    </row>
    <row r="817" spans="1:15" x14ac:dyDescent="0.25">
      <c r="A817" s="8">
        <v>67366</v>
      </c>
      <c r="B817" s="9" t="s">
        <v>23</v>
      </c>
      <c r="C817" s="9" t="s">
        <v>48</v>
      </c>
      <c r="D817" s="9" t="s">
        <v>45</v>
      </c>
      <c r="E817" s="9" t="s">
        <v>32</v>
      </c>
      <c r="F817" s="9" t="str">
        <f t="shared" si="12"/>
        <v>Not Delivered</v>
      </c>
      <c r="G817" s="9" t="b">
        <v>1</v>
      </c>
      <c r="H817" s="9" t="s">
        <v>9</v>
      </c>
      <c r="I817" s="8">
        <v>1715</v>
      </c>
      <c r="J817" s="10">
        <v>510.15</v>
      </c>
      <c r="K817" s="10">
        <v>123.54</v>
      </c>
      <c r="L817" s="10">
        <v>170.75</v>
      </c>
      <c r="M817" s="10">
        <v>804.44</v>
      </c>
      <c r="N817" s="8">
        <v>4</v>
      </c>
      <c r="O817" s="6">
        <v>2.7</v>
      </c>
    </row>
    <row r="818" spans="1:15" x14ac:dyDescent="0.25">
      <c r="A818" s="8">
        <v>63852</v>
      </c>
      <c r="B818" s="9" t="s">
        <v>10</v>
      </c>
      <c r="C818" s="9" t="s">
        <v>20</v>
      </c>
      <c r="D818" s="9" t="s">
        <v>19</v>
      </c>
      <c r="E818" s="9" t="s">
        <v>13</v>
      </c>
      <c r="F818" s="9" t="str">
        <f t="shared" si="12"/>
        <v>Delivered</v>
      </c>
      <c r="G818" s="9" t="b">
        <v>0</v>
      </c>
      <c r="H818" s="9" t="s">
        <v>22</v>
      </c>
      <c r="I818" s="8">
        <v>6968</v>
      </c>
      <c r="J818" s="10">
        <v>1054.24</v>
      </c>
      <c r="K818" s="10">
        <v>0</v>
      </c>
      <c r="L818" s="10">
        <v>0</v>
      </c>
      <c r="M818" s="10">
        <v>1054.24</v>
      </c>
      <c r="N818" s="8">
        <v>9</v>
      </c>
      <c r="O818" s="6">
        <v>4.5</v>
      </c>
    </row>
    <row r="819" spans="1:15" x14ac:dyDescent="0.25">
      <c r="A819" s="8">
        <v>98652</v>
      </c>
      <c r="B819" s="9" t="s">
        <v>5</v>
      </c>
      <c r="C819" s="9" t="s">
        <v>56</v>
      </c>
      <c r="D819" s="9" t="s">
        <v>38</v>
      </c>
      <c r="E819" s="9" t="s">
        <v>13</v>
      </c>
      <c r="F819" s="9" t="str">
        <f t="shared" si="12"/>
        <v>Delivered</v>
      </c>
      <c r="G819" s="9" t="b">
        <v>1</v>
      </c>
      <c r="H819" s="9" t="s">
        <v>18</v>
      </c>
      <c r="I819" s="8">
        <v>4891</v>
      </c>
      <c r="J819" s="10">
        <v>1134.98</v>
      </c>
      <c r="K819" s="10">
        <v>59.01</v>
      </c>
      <c r="L819" s="10">
        <v>43.25</v>
      </c>
      <c r="M819" s="10">
        <v>1237.24</v>
      </c>
      <c r="N819" s="8">
        <v>2</v>
      </c>
      <c r="O819" s="6">
        <v>1.2</v>
      </c>
    </row>
    <row r="820" spans="1:15" x14ac:dyDescent="0.25">
      <c r="A820" s="8">
        <v>68222</v>
      </c>
      <c r="B820" s="9" t="s">
        <v>39</v>
      </c>
      <c r="C820" s="9" t="s">
        <v>57</v>
      </c>
      <c r="D820" s="9" t="s">
        <v>38</v>
      </c>
      <c r="E820" s="9" t="s">
        <v>17</v>
      </c>
      <c r="F820" s="9" t="str">
        <f t="shared" si="12"/>
        <v>Not Delivered</v>
      </c>
      <c r="G820" s="9" t="b">
        <v>1</v>
      </c>
      <c r="H820" s="9" t="s">
        <v>9</v>
      </c>
      <c r="I820" s="8">
        <v>5668</v>
      </c>
      <c r="J820" s="10">
        <v>1446.28</v>
      </c>
      <c r="K820" s="10">
        <v>100.87</v>
      </c>
      <c r="L820" s="10">
        <v>224.67</v>
      </c>
      <c r="M820" s="10">
        <v>1771.82</v>
      </c>
      <c r="N820" s="8">
        <v>11</v>
      </c>
      <c r="O820" s="6">
        <v>4.5999999999999996</v>
      </c>
    </row>
    <row r="821" spans="1:15" x14ac:dyDescent="0.25">
      <c r="A821" s="8">
        <v>68841</v>
      </c>
      <c r="B821" s="9" t="s">
        <v>5</v>
      </c>
      <c r="C821" s="9" t="s">
        <v>59</v>
      </c>
      <c r="D821" s="9" t="s">
        <v>38</v>
      </c>
      <c r="E821" s="9" t="s">
        <v>8</v>
      </c>
      <c r="F821" s="9" t="str">
        <f t="shared" si="12"/>
        <v>Not Delivered</v>
      </c>
      <c r="G821" s="9" t="b">
        <v>0</v>
      </c>
      <c r="H821" s="9" t="s">
        <v>14</v>
      </c>
      <c r="I821" s="8">
        <v>4833</v>
      </c>
      <c r="J821" s="10">
        <v>637.41999999999996</v>
      </c>
      <c r="K821" s="10">
        <v>50.73</v>
      </c>
      <c r="L821" s="10">
        <v>0</v>
      </c>
      <c r="M821" s="10">
        <v>688.15</v>
      </c>
      <c r="N821" s="8">
        <v>12</v>
      </c>
      <c r="O821" s="6">
        <v>2.4</v>
      </c>
    </row>
    <row r="822" spans="1:15" x14ac:dyDescent="0.25">
      <c r="A822" s="8">
        <v>79993</v>
      </c>
      <c r="B822" s="9" t="s">
        <v>41</v>
      </c>
      <c r="C822" s="9" t="s">
        <v>47</v>
      </c>
      <c r="D822" s="9" t="s">
        <v>35</v>
      </c>
      <c r="E822" s="9" t="s">
        <v>17</v>
      </c>
      <c r="F822" s="9" t="str">
        <f t="shared" si="12"/>
        <v>Not Delivered</v>
      </c>
      <c r="G822" s="9" t="b">
        <v>1</v>
      </c>
      <c r="H822" s="9" t="s">
        <v>9</v>
      </c>
      <c r="I822" s="8">
        <v>4918</v>
      </c>
      <c r="J822" s="10">
        <v>1636.22</v>
      </c>
      <c r="K822" s="10">
        <v>117.45</v>
      </c>
      <c r="L822" s="10">
        <v>53.76</v>
      </c>
      <c r="M822" s="10">
        <v>1807.43</v>
      </c>
      <c r="N822" s="8">
        <v>14</v>
      </c>
    </row>
    <row r="823" spans="1:15" x14ac:dyDescent="0.25">
      <c r="A823" s="8">
        <v>50562</v>
      </c>
      <c r="B823" s="9" t="s">
        <v>39</v>
      </c>
      <c r="C823" s="9" t="s">
        <v>58</v>
      </c>
      <c r="D823" s="9" t="s">
        <v>12</v>
      </c>
      <c r="E823" s="9" t="s">
        <v>13</v>
      </c>
      <c r="F823" s="9" t="str">
        <f t="shared" si="12"/>
        <v>Delivered</v>
      </c>
      <c r="G823" s="9" t="b">
        <v>0</v>
      </c>
      <c r="H823" s="9" t="s">
        <v>33</v>
      </c>
      <c r="I823" s="8">
        <v>8684</v>
      </c>
      <c r="J823" s="10">
        <v>322.08999999999997</v>
      </c>
      <c r="K823" s="10">
        <v>97.73</v>
      </c>
      <c r="L823" s="10">
        <v>0</v>
      </c>
      <c r="M823" s="10">
        <v>419.82</v>
      </c>
      <c r="N823" s="8">
        <v>11</v>
      </c>
      <c r="O823" s="6">
        <v>3.2</v>
      </c>
    </row>
    <row r="824" spans="1:15" x14ac:dyDescent="0.25">
      <c r="A824" s="8">
        <v>35430</v>
      </c>
      <c r="B824" s="9" t="s">
        <v>39</v>
      </c>
      <c r="C824" s="9" t="s">
        <v>52</v>
      </c>
      <c r="D824" s="9" t="s">
        <v>27</v>
      </c>
      <c r="E824" s="9" t="s">
        <v>21</v>
      </c>
      <c r="F824" s="9" t="str">
        <f t="shared" si="12"/>
        <v>Not Delivered</v>
      </c>
      <c r="G824" s="9" t="b">
        <v>0</v>
      </c>
      <c r="H824" s="9" t="s">
        <v>14</v>
      </c>
      <c r="I824" s="8">
        <v>7026</v>
      </c>
      <c r="J824" s="10">
        <v>455.95</v>
      </c>
      <c r="K824" s="10">
        <v>25.17</v>
      </c>
      <c r="L824" s="10">
        <v>0</v>
      </c>
      <c r="M824" s="10">
        <v>481.12</v>
      </c>
      <c r="N824" s="8">
        <v>4</v>
      </c>
      <c r="O824" s="6">
        <v>4.7</v>
      </c>
    </row>
    <row r="825" spans="1:15" x14ac:dyDescent="0.25">
      <c r="A825" s="8">
        <v>98907</v>
      </c>
      <c r="B825" s="9" t="s">
        <v>5</v>
      </c>
      <c r="C825" s="9" t="s">
        <v>44</v>
      </c>
      <c r="D825" s="9" t="s">
        <v>35</v>
      </c>
      <c r="E825" s="9" t="s">
        <v>8</v>
      </c>
      <c r="F825" s="9" t="str">
        <f t="shared" si="12"/>
        <v>Not Delivered</v>
      </c>
      <c r="G825" s="9" t="b">
        <v>1</v>
      </c>
      <c r="H825" s="9" t="s">
        <v>28</v>
      </c>
      <c r="I825" s="8">
        <v>8218</v>
      </c>
      <c r="J825" s="10">
        <v>2252.7399999999998</v>
      </c>
      <c r="K825" s="10">
        <v>55.75</v>
      </c>
      <c r="L825" s="10">
        <v>199.28</v>
      </c>
      <c r="M825" s="10">
        <v>2507.77</v>
      </c>
      <c r="N825" s="8">
        <v>6</v>
      </c>
    </row>
    <row r="826" spans="1:15" x14ac:dyDescent="0.25">
      <c r="A826" s="8">
        <v>70513</v>
      </c>
      <c r="B826" s="9" t="s">
        <v>39</v>
      </c>
      <c r="C826" s="9" t="s">
        <v>52</v>
      </c>
      <c r="D826" s="9" t="s">
        <v>25</v>
      </c>
      <c r="E826" s="9" t="s">
        <v>32</v>
      </c>
      <c r="F826" s="9" t="str">
        <f t="shared" si="12"/>
        <v>Not Delivered</v>
      </c>
      <c r="G826" s="9" t="b">
        <v>1</v>
      </c>
      <c r="H826" s="9" t="s">
        <v>14</v>
      </c>
      <c r="I826" s="8">
        <v>5616</v>
      </c>
      <c r="J826" s="10">
        <v>92.59</v>
      </c>
      <c r="K826" s="10">
        <v>57.31</v>
      </c>
      <c r="L826" s="10">
        <v>38.229999999999997</v>
      </c>
      <c r="M826" s="10">
        <v>188.13</v>
      </c>
      <c r="N826" s="8">
        <v>3</v>
      </c>
      <c r="O826" s="6">
        <v>4.7</v>
      </c>
    </row>
    <row r="827" spans="1:15" x14ac:dyDescent="0.25">
      <c r="A827" s="8">
        <v>60052</v>
      </c>
      <c r="B827" s="9" t="s">
        <v>0</v>
      </c>
      <c r="C827" s="9" t="s">
        <v>51</v>
      </c>
      <c r="D827" s="9" t="s">
        <v>45</v>
      </c>
      <c r="E827" s="9" t="s">
        <v>8</v>
      </c>
      <c r="F827" s="9" t="str">
        <f t="shared" si="12"/>
        <v>Not Delivered</v>
      </c>
      <c r="G827" s="9" t="b">
        <v>0</v>
      </c>
      <c r="H827" s="9" t="s">
        <v>14</v>
      </c>
      <c r="I827" s="8">
        <v>9239</v>
      </c>
      <c r="J827" s="10">
        <v>523.05999999999995</v>
      </c>
      <c r="L827" s="10">
        <v>0</v>
      </c>
      <c r="M827" s="10">
        <v>602.99</v>
      </c>
      <c r="N827" s="8">
        <v>3</v>
      </c>
      <c r="O827" s="6">
        <v>2.1</v>
      </c>
    </row>
    <row r="828" spans="1:15" x14ac:dyDescent="0.25">
      <c r="A828" s="8">
        <v>79135</v>
      </c>
      <c r="B828" s="9" t="s">
        <v>39</v>
      </c>
      <c r="C828" s="9" t="s">
        <v>40</v>
      </c>
      <c r="D828" s="9" t="s">
        <v>25</v>
      </c>
      <c r="E828" s="9" t="s">
        <v>32</v>
      </c>
      <c r="F828" s="9" t="str">
        <f t="shared" si="12"/>
        <v>Not Delivered</v>
      </c>
      <c r="G828" s="9" t="b">
        <v>1</v>
      </c>
      <c r="H828" s="9" t="s">
        <v>9</v>
      </c>
      <c r="I828" s="8">
        <v>7859</v>
      </c>
      <c r="J828" s="10">
        <v>278.62</v>
      </c>
      <c r="K828" s="10">
        <v>81.03</v>
      </c>
      <c r="L828" s="10">
        <v>188.36</v>
      </c>
      <c r="M828" s="10">
        <v>548.01</v>
      </c>
      <c r="N828" s="8">
        <v>12</v>
      </c>
      <c r="O828" s="6">
        <v>1.8</v>
      </c>
    </row>
    <row r="829" spans="1:15" x14ac:dyDescent="0.25">
      <c r="A829" s="8">
        <v>31241</v>
      </c>
      <c r="B829" s="9" t="s">
        <v>39</v>
      </c>
      <c r="C829" s="9" t="s">
        <v>52</v>
      </c>
      <c r="D829" s="9" t="s">
        <v>45</v>
      </c>
      <c r="E829" s="9" t="s">
        <v>21</v>
      </c>
      <c r="F829" s="9" t="str">
        <f t="shared" si="12"/>
        <v>Not Delivered</v>
      </c>
      <c r="G829" s="9" t="b">
        <v>1</v>
      </c>
      <c r="H829" s="9" t="s">
        <v>9</v>
      </c>
      <c r="I829" s="8">
        <v>4271</v>
      </c>
      <c r="J829" s="10">
        <v>1359.42</v>
      </c>
      <c r="K829" s="10">
        <v>0</v>
      </c>
      <c r="L829" s="10">
        <v>293.95</v>
      </c>
      <c r="M829" s="10">
        <v>1653.37</v>
      </c>
      <c r="N829" s="8">
        <v>5</v>
      </c>
    </row>
    <row r="830" spans="1:15" x14ac:dyDescent="0.25">
      <c r="A830" s="8">
        <v>89254</v>
      </c>
      <c r="B830" s="9" t="s">
        <v>0</v>
      </c>
      <c r="C830" s="9" t="s">
        <v>53</v>
      </c>
      <c r="D830" s="9" t="s">
        <v>12</v>
      </c>
      <c r="E830" s="9" t="s">
        <v>17</v>
      </c>
      <c r="F830" s="9" t="str">
        <f t="shared" si="12"/>
        <v>Not Delivered</v>
      </c>
      <c r="G830" s="9" t="b">
        <v>0</v>
      </c>
      <c r="H830" s="9" t="s">
        <v>28</v>
      </c>
      <c r="I830" s="8">
        <v>3267</v>
      </c>
      <c r="J830" s="10">
        <v>686.06</v>
      </c>
      <c r="K830" s="10">
        <v>138.18</v>
      </c>
      <c r="L830" s="10">
        <v>0</v>
      </c>
      <c r="M830" s="10">
        <v>824.24</v>
      </c>
      <c r="N830" s="8">
        <v>3</v>
      </c>
    </row>
    <row r="831" spans="1:15" x14ac:dyDescent="0.25">
      <c r="A831" s="8">
        <v>42768</v>
      </c>
      <c r="B831" s="9" t="s">
        <v>23</v>
      </c>
      <c r="C831" s="9" t="s">
        <v>49</v>
      </c>
      <c r="D831" s="9" t="s">
        <v>16</v>
      </c>
      <c r="E831" s="9" t="s">
        <v>3</v>
      </c>
      <c r="F831" s="9" t="str">
        <f t="shared" si="12"/>
        <v>Not Delivered</v>
      </c>
      <c r="G831" s="9" t="b">
        <v>0</v>
      </c>
      <c r="H831" s="9" t="s">
        <v>33</v>
      </c>
      <c r="I831" s="8">
        <v>1854</v>
      </c>
      <c r="J831" s="10">
        <v>1575</v>
      </c>
      <c r="K831" s="10">
        <v>73.650000000000006</v>
      </c>
      <c r="L831" s="10">
        <v>0</v>
      </c>
      <c r="M831" s="10">
        <v>1648.65</v>
      </c>
      <c r="N831" s="8">
        <v>7</v>
      </c>
      <c r="O831" s="6">
        <v>3.9</v>
      </c>
    </row>
    <row r="832" spans="1:15" x14ac:dyDescent="0.25">
      <c r="A832" s="8">
        <v>94040</v>
      </c>
      <c r="B832" s="9" t="s">
        <v>10</v>
      </c>
      <c r="C832" s="9" t="s">
        <v>20</v>
      </c>
      <c r="D832" s="9" t="s">
        <v>50</v>
      </c>
      <c r="E832" s="9" t="s">
        <v>8</v>
      </c>
      <c r="F832" s="9" t="str">
        <f t="shared" si="12"/>
        <v>Not Delivered</v>
      </c>
      <c r="G832" s="9" t="b">
        <v>1</v>
      </c>
      <c r="H832" s="9" t="s">
        <v>28</v>
      </c>
      <c r="I832" s="8">
        <v>8873</v>
      </c>
      <c r="J832" s="10">
        <v>256.97000000000003</v>
      </c>
      <c r="K832" s="10">
        <v>57.17</v>
      </c>
      <c r="L832" s="10">
        <v>62.47</v>
      </c>
      <c r="M832" s="10">
        <v>376.61</v>
      </c>
      <c r="N832" s="8">
        <v>13</v>
      </c>
    </row>
    <row r="833" spans="1:15" x14ac:dyDescent="0.25">
      <c r="A833" s="8">
        <v>58655</v>
      </c>
      <c r="B833" s="9" t="s">
        <v>0</v>
      </c>
      <c r="C833" s="9" t="s">
        <v>37</v>
      </c>
      <c r="D833" s="9" t="s">
        <v>19</v>
      </c>
      <c r="E833" s="9" t="s">
        <v>17</v>
      </c>
      <c r="F833" s="9" t="str">
        <f t="shared" si="12"/>
        <v>Not Delivered</v>
      </c>
      <c r="G833" s="9" t="b">
        <v>1</v>
      </c>
      <c r="H833" s="9" t="s">
        <v>28</v>
      </c>
      <c r="I833" s="8">
        <v>2680</v>
      </c>
      <c r="J833" s="10">
        <v>477.38</v>
      </c>
      <c r="L833" s="10">
        <v>59.43</v>
      </c>
      <c r="M833" s="10">
        <v>614.79</v>
      </c>
      <c r="N833" s="8">
        <v>14</v>
      </c>
      <c r="O833" s="6">
        <v>3.5</v>
      </c>
    </row>
    <row r="834" spans="1:15" x14ac:dyDescent="0.25">
      <c r="A834" s="8">
        <v>77621</v>
      </c>
      <c r="B834" s="9" t="s">
        <v>39</v>
      </c>
      <c r="C834" s="9" t="s">
        <v>57</v>
      </c>
      <c r="D834" s="9" t="s">
        <v>25</v>
      </c>
      <c r="E834" s="9" t="s">
        <v>3</v>
      </c>
      <c r="F834" s="9" t="str">
        <f t="shared" si="12"/>
        <v>Not Delivered</v>
      </c>
      <c r="G834" s="9" t="b">
        <v>1</v>
      </c>
      <c r="H834" s="9" t="s">
        <v>9</v>
      </c>
      <c r="I834" s="8">
        <v>3042</v>
      </c>
      <c r="J834" s="10">
        <v>468.88</v>
      </c>
      <c r="K834" s="10">
        <v>39.409999999999997</v>
      </c>
      <c r="L834" s="10">
        <v>152.65</v>
      </c>
      <c r="M834" s="10">
        <v>660.94</v>
      </c>
      <c r="N834" s="8">
        <v>4</v>
      </c>
    </row>
    <row r="835" spans="1:15" x14ac:dyDescent="0.25">
      <c r="A835" s="8">
        <v>47363</v>
      </c>
      <c r="B835" s="9" t="s">
        <v>41</v>
      </c>
      <c r="C835" s="9" t="s">
        <v>61</v>
      </c>
      <c r="D835" s="9" t="s">
        <v>16</v>
      </c>
      <c r="E835" s="9" t="s">
        <v>8</v>
      </c>
      <c r="F835" s="9" t="str">
        <f t="shared" ref="F835:F898" si="13">IF(OR(
E835="Failed Delivery",
E835="Cancelled",
E835="Pending",
E835="Rescheduled",
E835="In Transit"
),"Not Delivered","Delivered")</f>
        <v>Not Delivered</v>
      </c>
      <c r="G835" s="9" t="b">
        <v>0</v>
      </c>
      <c r="H835" s="9" t="s">
        <v>4</v>
      </c>
      <c r="I835" s="8">
        <v>2374</v>
      </c>
      <c r="J835" s="10">
        <v>1840.35</v>
      </c>
      <c r="L835" s="10">
        <v>0</v>
      </c>
      <c r="M835" s="10">
        <v>1912.53</v>
      </c>
      <c r="N835" s="8">
        <v>8</v>
      </c>
    </row>
    <row r="836" spans="1:15" x14ac:dyDescent="0.25">
      <c r="A836" s="8">
        <v>31012</v>
      </c>
      <c r="B836" s="9" t="s">
        <v>10</v>
      </c>
      <c r="C836" s="9" t="s">
        <v>26</v>
      </c>
      <c r="D836" s="9" t="s">
        <v>25</v>
      </c>
      <c r="E836" s="9" t="s">
        <v>32</v>
      </c>
      <c r="F836" s="9" t="str">
        <f t="shared" si="13"/>
        <v>Not Delivered</v>
      </c>
      <c r="G836" s="9" t="b">
        <v>0</v>
      </c>
      <c r="H836" s="9" t="s">
        <v>4</v>
      </c>
      <c r="I836" s="8">
        <v>5469</v>
      </c>
      <c r="J836" s="10">
        <v>611.57000000000005</v>
      </c>
      <c r="K836" s="10">
        <v>0</v>
      </c>
      <c r="L836" s="10">
        <v>0</v>
      </c>
      <c r="M836" s="10">
        <v>611.57000000000005</v>
      </c>
      <c r="N836" s="8">
        <v>12</v>
      </c>
      <c r="O836" s="6">
        <v>2.2999999999999998</v>
      </c>
    </row>
    <row r="837" spans="1:15" x14ac:dyDescent="0.25">
      <c r="A837" s="8">
        <v>68893</v>
      </c>
      <c r="B837" s="9" t="s">
        <v>5</v>
      </c>
      <c r="C837" s="9" t="s">
        <v>6</v>
      </c>
      <c r="D837" s="9" t="s">
        <v>7</v>
      </c>
      <c r="E837" s="9" t="s">
        <v>13</v>
      </c>
      <c r="F837" s="9" t="str">
        <f t="shared" si="13"/>
        <v>Delivered</v>
      </c>
      <c r="G837" s="9" t="b">
        <v>0</v>
      </c>
      <c r="H837" s="9" t="s">
        <v>9</v>
      </c>
      <c r="I837" s="8">
        <v>9410</v>
      </c>
      <c r="J837" s="10">
        <v>1718.99</v>
      </c>
      <c r="K837" s="10">
        <v>78.53</v>
      </c>
      <c r="L837" s="10">
        <v>0</v>
      </c>
      <c r="M837" s="10">
        <v>1797.52</v>
      </c>
      <c r="N837" s="8">
        <v>10</v>
      </c>
    </row>
    <row r="838" spans="1:15" x14ac:dyDescent="0.25">
      <c r="A838" s="8">
        <v>29313</v>
      </c>
      <c r="B838" s="9" t="s">
        <v>10</v>
      </c>
      <c r="C838" s="9" t="s">
        <v>11</v>
      </c>
      <c r="D838" s="9" t="s">
        <v>2</v>
      </c>
      <c r="E838" s="9" t="s">
        <v>21</v>
      </c>
      <c r="F838" s="9" t="str">
        <f t="shared" si="13"/>
        <v>Not Delivered</v>
      </c>
      <c r="G838" s="9" t="b">
        <v>1</v>
      </c>
      <c r="H838" s="9" t="s">
        <v>18</v>
      </c>
      <c r="I838" s="8">
        <v>8167</v>
      </c>
      <c r="J838" s="10">
        <v>678.28</v>
      </c>
      <c r="K838" s="10">
        <v>0</v>
      </c>
      <c r="L838" s="10">
        <v>66.56</v>
      </c>
      <c r="M838" s="10">
        <v>744.84</v>
      </c>
      <c r="N838" s="8">
        <v>12</v>
      </c>
      <c r="O838" s="6">
        <v>4</v>
      </c>
    </row>
    <row r="839" spans="1:15" x14ac:dyDescent="0.25">
      <c r="A839" s="8">
        <v>22021</v>
      </c>
      <c r="B839" s="9" t="s">
        <v>10</v>
      </c>
      <c r="C839" s="9" t="s">
        <v>29</v>
      </c>
      <c r="D839" s="9" t="s">
        <v>38</v>
      </c>
      <c r="E839" s="9" t="s">
        <v>21</v>
      </c>
      <c r="F839" s="9" t="str">
        <f t="shared" si="13"/>
        <v>Not Delivered</v>
      </c>
      <c r="G839" s="9" t="b">
        <v>0</v>
      </c>
      <c r="H839" s="9" t="s">
        <v>4</v>
      </c>
      <c r="I839" s="8">
        <v>4637</v>
      </c>
      <c r="J839" s="10">
        <v>1335.47</v>
      </c>
      <c r="K839" s="10">
        <v>0</v>
      </c>
      <c r="L839" s="10">
        <v>0</v>
      </c>
      <c r="M839" s="10">
        <v>1335.47</v>
      </c>
      <c r="N839" s="8">
        <v>2</v>
      </c>
      <c r="O839" s="6">
        <v>1.5</v>
      </c>
    </row>
    <row r="840" spans="1:15" x14ac:dyDescent="0.25">
      <c r="A840" s="8">
        <v>69130</v>
      </c>
      <c r="B840" s="9" t="s">
        <v>5</v>
      </c>
      <c r="C840" s="9" t="s">
        <v>59</v>
      </c>
      <c r="D840" s="9" t="s">
        <v>50</v>
      </c>
      <c r="E840" s="9" t="s">
        <v>8</v>
      </c>
      <c r="F840" s="9" t="str">
        <f t="shared" si="13"/>
        <v>Not Delivered</v>
      </c>
      <c r="G840" s="9" t="b">
        <v>1</v>
      </c>
      <c r="H840" s="9" t="s">
        <v>9</v>
      </c>
      <c r="I840" s="8">
        <v>6727</v>
      </c>
      <c r="J840" s="10">
        <v>2427.16</v>
      </c>
      <c r="K840" s="10">
        <v>131.74</v>
      </c>
      <c r="L840" s="10">
        <v>288.83</v>
      </c>
      <c r="M840" s="10">
        <v>2847.73</v>
      </c>
      <c r="N840" s="8">
        <v>2</v>
      </c>
      <c r="O840" s="6">
        <v>3.5</v>
      </c>
    </row>
    <row r="841" spans="1:15" x14ac:dyDescent="0.25">
      <c r="A841" s="8">
        <v>13495</v>
      </c>
      <c r="B841" s="9" t="s">
        <v>23</v>
      </c>
      <c r="C841" s="9" t="s">
        <v>34</v>
      </c>
      <c r="D841" s="9" t="s">
        <v>30</v>
      </c>
      <c r="E841" s="9" t="s">
        <v>13</v>
      </c>
      <c r="F841" s="9" t="str">
        <f t="shared" si="13"/>
        <v>Delivered</v>
      </c>
      <c r="G841" s="9" t="b">
        <v>1</v>
      </c>
      <c r="H841" s="9" t="s">
        <v>33</v>
      </c>
      <c r="I841" s="8">
        <v>7797</v>
      </c>
      <c r="J841" s="10">
        <v>2204.19</v>
      </c>
      <c r="K841" s="10">
        <v>0</v>
      </c>
      <c r="L841" s="10">
        <v>232.57</v>
      </c>
      <c r="M841" s="10">
        <v>2436.7600000000002</v>
      </c>
      <c r="N841" s="8">
        <v>5</v>
      </c>
      <c r="O841" s="6">
        <v>4</v>
      </c>
    </row>
    <row r="842" spans="1:15" x14ac:dyDescent="0.25">
      <c r="A842" s="8">
        <v>16980</v>
      </c>
      <c r="B842" s="9" t="s">
        <v>39</v>
      </c>
      <c r="C842" s="9" t="s">
        <v>57</v>
      </c>
      <c r="D842" s="9" t="s">
        <v>25</v>
      </c>
      <c r="E842" s="9" t="s">
        <v>32</v>
      </c>
      <c r="F842" s="9" t="str">
        <f t="shared" si="13"/>
        <v>Not Delivered</v>
      </c>
      <c r="G842" s="9" t="b">
        <v>0</v>
      </c>
      <c r="H842" s="9" t="s">
        <v>18</v>
      </c>
      <c r="I842" s="8">
        <v>7495</v>
      </c>
      <c r="J842" s="10">
        <v>1373.41</v>
      </c>
      <c r="K842" s="10">
        <v>0</v>
      </c>
      <c r="L842" s="10">
        <v>0</v>
      </c>
      <c r="M842" s="10">
        <v>1373.41</v>
      </c>
      <c r="N842" s="8">
        <v>9</v>
      </c>
      <c r="O842" s="6">
        <v>3</v>
      </c>
    </row>
    <row r="843" spans="1:15" x14ac:dyDescent="0.25">
      <c r="A843" s="8">
        <v>75799</v>
      </c>
      <c r="B843" s="9" t="s">
        <v>10</v>
      </c>
      <c r="C843" s="9" t="s">
        <v>29</v>
      </c>
      <c r="D843" s="9" t="s">
        <v>7</v>
      </c>
      <c r="E843" s="9" t="s">
        <v>3</v>
      </c>
      <c r="F843" s="9" t="str">
        <f t="shared" si="13"/>
        <v>Not Delivered</v>
      </c>
      <c r="G843" s="9" t="b">
        <v>1</v>
      </c>
      <c r="H843" s="9" t="s">
        <v>14</v>
      </c>
      <c r="I843" s="8">
        <v>7126</v>
      </c>
      <c r="J843" s="10">
        <v>650.35</v>
      </c>
      <c r="K843" s="10">
        <v>56.08</v>
      </c>
      <c r="L843" s="10">
        <v>224.25</v>
      </c>
      <c r="M843" s="10">
        <v>930.68</v>
      </c>
      <c r="N843" s="8">
        <v>9</v>
      </c>
      <c r="O843" s="6">
        <v>4.9000000000000004</v>
      </c>
    </row>
    <row r="844" spans="1:15" x14ac:dyDescent="0.25">
      <c r="A844" s="8">
        <v>40903</v>
      </c>
      <c r="B844" s="9" t="s">
        <v>41</v>
      </c>
      <c r="C844" s="9" t="s">
        <v>42</v>
      </c>
      <c r="D844" s="9" t="s">
        <v>30</v>
      </c>
      <c r="E844" s="9" t="s">
        <v>3</v>
      </c>
      <c r="F844" s="9" t="str">
        <f t="shared" si="13"/>
        <v>Not Delivered</v>
      </c>
      <c r="G844" s="9" t="b">
        <v>1</v>
      </c>
      <c r="H844" s="9" t="s">
        <v>18</v>
      </c>
      <c r="I844" s="8">
        <v>7326</v>
      </c>
      <c r="J844" s="10">
        <v>1537.5</v>
      </c>
      <c r="K844" s="10">
        <v>110.72</v>
      </c>
      <c r="L844" s="10">
        <v>50.18</v>
      </c>
      <c r="M844" s="10">
        <v>1698.4</v>
      </c>
      <c r="N844" s="8">
        <v>10</v>
      </c>
      <c r="O844" s="6">
        <v>3.8</v>
      </c>
    </row>
    <row r="845" spans="1:15" x14ac:dyDescent="0.25">
      <c r="A845" s="8">
        <v>20696</v>
      </c>
      <c r="B845" s="9" t="s">
        <v>0</v>
      </c>
      <c r="C845" s="9" t="s">
        <v>43</v>
      </c>
      <c r="D845" s="9" t="s">
        <v>19</v>
      </c>
      <c r="E845" s="9" t="s">
        <v>17</v>
      </c>
      <c r="F845" s="9" t="str">
        <f t="shared" si="13"/>
        <v>Not Delivered</v>
      </c>
      <c r="G845" s="9" t="b">
        <v>0</v>
      </c>
      <c r="H845" s="9" t="s">
        <v>18</v>
      </c>
      <c r="I845" s="8">
        <v>7142</v>
      </c>
      <c r="J845" s="10">
        <v>577.08000000000004</v>
      </c>
      <c r="K845" s="10">
        <v>79.64</v>
      </c>
      <c r="L845" s="10">
        <v>0</v>
      </c>
      <c r="M845" s="10">
        <v>656.72</v>
      </c>
      <c r="N845" s="8">
        <v>9</v>
      </c>
    </row>
    <row r="846" spans="1:15" x14ac:dyDescent="0.25">
      <c r="A846" s="8">
        <v>39430</v>
      </c>
      <c r="B846" s="9" t="s">
        <v>23</v>
      </c>
      <c r="C846" s="9" t="s">
        <v>49</v>
      </c>
      <c r="D846" s="9" t="s">
        <v>27</v>
      </c>
      <c r="E846" s="9" t="s">
        <v>32</v>
      </c>
      <c r="F846" s="9" t="str">
        <f t="shared" si="13"/>
        <v>Not Delivered</v>
      </c>
      <c r="G846" s="9" t="b">
        <v>0</v>
      </c>
      <c r="H846" s="9" t="s">
        <v>14</v>
      </c>
      <c r="I846" s="8">
        <v>1461</v>
      </c>
      <c r="J846" s="10">
        <v>261.41000000000003</v>
      </c>
      <c r="K846" s="10">
        <v>36.11</v>
      </c>
      <c r="L846" s="10">
        <v>0</v>
      </c>
      <c r="M846" s="10">
        <v>297.52</v>
      </c>
      <c r="N846" s="8">
        <v>3</v>
      </c>
      <c r="O846" s="6">
        <v>4.2</v>
      </c>
    </row>
    <row r="847" spans="1:15" x14ac:dyDescent="0.25">
      <c r="A847" s="8">
        <v>51770</v>
      </c>
      <c r="B847" s="9" t="s">
        <v>23</v>
      </c>
      <c r="C847" s="9" t="s">
        <v>34</v>
      </c>
      <c r="E847" s="9" t="s">
        <v>21</v>
      </c>
      <c r="F847" s="9" t="str">
        <f t="shared" si="13"/>
        <v>Not Delivered</v>
      </c>
      <c r="G847" s="9" t="b">
        <v>0</v>
      </c>
      <c r="H847" s="9" t="s">
        <v>33</v>
      </c>
      <c r="I847" s="8">
        <v>2623</v>
      </c>
      <c r="J847" s="10">
        <v>481.13</v>
      </c>
      <c r="K847" s="10">
        <v>73.650000000000006</v>
      </c>
      <c r="L847" s="10">
        <v>0</v>
      </c>
      <c r="M847" s="10">
        <v>554.78</v>
      </c>
      <c r="N847" s="8">
        <v>6</v>
      </c>
    </row>
    <row r="848" spans="1:15" x14ac:dyDescent="0.25">
      <c r="A848" s="8">
        <v>95191</v>
      </c>
      <c r="B848" s="9" t="s">
        <v>0</v>
      </c>
      <c r="C848" s="9" t="s">
        <v>53</v>
      </c>
      <c r="D848" s="9" t="s">
        <v>50</v>
      </c>
      <c r="E848" s="9" t="s">
        <v>17</v>
      </c>
      <c r="F848" s="9" t="str">
        <f t="shared" si="13"/>
        <v>Not Delivered</v>
      </c>
      <c r="G848" s="9" t="b">
        <v>1</v>
      </c>
      <c r="H848" s="9" t="s">
        <v>18</v>
      </c>
      <c r="I848" s="8">
        <v>6493</v>
      </c>
      <c r="J848" s="10">
        <v>823.77</v>
      </c>
      <c r="K848" s="10">
        <v>82.46</v>
      </c>
      <c r="M848" s="10">
        <v>951.83</v>
      </c>
      <c r="N848" s="8">
        <v>4</v>
      </c>
      <c r="O848" s="6">
        <v>2.1</v>
      </c>
    </row>
    <row r="849" spans="1:15" x14ac:dyDescent="0.25">
      <c r="A849" s="8">
        <v>29142</v>
      </c>
      <c r="B849" s="9" t="s">
        <v>0</v>
      </c>
      <c r="C849" s="9" t="s">
        <v>43</v>
      </c>
      <c r="D849" s="9" t="s">
        <v>2</v>
      </c>
      <c r="E849" s="9" t="s">
        <v>21</v>
      </c>
      <c r="F849" s="9" t="str">
        <f t="shared" si="13"/>
        <v>Not Delivered</v>
      </c>
      <c r="G849" s="9" t="b">
        <v>0</v>
      </c>
      <c r="H849" s="9" t="s">
        <v>28</v>
      </c>
      <c r="I849" s="8">
        <v>3254</v>
      </c>
      <c r="J849" s="10">
        <v>325.63</v>
      </c>
      <c r="K849" s="10">
        <v>80.930000000000007</v>
      </c>
      <c r="L849" s="10">
        <v>0</v>
      </c>
      <c r="M849" s="10">
        <v>406.56</v>
      </c>
      <c r="N849" s="8">
        <v>11</v>
      </c>
      <c r="O849" s="6">
        <v>3.5</v>
      </c>
    </row>
    <row r="850" spans="1:15" x14ac:dyDescent="0.25">
      <c r="A850" s="8">
        <v>15020</v>
      </c>
      <c r="B850" s="9" t="s">
        <v>39</v>
      </c>
      <c r="C850" s="9" t="s">
        <v>40</v>
      </c>
      <c r="D850" s="9" t="s">
        <v>16</v>
      </c>
      <c r="E850" s="9" t="s">
        <v>13</v>
      </c>
      <c r="F850" s="9" t="str">
        <f t="shared" si="13"/>
        <v>Delivered</v>
      </c>
      <c r="G850" s="9" t="b">
        <v>0</v>
      </c>
      <c r="H850" s="9" t="s">
        <v>28</v>
      </c>
      <c r="I850" s="8">
        <v>5700</v>
      </c>
      <c r="J850" s="10">
        <v>540.45000000000005</v>
      </c>
      <c r="K850" s="10">
        <v>0</v>
      </c>
      <c r="L850" s="10">
        <v>0</v>
      </c>
      <c r="M850" s="10">
        <v>540.45000000000005</v>
      </c>
      <c r="N850" s="8">
        <v>3</v>
      </c>
      <c r="O850" s="6">
        <v>3.9</v>
      </c>
    </row>
    <row r="851" spans="1:15" x14ac:dyDescent="0.25">
      <c r="A851" s="8">
        <v>71925</v>
      </c>
      <c r="B851" s="9" t="s">
        <v>39</v>
      </c>
      <c r="C851" s="9" t="s">
        <v>57</v>
      </c>
      <c r="D851" s="9" t="s">
        <v>50</v>
      </c>
      <c r="E851" s="9" t="s">
        <v>32</v>
      </c>
      <c r="F851" s="9" t="str">
        <f t="shared" si="13"/>
        <v>Not Delivered</v>
      </c>
      <c r="G851" s="9" t="b">
        <v>1</v>
      </c>
      <c r="H851" s="9" t="s">
        <v>28</v>
      </c>
      <c r="I851" s="8">
        <v>3273</v>
      </c>
      <c r="J851" s="10">
        <v>784.26</v>
      </c>
      <c r="K851" s="10">
        <v>131.56</v>
      </c>
      <c r="L851" s="10">
        <v>78.48</v>
      </c>
      <c r="M851" s="10">
        <v>994.3</v>
      </c>
      <c r="N851" s="8">
        <v>12</v>
      </c>
      <c r="O851" s="6">
        <v>2.1</v>
      </c>
    </row>
    <row r="852" spans="1:15" x14ac:dyDescent="0.25">
      <c r="A852" s="8">
        <v>71487</v>
      </c>
      <c r="B852" s="9" t="s">
        <v>39</v>
      </c>
      <c r="C852" s="9" t="s">
        <v>55</v>
      </c>
      <c r="D852" s="9" t="s">
        <v>16</v>
      </c>
      <c r="E852" s="9" t="s">
        <v>17</v>
      </c>
      <c r="F852" s="9" t="str">
        <f t="shared" si="13"/>
        <v>Not Delivered</v>
      </c>
      <c r="G852" s="9" t="b">
        <v>0</v>
      </c>
      <c r="H852" s="9" t="s">
        <v>22</v>
      </c>
      <c r="I852" s="8">
        <v>8349</v>
      </c>
      <c r="J852" s="10">
        <v>346.74</v>
      </c>
      <c r="K852" s="10">
        <v>35.76</v>
      </c>
      <c r="L852" s="10">
        <v>0</v>
      </c>
      <c r="M852" s="10">
        <v>382.5</v>
      </c>
      <c r="N852" s="8">
        <v>4</v>
      </c>
      <c r="O852" s="6">
        <v>3.6</v>
      </c>
    </row>
    <row r="853" spans="1:15" x14ac:dyDescent="0.25">
      <c r="A853" s="8">
        <v>90654</v>
      </c>
      <c r="B853" s="9" t="s">
        <v>41</v>
      </c>
      <c r="C853" s="9" t="s">
        <v>46</v>
      </c>
      <c r="D853" s="9" t="s">
        <v>25</v>
      </c>
      <c r="E853" s="9" t="s">
        <v>8</v>
      </c>
      <c r="F853" s="9" t="str">
        <f t="shared" si="13"/>
        <v>Not Delivered</v>
      </c>
      <c r="G853" s="9" t="b">
        <v>0</v>
      </c>
      <c r="H853" s="9" t="s">
        <v>4</v>
      </c>
      <c r="I853" s="8">
        <v>1086</v>
      </c>
      <c r="J853" s="10">
        <v>1898.88</v>
      </c>
      <c r="K853" s="10">
        <v>110.33</v>
      </c>
      <c r="L853" s="10">
        <v>0</v>
      </c>
      <c r="M853" s="10">
        <v>2009.21</v>
      </c>
      <c r="N853" s="8">
        <v>7</v>
      </c>
    </row>
    <row r="854" spans="1:15" x14ac:dyDescent="0.25">
      <c r="A854" s="8">
        <v>20384</v>
      </c>
      <c r="B854" s="9" t="s">
        <v>23</v>
      </c>
      <c r="C854" s="9" t="s">
        <v>24</v>
      </c>
      <c r="D854" s="9" t="s">
        <v>38</v>
      </c>
      <c r="E854" s="9" t="s">
        <v>17</v>
      </c>
      <c r="F854" s="9" t="str">
        <f t="shared" si="13"/>
        <v>Not Delivered</v>
      </c>
      <c r="G854" s="9" t="b">
        <v>1</v>
      </c>
      <c r="H854" s="9" t="s">
        <v>28</v>
      </c>
      <c r="I854" s="8">
        <v>1311</v>
      </c>
      <c r="J854" s="10">
        <v>2344.84</v>
      </c>
      <c r="K854" s="10">
        <v>0</v>
      </c>
      <c r="L854" s="10">
        <v>48.94</v>
      </c>
      <c r="M854" s="10">
        <v>2393.7800000000002</v>
      </c>
      <c r="N854" s="8">
        <v>2</v>
      </c>
      <c r="O854" s="6">
        <v>4.3</v>
      </c>
    </row>
    <row r="855" spans="1:15" x14ac:dyDescent="0.25">
      <c r="A855" s="8">
        <v>43544</v>
      </c>
      <c r="B855" s="9" t="s">
        <v>23</v>
      </c>
      <c r="C855" s="9" t="s">
        <v>54</v>
      </c>
      <c r="D855" s="9" t="s">
        <v>30</v>
      </c>
      <c r="E855" s="9" t="s">
        <v>8</v>
      </c>
      <c r="F855" s="9" t="str">
        <f t="shared" si="13"/>
        <v>Not Delivered</v>
      </c>
      <c r="G855" s="9" t="b">
        <v>0</v>
      </c>
      <c r="H855" s="9" t="s">
        <v>33</v>
      </c>
      <c r="I855" s="8">
        <v>4533</v>
      </c>
      <c r="J855" s="10">
        <v>2315.06</v>
      </c>
      <c r="K855" s="10">
        <v>131.55000000000001</v>
      </c>
      <c r="L855" s="10">
        <v>0</v>
      </c>
      <c r="M855" s="10">
        <v>2446.61</v>
      </c>
      <c r="N855" s="8">
        <v>6</v>
      </c>
      <c r="O855" s="6">
        <v>2</v>
      </c>
    </row>
    <row r="856" spans="1:15" x14ac:dyDescent="0.25">
      <c r="A856" s="8">
        <v>29597</v>
      </c>
      <c r="B856" s="9" t="s">
        <v>0</v>
      </c>
      <c r="C856" s="9" t="s">
        <v>43</v>
      </c>
      <c r="D856" s="9" t="s">
        <v>19</v>
      </c>
      <c r="E856" s="9" t="s">
        <v>17</v>
      </c>
      <c r="F856" s="9" t="str">
        <f t="shared" si="13"/>
        <v>Not Delivered</v>
      </c>
      <c r="G856" s="9" t="b">
        <v>1</v>
      </c>
      <c r="H856" s="9" t="s">
        <v>28</v>
      </c>
      <c r="I856" s="8">
        <v>9991</v>
      </c>
      <c r="J856" s="10">
        <v>353.07</v>
      </c>
      <c r="K856" s="10">
        <v>86.87</v>
      </c>
      <c r="L856" s="10">
        <v>110.26</v>
      </c>
      <c r="M856" s="10">
        <v>550.20000000000005</v>
      </c>
      <c r="N856" s="8">
        <v>14</v>
      </c>
      <c r="O856" s="6">
        <v>1</v>
      </c>
    </row>
    <row r="857" spans="1:15" x14ac:dyDescent="0.25">
      <c r="A857" s="8">
        <v>89807</v>
      </c>
      <c r="B857" s="9" t="s">
        <v>39</v>
      </c>
      <c r="C857" s="9" t="s">
        <v>58</v>
      </c>
      <c r="E857" s="9" t="s">
        <v>17</v>
      </c>
      <c r="F857" s="9" t="str">
        <f t="shared" si="13"/>
        <v>Not Delivered</v>
      </c>
      <c r="G857" s="9" t="b">
        <v>1</v>
      </c>
      <c r="H857" s="9" t="s">
        <v>28</v>
      </c>
      <c r="I857" s="8">
        <v>9647</v>
      </c>
      <c r="J857" s="10">
        <v>289.27</v>
      </c>
      <c r="K857" s="10">
        <v>74.150000000000006</v>
      </c>
      <c r="L857" s="10">
        <v>253.01</v>
      </c>
      <c r="M857" s="10">
        <v>616.42999999999995</v>
      </c>
      <c r="N857" s="8">
        <v>12</v>
      </c>
      <c r="O857" s="6">
        <v>1.4</v>
      </c>
    </row>
    <row r="858" spans="1:15" x14ac:dyDescent="0.25">
      <c r="A858" s="8">
        <v>65476</v>
      </c>
      <c r="B858" s="9" t="s">
        <v>5</v>
      </c>
      <c r="C858" s="9" t="s">
        <v>56</v>
      </c>
      <c r="D858" s="9" t="s">
        <v>7</v>
      </c>
      <c r="E858" s="9" t="s">
        <v>8</v>
      </c>
      <c r="F858" s="9" t="str">
        <f t="shared" si="13"/>
        <v>Not Delivered</v>
      </c>
      <c r="G858" s="9" t="b">
        <v>1</v>
      </c>
      <c r="H858" s="9" t="s">
        <v>9</v>
      </c>
      <c r="I858" s="8">
        <v>2821</v>
      </c>
      <c r="J858" s="10">
        <v>1021.81</v>
      </c>
      <c r="K858" s="10">
        <v>61.84</v>
      </c>
      <c r="L858" s="10">
        <v>40.11</v>
      </c>
      <c r="M858" s="10">
        <v>1123.76</v>
      </c>
      <c r="N858" s="8">
        <v>3</v>
      </c>
      <c r="O858" s="6">
        <v>2.2999999999999998</v>
      </c>
    </row>
    <row r="859" spans="1:15" x14ac:dyDescent="0.25">
      <c r="A859" s="8">
        <v>47762</v>
      </c>
      <c r="B859" s="9" t="s">
        <v>23</v>
      </c>
      <c r="C859" s="9" t="s">
        <v>48</v>
      </c>
      <c r="D859" s="9" t="s">
        <v>38</v>
      </c>
      <c r="E859" s="9" t="s">
        <v>17</v>
      </c>
      <c r="F859" s="9" t="str">
        <f t="shared" si="13"/>
        <v>Not Delivered</v>
      </c>
      <c r="G859" s="9" t="b">
        <v>1</v>
      </c>
      <c r="H859" s="9" t="s">
        <v>14</v>
      </c>
      <c r="I859" s="8">
        <v>4893</v>
      </c>
      <c r="J859" s="10">
        <v>2108.41</v>
      </c>
      <c r="K859" s="10">
        <v>78.7</v>
      </c>
      <c r="L859" s="10">
        <v>191.62</v>
      </c>
      <c r="M859" s="10">
        <v>2378.73</v>
      </c>
      <c r="N859" s="8">
        <v>11</v>
      </c>
      <c r="O859" s="6">
        <v>2.1</v>
      </c>
    </row>
    <row r="860" spans="1:15" x14ac:dyDescent="0.25">
      <c r="A860" s="8">
        <v>49472</v>
      </c>
      <c r="B860" s="9" t="s">
        <v>5</v>
      </c>
      <c r="C860" s="9" t="s">
        <v>36</v>
      </c>
      <c r="D860" s="9" t="s">
        <v>12</v>
      </c>
      <c r="E860" s="9" t="s">
        <v>17</v>
      </c>
      <c r="F860" s="9" t="str">
        <f t="shared" si="13"/>
        <v>Not Delivered</v>
      </c>
      <c r="G860" s="9" t="b">
        <v>1</v>
      </c>
      <c r="H860" s="9" t="s">
        <v>18</v>
      </c>
      <c r="I860" s="8">
        <v>2996</v>
      </c>
      <c r="J860" s="10">
        <v>1988.9</v>
      </c>
      <c r="K860" s="10">
        <v>0</v>
      </c>
      <c r="L860" s="10">
        <v>217</v>
      </c>
      <c r="M860" s="10">
        <v>2205.9</v>
      </c>
      <c r="N860" s="8">
        <v>13</v>
      </c>
      <c r="O860" s="6">
        <v>2.9</v>
      </c>
    </row>
    <row r="861" spans="1:15" x14ac:dyDescent="0.25">
      <c r="A861" s="8">
        <v>16258</v>
      </c>
      <c r="B861" s="9" t="s">
        <v>39</v>
      </c>
      <c r="C861" s="9" t="s">
        <v>52</v>
      </c>
      <c r="D861" s="9" t="s">
        <v>38</v>
      </c>
      <c r="E861" s="9" t="s">
        <v>3</v>
      </c>
      <c r="F861" s="9" t="str">
        <f t="shared" si="13"/>
        <v>Not Delivered</v>
      </c>
      <c r="G861" s="9" t="b">
        <v>1</v>
      </c>
      <c r="H861" s="9" t="s">
        <v>18</v>
      </c>
      <c r="I861" s="8">
        <v>4906</v>
      </c>
      <c r="J861" s="10">
        <v>285.43</v>
      </c>
      <c r="K861" s="10">
        <v>49.23</v>
      </c>
      <c r="L861" s="10">
        <v>88.38</v>
      </c>
      <c r="M861" s="10">
        <v>423.04</v>
      </c>
      <c r="N861" s="8">
        <v>6</v>
      </c>
      <c r="O861" s="6">
        <v>2.7</v>
      </c>
    </row>
    <row r="862" spans="1:15" x14ac:dyDescent="0.25">
      <c r="A862" s="8">
        <v>65027</v>
      </c>
      <c r="B862" s="9" t="s">
        <v>0</v>
      </c>
      <c r="C862" s="9" t="s">
        <v>51</v>
      </c>
      <c r="D862" s="9" t="s">
        <v>30</v>
      </c>
      <c r="E862" s="9" t="s">
        <v>32</v>
      </c>
      <c r="F862" s="9" t="str">
        <f t="shared" si="13"/>
        <v>Not Delivered</v>
      </c>
      <c r="G862" s="9" t="b">
        <v>1</v>
      </c>
      <c r="H862" s="9" t="s">
        <v>9</v>
      </c>
      <c r="I862" s="8">
        <v>8489</v>
      </c>
      <c r="J862" s="10">
        <v>378.07</v>
      </c>
      <c r="K862" s="10">
        <v>95.8</v>
      </c>
      <c r="L862" s="10">
        <v>212.8</v>
      </c>
      <c r="M862" s="10">
        <v>686.67</v>
      </c>
      <c r="N862" s="8">
        <v>8</v>
      </c>
      <c r="O862" s="6">
        <v>3</v>
      </c>
    </row>
    <row r="863" spans="1:15" x14ac:dyDescent="0.25">
      <c r="A863" s="8">
        <v>18232</v>
      </c>
      <c r="B863" s="9" t="s">
        <v>5</v>
      </c>
      <c r="C863" s="9" t="s">
        <v>59</v>
      </c>
      <c r="D863" s="9" t="s">
        <v>35</v>
      </c>
      <c r="E863" s="9" t="s">
        <v>21</v>
      </c>
      <c r="F863" s="9" t="str">
        <f t="shared" si="13"/>
        <v>Not Delivered</v>
      </c>
      <c r="G863" s="9" t="b">
        <v>1</v>
      </c>
      <c r="H863" s="9" t="s">
        <v>9</v>
      </c>
      <c r="I863" s="8">
        <v>2816</v>
      </c>
      <c r="J863" s="10">
        <v>1844.32</v>
      </c>
      <c r="K863" s="10">
        <v>127.66</v>
      </c>
      <c r="M863" s="10">
        <v>2002.86</v>
      </c>
      <c r="N863" s="8">
        <v>1</v>
      </c>
      <c r="O863" s="6">
        <v>4.4000000000000004</v>
      </c>
    </row>
    <row r="864" spans="1:15" x14ac:dyDescent="0.25">
      <c r="A864" s="8">
        <v>75513</v>
      </c>
      <c r="B864" s="9" t="s">
        <v>23</v>
      </c>
      <c r="C864" s="9" t="s">
        <v>60</v>
      </c>
      <c r="D864" s="9" t="s">
        <v>16</v>
      </c>
      <c r="E864" s="9" t="s">
        <v>32</v>
      </c>
      <c r="F864" s="9" t="str">
        <f t="shared" si="13"/>
        <v>Not Delivered</v>
      </c>
      <c r="G864" s="9" t="b">
        <v>1</v>
      </c>
      <c r="H864" s="9" t="s">
        <v>28</v>
      </c>
      <c r="I864" s="8">
        <v>9782</v>
      </c>
      <c r="J864" s="10">
        <v>319.8</v>
      </c>
      <c r="K864" s="10">
        <v>51.2</v>
      </c>
      <c r="L864" s="10">
        <v>146.04</v>
      </c>
      <c r="M864" s="10">
        <v>517.04</v>
      </c>
      <c r="N864" s="8">
        <v>14</v>
      </c>
      <c r="O864" s="6">
        <v>4.9000000000000004</v>
      </c>
    </row>
    <row r="865" spans="1:15" x14ac:dyDescent="0.25">
      <c r="A865" s="8">
        <v>12154</v>
      </c>
      <c r="B865" s="9" t="s">
        <v>23</v>
      </c>
      <c r="C865" s="9" t="s">
        <v>60</v>
      </c>
      <c r="D865" s="9" t="s">
        <v>38</v>
      </c>
      <c r="E865" s="9" t="s">
        <v>17</v>
      </c>
      <c r="F865" s="9" t="str">
        <f t="shared" si="13"/>
        <v>Not Delivered</v>
      </c>
      <c r="G865" s="9" t="b">
        <v>1</v>
      </c>
      <c r="H865" s="9" t="s">
        <v>22</v>
      </c>
      <c r="I865" s="8">
        <v>9443</v>
      </c>
      <c r="J865" s="10">
        <v>2278.94</v>
      </c>
      <c r="K865" s="10">
        <v>0</v>
      </c>
      <c r="L865" s="10">
        <v>259.95999999999998</v>
      </c>
      <c r="M865" s="10">
        <v>2538.9</v>
      </c>
      <c r="N865" s="8">
        <v>12</v>
      </c>
      <c r="O865" s="6">
        <v>2.5</v>
      </c>
    </row>
    <row r="866" spans="1:15" x14ac:dyDescent="0.25">
      <c r="A866" s="8">
        <v>85372</v>
      </c>
      <c r="B866" s="9" t="s">
        <v>41</v>
      </c>
      <c r="C866" s="9" t="s">
        <v>47</v>
      </c>
      <c r="D866" s="9" t="s">
        <v>2</v>
      </c>
      <c r="E866" s="9" t="s">
        <v>3</v>
      </c>
      <c r="F866" s="9" t="str">
        <f t="shared" si="13"/>
        <v>Not Delivered</v>
      </c>
      <c r="G866" s="9" t="b">
        <v>1</v>
      </c>
      <c r="H866" s="9" t="s">
        <v>28</v>
      </c>
      <c r="I866" s="8">
        <v>4963</v>
      </c>
      <c r="J866" s="10">
        <v>1349.02</v>
      </c>
      <c r="K866" s="10">
        <v>65.819999999999993</v>
      </c>
      <c r="L866" s="10">
        <v>114.13</v>
      </c>
      <c r="M866" s="10">
        <v>1528.97</v>
      </c>
      <c r="N866" s="8">
        <v>4</v>
      </c>
    </row>
    <row r="867" spans="1:15" x14ac:dyDescent="0.25">
      <c r="A867" s="8">
        <v>28818</v>
      </c>
      <c r="B867" s="9" t="s">
        <v>23</v>
      </c>
      <c r="C867" s="9" t="s">
        <v>54</v>
      </c>
      <c r="D867" s="9" t="s">
        <v>27</v>
      </c>
      <c r="E867" s="9" t="s">
        <v>8</v>
      </c>
      <c r="F867" s="9" t="str">
        <f t="shared" si="13"/>
        <v>Not Delivered</v>
      </c>
      <c r="G867" s="9" t="b">
        <v>0</v>
      </c>
      <c r="H867" s="9" t="s">
        <v>4</v>
      </c>
      <c r="I867" s="8">
        <v>5772</v>
      </c>
      <c r="J867" s="10">
        <v>2269.14</v>
      </c>
      <c r="K867" s="10">
        <v>119.86</v>
      </c>
      <c r="L867" s="10">
        <v>0</v>
      </c>
      <c r="M867" s="10">
        <v>2389</v>
      </c>
      <c r="N867" s="8">
        <v>8</v>
      </c>
      <c r="O867" s="6">
        <v>2.2999999999999998</v>
      </c>
    </row>
    <row r="868" spans="1:15" x14ac:dyDescent="0.25">
      <c r="A868" s="8">
        <v>66261</v>
      </c>
      <c r="B868" s="9" t="s">
        <v>10</v>
      </c>
      <c r="C868" s="9" t="s">
        <v>26</v>
      </c>
      <c r="D868" s="9" t="s">
        <v>45</v>
      </c>
      <c r="E868" s="9" t="s">
        <v>21</v>
      </c>
      <c r="F868" s="9" t="str">
        <f t="shared" si="13"/>
        <v>Not Delivered</v>
      </c>
      <c r="G868" s="9" t="b">
        <v>1</v>
      </c>
      <c r="H868" s="9" t="s">
        <v>22</v>
      </c>
      <c r="I868" s="8">
        <v>1025</v>
      </c>
      <c r="J868" s="10">
        <v>396.19</v>
      </c>
      <c r="K868" s="10">
        <v>91.09</v>
      </c>
      <c r="L868" s="10">
        <v>75.16</v>
      </c>
      <c r="M868" s="10">
        <v>562.44000000000005</v>
      </c>
      <c r="N868" s="8">
        <v>1</v>
      </c>
      <c r="O868" s="6">
        <v>2.7</v>
      </c>
    </row>
    <row r="869" spans="1:15" x14ac:dyDescent="0.25">
      <c r="A869" s="8">
        <v>90584</v>
      </c>
      <c r="B869" s="9" t="s">
        <v>10</v>
      </c>
      <c r="C869" s="9" t="s">
        <v>15</v>
      </c>
      <c r="D869" s="9" t="s">
        <v>38</v>
      </c>
      <c r="E869" s="9" t="s">
        <v>32</v>
      </c>
      <c r="F869" s="9" t="str">
        <f t="shared" si="13"/>
        <v>Not Delivered</v>
      </c>
      <c r="G869" s="9" t="b">
        <v>1</v>
      </c>
      <c r="H869" s="9" t="s">
        <v>9</v>
      </c>
      <c r="I869" s="8">
        <v>6780</v>
      </c>
      <c r="J869" s="10">
        <v>1053.56</v>
      </c>
      <c r="K869" s="10">
        <v>92.37</v>
      </c>
      <c r="L869" s="10">
        <v>197.31</v>
      </c>
      <c r="M869" s="10">
        <v>1343.24</v>
      </c>
      <c r="N869" s="8">
        <v>9</v>
      </c>
      <c r="O869" s="6">
        <v>4.8</v>
      </c>
    </row>
    <row r="870" spans="1:15" x14ac:dyDescent="0.25">
      <c r="A870" s="8">
        <v>41531</v>
      </c>
      <c r="B870" s="9" t="s">
        <v>41</v>
      </c>
      <c r="C870" s="9" t="s">
        <v>47</v>
      </c>
      <c r="D870" s="9" t="s">
        <v>7</v>
      </c>
      <c r="E870" s="9" t="s">
        <v>17</v>
      </c>
      <c r="F870" s="9" t="str">
        <f t="shared" si="13"/>
        <v>Not Delivered</v>
      </c>
      <c r="G870" s="9" t="b">
        <v>1</v>
      </c>
      <c r="H870" s="9" t="s">
        <v>14</v>
      </c>
      <c r="I870" s="8">
        <v>7825</v>
      </c>
      <c r="J870" s="10">
        <v>781.59</v>
      </c>
      <c r="K870" s="10">
        <v>0</v>
      </c>
      <c r="L870" s="10">
        <v>221.61</v>
      </c>
      <c r="M870" s="10">
        <v>1003.2</v>
      </c>
      <c r="N870" s="8">
        <v>11</v>
      </c>
      <c r="O870" s="6">
        <v>4.3</v>
      </c>
    </row>
    <row r="871" spans="1:15" x14ac:dyDescent="0.25">
      <c r="A871" s="8">
        <v>34551</v>
      </c>
      <c r="B871" s="9" t="s">
        <v>10</v>
      </c>
      <c r="C871" s="9" t="s">
        <v>20</v>
      </c>
      <c r="D871" s="9" t="s">
        <v>7</v>
      </c>
      <c r="E871" s="9" t="s">
        <v>21</v>
      </c>
      <c r="F871" s="9" t="str">
        <f t="shared" si="13"/>
        <v>Not Delivered</v>
      </c>
      <c r="G871" s="9" t="b">
        <v>1</v>
      </c>
      <c r="H871" s="9" t="s">
        <v>4</v>
      </c>
      <c r="I871" s="8">
        <v>2402</v>
      </c>
      <c r="J871" s="10">
        <v>469.99</v>
      </c>
      <c r="K871" s="10">
        <v>33.130000000000003</v>
      </c>
      <c r="L871" s="10">
        <v>160.32</v>
      </c>
      <c r="M871" s="10">
        <v>663.44</v>
      </c>
      <c r="N871" s="8">
        <v>14</v>
      </c>
      <c r="O871" s="6">
        <v>2</v>
      </c>
    </row>
    <row r="872" spans="1:15" x14ac:dyDescent="0.25">
      <c r="A872" s="8">
        <v>78614</v>
      </c>
      <c r="B872" s="9" t="s">
        <v>5</v>
      </c>
      <c r="C872" s="9" t="s">
        <v>36</v>
      </c>
      <c r="D872" s="9" t="s">
        <v>2</v>
      </c>
      <c r="E872" s="9" t="s">
        <v>3</v>
      </c>
      <c r="F872" s="9" t="str">
        <f t="shared" si="13"/>
        <v>Not Delivered</v>
      </c>
      <c r="G872" s="9" t="b">
        <v>1</v>
      </c>
      <c r="H872" s="9" t="s">
        <v>4</v>
      </c>
      <c r="I872" s="8">
        <v>6908</v>
      </c>
      <c r="J872" s="10">
        <v>1573.35</v>
      </c>
      <c r="K872" s="10">
        <v>80.91</v>
      </c>
      <c r="L872" s="10">
        <v>31.01</v>
      </c>
      <c r="M872" s="10">
        <v>1685.27</v>
      </c>
      <c r="N872" s="8">
        <v>2</v>
      </c>
      <c r="O872" s="6">
        <v>3.3</v>
      </c>
    </row>
    <row r="873" spans="1:15" x14ac:dyDescent="0.25">
      <c r="A873" s="8">
        <v>18870</v>
      </c>
      <c r="B873" s="9" t="s">
        <v>5</v>
      </c>
      <c r="C873" s="9" t="s">
        <v>56</v>
      </c>
      <c r="D873" s="9" t="s">
        <v>19</v>
      </c>
      <c r="E873" s="9" t="s">
        <v>13</v>
      </c>
      <c r="F873" s="9" t="str">
        <f t="shared" si="13"/>
        <v>Delivered</v>
      </c>
      <c r="G873" s="9" t="b">
        <v>0</v>
      </c>
      <c r="H873" s="9" t="s">
        <v>14</v>
      </c>
      <c r="I873" s="8">
        <v>9618</v>
      </c>
      <c r="J873" s="10">
        <v>414.39</v>
      </c>
      <c r="L873" s="10">
        <v>0</v>
      </c>
      <c r="M873" s="10">
        <v>462.54</v>
      </c>
      <c r="N873" s="8">
        <v>13</v>
      </c>
      <c r="O873" s="6">
        <v>2.6</v>
      </c>
    </row>
    <row r="874" spans="1:15" x14ac:dyDescent="0.25">
      <c r="A874" s="8">
        <v>81313</v>
      </c>
      <c r="B874" s="9" t="s">
        <v>39</v>
      </c>
      <c r="C874" s="9" t="s">
        <v>52</v>
      </c>
      <c r="D874" s="9" t="s">
        <v>7</v>
      </c>
      <c r="E874" s="9" t="s">
        <v>17</v>
      </c>
      <c r="F874" s="9" t="str">
        <f t="shared" si="13"/>
        <v>Not Delivered</v>
      </c>
      <c r="G874" s="9" t="b">
        <v>0</v>
      </c>
      <c r="H874" s="9" t="s">
        <v>18</v>
      </c>
      <c r="I874" s="8">
        <v>9312</v>
      </c>
      <c r="J874" s="10">
        <v>1462.87</v>
      </c>
      <c r="K874" s="10">
        <v>59.74</v>
      </c>
      <c r="L874" s="10">
        <v>0</v>
      </c>
      <c r="M874" s="10">
        <v>1522.61</v>
      </c>
      <c r="N874" s="8">
        <v>12</v>
      </c>
      <c r="O874" s="6">
        <v>3</v>
      </c>
    </row>
    <row r="875" spans="1:15" x14ac:dyDescent="0.25">
      <c r="A875" s="8">
        <v>76535</v>
      </c>
      <c r="B875" s="9" t="s">
        <v>39</v>
      </c>
      <c r="C875" s="9" t="s">
        <v>58</v>
      </c>
      <c r="D875" s="9" t="s">
        <v>38</v>
      </c>
      <c r="E875" s="9" t="s">
        <v>32</v>
      </c>
      <c r="F875" s="9" t="str">
        <f t="shared" si="13"/>
        <v>Not Delivered</v>
      </c>
      <c r="G875" s="9" t="b">
        <v>1</v>
      </c>
      <c r="H875" s="9" t="s">
        <v>28</v>
      </c>
      <c r="I875" s="8">
        <v>1333</v>
      </c>
      <c r="J875" s="10">
        <v>912.63</v>
      </c>
      <c r="K875" s="10">
        <v>79.010000000000005</v>
      </c>
      <c r="L875" s="10">
        <v>161.81</v>
      </c>
      <c r="M875" s="10">
        <v>1153.45</v>
      </c>
      <c r="N875" s="8">
        <v>11</v>
      </c>
    </row>
    <row r="876" spans="1:15" x14ac:dyDescent="0.25">
      <c r="A876" s="8">
        <v>61177</v>
      </c>
      <c r="B876" s="9" t="s">
        <v>0</v>
      </c>
      <c r="C876" s="9" t="s">
        <v>53</v>
      </c>
      <c r="D876" s="9" t="s">
        <v>35</v>
      </c>
      <c r="E876" s="9" t="s">
        <v>21</v>
      </c>
      <c r="F876" s="9" t="str">
        <f t="shared" si="13"/>
        <v>Not Delivered</v>
      </c>
      <c r="G876" s="9" t="b">
        <v>0</v>
      </c>
      <c r="H876" s="9" t="s">
        <v>14</v>
      </c>
      <c r="I876" s="8">
        <v>8702</v>
      </c>
      <c r="J876" s="10">
        <v>1418.56</v>
      </c>
      <c r="K876" s="10">
        <v>0</v>
      </c>
      <c r="L876" s="10">
        <v>0</v>
      </c>
      <c r="M876" s="10">
        <v>1418.56</v>
      </c>
      <c r="N876" s="8">
        <v>8</v>
      </c>
      <c r="O876" s="6">
        <v>2.4</v>
      </c>
    </row>
    <row r="877" spans="1:15" x14ac:dyDescent="0.25">
      <c r="A877" s="8">
        <v>15706</v>
      </c>
      <c r="B877" s="9" t="s">
        <v>39</v>
      </c>
      <c r="C877" s="9" t="s">
        <v>57</v>
      </c>
      <c r="D877" s="9" t="s">
        <v>25</v>
      </c>
      <c r="E877" s="9" t="s">
        <v>32</v>
      </c>
      <c r="F877" s="9" t="str">
        <f t="shared" si="13"/>
        <v>Not Delivered</v>
      </c>
      <c r="G877" s="9" t="b">
        <v>1</v>
      </c>
      <c r="H877" s="9" t="s">
        <v>14</v>
      </c>
      <c r="I877" s="8">
        <v>7338</v>
      </c>
      <c r="J877" s="10">
        <v>1344.77</v>
      </c>
      <c r="K877" s="10">
        <v>88.76</v>
      </c>
      <c r="L877" s="10">
        <v>48.95</v>
      </c>
      <c r="M877" s="10">
        <v>1482.48</v>
      </c>
      <c r="N877" s="8">
        <v>10</v>
      </c>
      <c r="O877" s="6">
        <v>3</v>
      </c>
    </row>
    <row r="878" spans="1:15" x14ac:dyDescent="0.25">
      <c r="A878" s="8">
        <v>58929</v>
      </c>
      <c r="B878" s="9" t="s">
        <v>10</v>
      </c>
      <c r="C878" s="9" t="s">
        <v>15</v>
      </c>
      <c r="D878" s="9" t="s">
        <v>50</v>
      </c>
      <c r="E878" s="9" t="s">
        <v>32</v>
      </c>
      <c r="F878" s="9" t="str">
        <f t="shared" si="13"/>
        <v>Not Delivered</v>
      </c>
      <c r="G878" s="9" t="b">
        <v>0</v>
      </c>
      <c r="H878" s="9" t="s">
        <v>4</v>
      </c>
      <c r="I878" s="8">
        <v>5155</v>
      </c>
      <c r="J878" s="10">
        <v>1748.31</v>
      </c>
      <c r="K878" s="10">
        <v>139.51</v>
      </c>
      <c r="L878" s="10">
        <v>0</v>
      </c>
      <c r="M878" s="10">
        <v>1887.82</v>
      </c>
      <c r="N878" s="8">
        <v>2</v>
      </c>
      <c r="O878" s="6">
        <v>1.7</v>
      </c>
    </row>
    <row r="879" spans="1:15" x14ac:dyDescent="0.25">
      <c r="A879" s="8">
        <v>12128</v>
      </c>
      <c r="B879" s="9" t="s">
        <v>10</v>
      </c>
      <c r="C879" s="9" t="s">
        <v>15</v>
      </c>
      <c r="D879" s="9" t="s">
        <v>45</v>
      </c>
      <c r="E879" s="9" t="s">
        <v>8</v>
      </c>
      <c r="F879" s="9" t="str">
        <f t="shared" si="13"/>
        <v>Not Delivered</v>
      </c>
      <c r="G879" s="9" t="b">
        <v>1</v>
      </c>
      <c r="H879" s="9" t="s">
        <v>28</v>
      </c>
      <c r="I879" s="8">
        <v>6850</v>
      </c>
      <c r="J879" s="10">
        <v>790.32</v>
      </c>
      <c r="K879" s="10">
        <v>0</v>
      </c>
      <c r="L879" s="10">
        <v>188.69</v>
      </c>
      <c r="M879" s="10">
        <v>979.01</v>
      </c>
      <c r="N879" s="8">
        <v>8</v>
      </c>
      <c r="O879" s="6">
        <v>4.0999999999999996</v>
      </c>
    </row>
    <row r="880" spans="1:15" x14ac:dyDescent="0.25">
      <c r="A880" s="8">
        <v>18855</v>
      </c>
      <c r="B880" s="9" t="s">
        <v>5</v>
      </c>
      <c r="C880" s="9" t="s">
        <v>59</v>
      </c>
      <c r="D880" s="9" t="s">
        <v>45</v>
      </c>
      <c r="E880" s="9" t="s">
        <v>13</v>
      </c>
      <c r="F880" s="9" t="str">
        <f t="shared" si="13"/>
        <v>Delivered</v>
      </c>
      <c r="G880" s="9" t="b">
        <v>0</v>
      </c>
      <c r="H880" s="9" t="s">
        <v>18</v>
      </c>
      <c r="I880" s="8">
        <v>6649</v>
      </c>
      <c r="J880" s="10">
        <v>1323</v>
      </c>
      <c r="K880" s="10">
        <v>78.66</v>
      </c>
      <c r="L880" s="10">
        <v>0</v>
      </c>
      <c r="M880" s="10">
        <v>1401.66</v>
      </c>
      <c r="N880" s="8">
        <v>14</v>
      </c>
      <c r="O880" s="6">
        <v>3.7</v>
      </c>
    </row>
    <row r="881" spans="1:15" x14ac:dyDescent="0.25">
      <c r="A881" s="8">
        <v>41604</v>
      </c>
      <c r="B881" s="9" t="s">
        <v>41</v>
      </c>
      <c r="C881" s="9" t="s">
        <v>61</v>
      </c>
      <c r="D881" s="9" t="s">
        <v>27</v>
      </c>
      <c r="E881" s="9" t="s">
        <v>17</v>
      </c>
      <c r="F881" s="9" t="str">
        <f t="shared" si="13"/>
        <v>Not Delivered</v>
      </c>
      <c r="G881" s="9" t="b">
        <v>0</v>
      </c>
      <c r="H881" s="9" t="s">
        <v>22</v>
      </c>
      <c r="I881" s="8">
        <v>2698</v>
      </c>
      <c r="J881" s="10">
        <v>1122.0999999999999</v>
      </c>
      <c r="K881" s="10">
        <v>100.59</v>
      </c>
      <c r="L881" s="10">
        <v>0</v>
      </c>
      <c r="M881" s="10">
        <v>1222.69</v>
      </c>
      <c r="N881" s="8">
        <v>11</v>
      </c>
    </row>
    <row r="882" spans="1:15" x14ac:dyDescent="0.25">
      <c r="A882" s="8">
        <v>86271</v>
      </c>
      <c r="B882" s="9" t="s">
        <v>23</v>
      </c>
      <c r="C882" s="9" t="s">
        <v>48</v>
      </c>
      <c r="D882" s="9" t="s">
        <v>16</v>
      </c>
      <c r="E882" s="9" t="s">
        <v>3</v>
      </c>
      <c r="F882" s="9" t="str">
        <f t="shared" si="13"/>
        <v>Not Delivered</v>
      </c>
      <c r="G882" s="9" t="b">
        <v>1</v>
      </c>
      <c r="H882" s="9" t="s">
        <v>22</v>
      </c>
      <c r="I882" s="8">
        <v>6447</v>
      </c>
      <c r="J882" s="10">
        <v>2490.52</v>
      </c>
      <c r="K882" s="10">
        <v>0</v>
      </c>
      <c r="L882" s="10">
        <v>137.58000000000001</v>
      </c>
      <c r="M882" s="10">
        <v>2628.1</v>
      </c>
      <c r="N882" s="8">
        <v>10</v>
      </c>
      <c r="O882" s="6">
        <v>1.3</v>
      </c>
    </row>
    <row r="883" spans="1:15" x14ac:dyDescent="0.25">
      <c r="A883" s="8">
        <v>27486</v>
      </c>
      <c r="B883" s="9" t="s">
        <v>5</v>
      </c>
      <c r="C883" s="9" t="s">
        <v>56</v>
      </c>
      <c r="D883" s="9" t="s">
        <v>38</v>
      </c>
      <c r="E883" s="9" t="s">
        <v>17</v>
      </c>
      <c r="F883" s="9" t="str">
        <f t="shared" si="13"/>
        <v>Not Delivered</v>
      </c>
      <c r="G883" s="9" t="b">
        <v>0</v>
      </c>
      <c r="H883" s="9" t="s">
        <v>9</v>
      </c>
      <c r="I883" s="8">
        <v>1726</v>
      </c>
      <c r="J883" s="10">
        <v>1271.52</v>
      </c>
      <c r="K883" s="10">
        <v>140.01</v>
      </c>
      <c r="L883" s="10">
        <v>0</v>
      </c>
      <c r="M883" s="10">
        <v>1411.53</v>
      </c>
      <c r="N883" s="8">
        <v>2</v>
      </c>
    </row>
    <row r="884" spans="1:15" x14ac:dyDescent="0.25">
      <c r="A884" s="8">
        <v>56176</v>
      </c>
      <c r="B884" s="9" t="s">
        <v>39</v>
      </c>
      <c r="C884" s="9" t="s">
        <v>40</v>
      </c>
      <c r="D884" s="9" t="s">
        <v>45</v>
      </c>
      <c r="E884" s="9" t="s">
        <v>17</v>
      </c>
      <c r="F884" s="9" t="str">
        <f t="shared" si="13"/>
        <v>Not Delivered</v>
      </c>
      <c r="G884" s="9" t="b">
        <v>0</v>
      </c>
      <c r="H884" s="9" t="s">
        <v>33</v>
      </c>
      <c r="I884" s="8">
        <v>9945</v>
      </c>
      <c r="J884" s="10">
        <v>650.16</v>
      </c>
      <c r="K884" s="10">
        <v>0</v>
      </c>
      <c r="L884" s="10">
        <v>0</v>
      </c>
      <c r="M884" s="10">
        <v>650.16</v>
      </c>
      <c r="N884" s="8">
        <v>10</v>
      </c>
      <c r="O884" s="6">
        <v>3.8</v>
      </c>
    </row>
    <row r="885" spans="1:15" x14ac:dyDescent="0.25">
      <c r="A885" s="8">
        <v>54374</v>
      </c>
      <c r="B885" s="9" t="s">
        <v>39</v>
      </c>
      <c r="C885" s="9" t="s">
        <v>57</v>
      </c>
      <c r="D885" s="9" t="s">
        <v>35</v>
      </c>
      <c r="E885" s="9" t="s">
        <v>3</v>
      </c>
      <c r="F885" s="9" t="str">
        <f t="shared" si="13"/>
        <v>Not Delivered</v>
      </c>
      <c r="G885" s="9" t="b">
        <v>1</v>
      </c>
      <c r="H885" s="9" t="s">
        <v>9</v>
      </c>
      <c r="I885" s="8">
        <v>3868</v>
      </c>
      <c r="J885" s="10">
        <v>854.02</v>
      </c>
      <c r="K885" s="10">
        <v>64.55</v>
      </c>
      <c r="L885" s="10">
        <v>156.82</v>
      </c>
      <c r="M885" s="10">
        <v>1075.3900000000001</v>
      </c>
      <c r="N885" s="8">
        <v>10</v>
      </c>
      <c r="O885" s="6">
        <v>1.2</v>
      </c>
    </row>
    <row r="886" spans="1:15" x14ac:dyDescent="0.25">
      <c r="A886" s="8">
        <v>99742</v>
      </c>
      <c r="B886" s="9" t="s">
        <v>23</v>
      </c>
      <c r="C886" s="9" t="s">
        <v>60</v>
      </c>
      <c r="D886" s="9" t="s">
        <v>7</v>
      </c>
      <c r="E886" s="9" t="s">
        <v>17</v>
      </c>
      <c r="F886" s="9" t="str">
        <f t="shared" si="13"/>
        <v>Not Delivered</v>
      </c>
      <c r="G886" s="9" t="b">
        <v>0</v>
      </c>
      <c r="H886" s="9" t="s">
        <v>33</v>
      </c>
      <c r="I886" s="8">
        <v>8612</v>
      </c>
      <c r="J886" s="10">
        <v>752.75</v>
      </c>
      <c r="K886" s="10">
        <v>0</v>
      </c>
      <c r="L886" s="10">
        <v>0</v>
      </c>
      <c r="M886" s="10">
        <v>752.75</v>
      </c>
      <c r="N886" s="8">
        <v>5</v>
      </c>
      <c r="O886" s="6">
        <v>1.7</v>
      </c>
    </row>
    <row r="887" spans="1:15" x14ac:dyDescent="0.25">
      <c r="A887" s="8">
        <v>72722</v>
      </c>
      <c r="B887" s="9" t="s">
        <v>39</v>
      </c>
      <c r="C887" s="9" t="s">
        <v>57</v>
      </c>
      <c r="D887" s="9" t="s">
        <v>16</v>
      </c>
      <c r="E887" s="9" t="s">
        <v>13</v>
      </c>
      <c r="F887" s="9" t="str">
        <f t="shared" si="13"/>
        <v>Delivered</v>
      </c>
      <c r="G887" s="9" t="b">
        <v>1</v>
      </c>
      <c r="H887" s="9" t="s">
        <v>14</v>
      </c>
      <c r="I887" s="8">
        <v>3986</v>
      </c>
      <c r="J887" s="10">
        <v>503.64</v>
      </c>
      <c r="K887" s="10">
        <v>137.13</v>
      </c>
      <c r="L887" s="10">
        <v>118.41</v>
      </c>
      <c r="M887" s="10">
        <v>759.18</v>
      </c>
      <c r="N887" s="8">
        <v>1</v>
      </c>
    </row>
    <row r="888" spans="1:15" x14ac:dyDescent="0.25">
      <c r="A888" s="8">
        <v>27675</v>
      </c>
      <c r="B888" s="9" t="s">
        <v>10</v>
      </c>
      <c r="C888" s="9" t="s">
        <v>29</v>
      </c>
      <c r="D888" s="9" t="s">
        <v>38</v>
      </c>
      <c r="E888" s="9" t="s">
        <v>3</v>
      </c>
      <c r="F888" s="9" t="str">
        <f t="shared" si="13"/>
        <v>Not Delivered</v>
      </c>
      <c r="G888" s="9" t="b">
        <v>0</v>
      </c>
      <c r="H888" s="9" t="s">
        <v>33</v>
      </c>
      <c r="I888" s="8">
        <v>2033</v>
      </c>
      <c r="J888" s="10">
        <v>477.35</v>
      </c>
      <c r="K888" s="10">
        <v>95.65</v>
      </c>
      <c r="L888" s="10">
        <v>0</v>
      </c>
      <c r="M888" s="10">
        <v>573</v>
      </c>
      <c r="N888" s="8">
        <v>8</v>
      </c>
      <c r="O888" s="6">
        <v>4.0999999999999996</v>
      </c>
    </row>
    <row r="889" spans="1:15" x14ac:dyDescent="0.25">
      <c r="A889" s="8">
        <v>69988</v>
      </c>
      <c r="B889" s="9" t="s">
        <v>0</v>
      </c>
      <c r="C889" s="9" t="s">
        <v>43</v>
      </c>
      <c r="D889" s="9" t="s">
        <v>38</v>
      </c>
      <c r="E889" s="9" t="s">
        <v>8</v>
      </c>
      <c r="F889" s="9" t="str">
        <f t="shared" si="13"/>
        <v>Not Delivered</v>
      </c>
      <c r="G889" s="9" t="b">
        <v>1</v>
      </c>
      <c r="H889" s="9" t="s">
        <v>14</v>
      </c>
      <c r="I889" s="8">
        <v>1605</v>
      </c>
      <c r="J889" s="10">
        <v>792.08</v>
      </c>
      <c r="K889" s="10">
        <v>0</v>
      </c>
      <c r="L889" s="10">
        <v>43.07</v>
      </c>
      <c r="M889" s="10">
        <v>835.15</v>
      </c>
      <c r="N889" s="8">
        <v>10</v>
      </c>
      <c r="O889" s="6">
        <v>2.2999999999999998</v>
      </c>
    </row>
    <row r="890" spans="1:15" x14ac:dyDescent="0.25">
      <c r="A890" s="8">
        <v>48462</v>
      </c>
      <c r="B890" s="9" t="s">
        <v>0</v>
      </c>
      <c r="C890" s="9" t="s">
        <v>51</v>
      </c>
      <c r="D890" s="9" t="s">
        <v>50</v>
      </c>
      <c r="E890" s="9" t="s">
        <v>21</v>
      </c>
      <c r="F890" s="9" t="str">
        <f t="shared" si="13"/>
        <v>Not Delivered</v>
      </c>
      <c r="G890" s="9" t="b">
        <v>1</v>
      </c>
      <c r="H890" s="9" t="s">
        <v>22</v>
      </c>
      <c r="I890" s="8">
        <v>4302</v>
      </c>
      <c r="J890" s="10">
        <v>173.41</v>
      </c>
      <c r="K890" s="10">
        <v>92.24</v>
      </c>
      <c r="L890" s="10">
        <v>279.64999999999998</v>
      </c>
      <c r="M890" s="10">
        <v>545.29999999999995</v>
      </c>
      <c r="N890" s="8">
        <v>2</v>
      </c>
      <c r="O890" s="6">
        <v>3.7</v>
      </c>
    </row>
    <row r="891" spans="1:15" x14ac:dyDescent="0.25">
      <c r="A891" s="8">
        <v>15741</v>
      </c>
      <c r="B891" s="9" t="s">
        <v>5</v>
      </c>
      <c r="C891" s="9" t="s">
        <v>44</v>
      </c>
      <c r="D891" s="9" t="s">
        <v>7</v>
      </c>
      <c r="E891" s="9" t="s">
        <v>21</v>
      </c>
      <c r="F891" s="9" t="str">
        <f t="shared" si="13"/>
        <v>Not Delivered</v>
      </c>
      <c r="G891" s="9" t="b">
        <v>1</v>
      </c>
      <c r="H891" s="9" t="s">
        <v>9</v>
      </c>
      <c r="I891" s="8">
        <v>4268</v>
      </c>
      <c r="J891" s="10">
        <v>2369.64</v>
      </c>
      <c r="K891" s="10">
        <v>113.43</v>
      </c>
      <c r="L891" s="10">
        <v>30.47</v>
      </c>
      <c r="M891" s="10">
        <v>2513.54</v>
      </c>
      <c r="N891" s="8">
        <v>4</v>
      </c>
      <c r="O891" s="6">
        <v>3.2</v>
      </c>
    </row>
    <row r="892" spans="1:15" x14ac:dyDescent="0.25">
      <c r="A892" s="8">
        <v>15492</v>
      </c>
      <c r="B892" s="9" t="s">
        <v>23</v>
      </c>
      <c r="C892" s="9" t="s">
        <v>49</v>
      </c>
      <c r="D892" s="9" t="s">
        <v>12</v>
      </c>
      <c r="E892" s="9" t="s">
        <v>8</v>
      </c>
      <c r="F892" s="9" t="str">
        <f t="shared" si="13"/>
        <v>Not Delivered</v>
      </c>
      <c r="G892" s="9" t="b">
        <v>1</v>
      </c>
      <c r="H892" s="9" t="s">
        <v>9</v>
      </c>
      <c r="I892" s="8">
        <v>6170</v>
      </c>
      <c r="J892" s="10">
        <v>747.82</v>
      </c>
      <c r="K892" s="10">
        <v>0</v>
      </c>
      <c r="L892" s="10">
        <v>181.38</v>
      </c>
      <c r="M892" s="10">
        <v>929.2</v>
      </c>
      <c r="N892" s="8">
        <v>1</v>
      </c>
      <c r="O892" s="6">
        <v>2.2000000000000002</v>
      </c>
    </row>
    <row r="893" spans="1:15" x14ac:dyDescent="0.25">
      <c r="A893" s="8">
        <v>50642</v>
      </c>
      <c r="B893" s="9" t="s">
        <v>0</v>
      </c>
      <c r="C893" s="9" t="s">
        <v>37</v>
      </c>
      <c r="D893" s="9" t="s">
        <v>7</v>
      </c>
      <c r="E893" s="9" t="s">
        <v>3</v>
      </c>
      <c r="F893" s="9" t="str">
        <f t="shared" si="13"/>
        <v>Not Delivered</v>
      </c>
      <c r="G893" s="9" t="b">
        <v>0</v>
      </c>
      <c r="H893" s="9" t="s">
        <v>9</v>
      </c>
      <c r="I893" s="8">
        <v>9444</v>
      </c>
      <c r="J893" s="10">
        <v>833.19</v>
      </c>
      <c r="K893" s="10">
        <v>132.82</v>
      </c>
      <c r="L893" s="10">
        <v>0</v>
      </c>
      <c r="M893" s="10">
        <v>966.01</v>
      </c>
      <c r="N893" s="8">
        <v>9</v>
      </c>
      <c r="O893" s="6">
        <v>2.2999999999999998</v>
      </c>
    </row>
    <row r="894" spans="1:15" x14ac:dyDescent="0.25">
      <c r="A894" s="8">
        <v>62196</v>
      </c>
      <c r="B894" s="9" t="s">
        <v>10</v>
      </c>
      <c r="C894" s="9" t="s">
        <v>29</v>
      </c>
      <c r="D894" s="9" t="s">
        <v>27</v>
      </c>
      <c r="E894" s="9" t="s">
        <v>3</v>
      </c>
      <c r="F894" s="9" t="str">
        <f t="shared" si="13"/>
        <v>Not Delivered</v>
      </c>
      <c r="G894" s="9" t="b">
        <v>0</v>
      </c>
      <c r="H894" s="9" t="s">
        <v>22</v>
      </c>
      <c r="I894" s="8">
        <v>9897</v>
      </c>
      <c r="J894" s="10">
        <v>1150.23</v>
      </c>
      <c r="K894" s="10">
        <v>0</v>
      </c>
      <c r="L894" s="10">
        <v>0</v>
      </c>
      <c r="M894" s="10">
        <v>1150.23</v>
      </c>
      <c r="N894" s="8">
        <v>7</v>
      </c>
      <c r="O894" s="6">
        <v>3.6</v>
      </c>
    </row>
    <row r="895" spans="1:15" x14ac:dyDescent="0.25">
      <c r="A895" s="8">
        <v>72049</v>
      </c>
      <c r="B895" s="9" t="s">
        <v>10</v>
      </c>
      <c r="C895" s="9" t="s">
        <v>15</v>
      </c>
      <c r="D895" s="9" t="s">
        <v>45</v>
      </c>
      <c r="E895" s="9" t="s">
        <v>8</v>
      </c>
      <c r="F895" s="9" t="str">
        <f t="shared" si="13"/>
        <v>Not Delivered</v>
      </c>
      <c r="G895" s="9" t="b">
        <v>1</v>
      </c>
      <c r="H895" s="9" t="s">
        <v>14</v>
      </c>
      <c r="I895" s="8">
        <v>5150</v>
      </c>
      <c r="J895" s="10">
        <v>1882.01</v>
      </c>
      <c r="L895" s="10">
        <v>27.24</v>
      </c>
      <c r="M895" s="10">
        <v>1969.17</v>
      </c>
      <c r="N895" s="8">
        <v>1</v>
      </c>
      <c r="O895" s="6">
        <v>2.6</v>
      </c>
    </row>
    <row r="896" spans="1:15" x14ac:dyDescent="0.25">
      <c r="A896" s="8">
        <v>14799</v>
      </c>
      <c r="B896" s="9" t="s">
        <v>41</v>
      </c>
      <c r="C896" s="9" t="s">
        <v>47</v>
      </c>
      <c r="D896" s="9" t="s">
        <v>45</v>
      </c>
      <c r="E896" s="9" t="s">
        <v>21</v>
      </c>
      <c r="F896" s="9" t="str">
        <f t="shared" si="13"/>
        <v>Not Delivered</v>
      </c>
      <c r="G896" s="9" t="b">
        <v>0</v>
      </c>
      <c r="H896" s="9" t="s">
        <v>9</v>
      </c>
      <c r="I896" s="8">
        <v>4131</v>
      </c>
      <c r="J896" s="10">
        <v>1693.76</v>
      </c>
      <c r="K896" s="10">
        <v>130.59</v>
      </c>
      <c r="L896" s="10">
        <v>0</v>
      </c>
      <c r="M896" s="10">
        <v>1824.35</v>
      </c>
      <c r="N896" s="8">
        <v>14</v>
      </c>
      <c r="O896" s="6">
        <v>1.9</v>
      </c>
    </row>
    <row r="897" spans="1:15" x14ac:dyDescent="0.25">
      <c r="A897" s="8">
        <v>47501</v>
      </c>
      <c r="B897" s="9" t="s">
        <v>5</v>
      </c>
      <c r="C897" s="9" t="s">
        <v>36</v>
      </c>
      <c r="D897" s="9" t="s">
        <v>38</v>
      </c>
      <c r="E897" s="9" t="s">
        <v>3</v>
      </c>
      <c r="F897" s="9" t="str">
        <f t="shared" si="13"/>
        <v>Not Delivered</v>
      </c>
      <c r="G897" s="9" t="b">
        <v>0</v>
      </c>
      <c r="H897" s="9" t="s">
        <v>4</v>
      </c>
      <c r="I897" s="8">
        <v>6848</v>
      </c>
      <c r="J897" s="10">
        <v>2169.59</v>
      </c>
      <c r="K897" s="10">
        <v>85.06</v>
      </c>
      <c r="L897" s="10">
        <v>0</v>
      </c>
      <c r="M897" s="10">
        <v>2254.65</v>
      </c>
      <c r="N897" s="8">
        <v>7</v>
      </c>
      <c r="O897" s="6">
        <v>3.6</v>
      </c>
    </row>
    <row r="898" spans="1:15" x14ac:dyDescent="0.25">
      <c r="A898" s="8">
        <v>16265</v>
      </c>
      <c r="B898" s="9" t="s">
        <v>10</v>
      </c>
      <c r="C898" s="9" t="s">
        <v>29</v>
      </c>
      <c r="D898" s="9" t="s">
        <v>16</v>
      </c>
      <c r="E898" s="9" t="s">
        <v>8</v>
      </c>
      <c r="F898" s="9" t="str">
        <f t="shared" si="13"/>
        <v>Not Delivered</v>
      </c>
      <c r="G898" s="9" t="b">
        <v>0</v>
      </c>
      <c r="H898" s="9" t="s">
        <v>28</v>
      </c>
      <c r="I898" s="8">
        <v>6438</v>
      </c>
      <c r="J898" s="10">
        <v>1064.3699999999999</v>
      </c>
      <c r="K898" s="10">
        <v>0</v>
      </c>
      <c r="L898" s="10">
        <v>0</v>
      </c>
      <c r="M898" s="10">
        <v>1064.3699999999999</v>
      </c>
      <c r="N898" s="8">
        <v>5</v>
      </c>
      <c r="O898" s="6">
        <v>4.2</v>
      </c>
    </row>
    <row r="899" spans="1:15" x14ac:dyDescent="0.25">
      <c r="A899" s="8">
        <v>45811</v>
      </c>
      <c r="B899" s="9" t="s">
        <v>5</v>
      </c>
      <c r="C899" s="9" t="s">
        <v>44</v>
      </c>
      <c r="D899" s="9" t="s">
        <v>2</v>
      </c>
      <c r="E899" s="9" t="s">
        <v>13</v>
      </c>
      <c r="F899" s="9" t="str">
        <f t="shared" ref="F899:F962" si="14">IF(OR(
E899="Failed Delivery",
E899="Cancelled",
E899="Pending",
E899="Rescheduled",
E899="In Transit"
),"Not Delivered","Delivered")</f>
        <v>Delivered</v>
      </c>
      <c r="G899" s="9" t="b">
        <v>0</v>
      </c>
      <c r="H899" s="9" t="s">
        <v>33</v>
      </c>
      <c r="I899" s="8">
        <v>3039</v>
      </c>
      <c r="J899" s="10">
        <v>275.14999999999998</v>
      </c>
      <c r="K899" s="10">
        <v>26.97</v>
      </c>
      <c r="L899" s="10">
        <v>0</v>
      </c>
      <c r="M899" s="10">
        <v>302.12</v>
      </c>
      <c r="N899" s="8">
        <v>14</v>
      </c>
      <c r="O899" s="6">
        <v>4.3</v>
      </c>
    </row>
    <row r="900" spans="1:15" x14ac:dyDescent="0.25">
      <c r="A900" s="8">
        <v>58237</v>
      </c>
      <c r="B900" s="9" t="s">
        <v>23</v>
      </c>
      <c r="C900" s="9" t="s">
        <v>34</v>
      </c>
      <c r="D900" s="9" t="s">
        <v>25</v>
      </c>
      <c r="E900" s="9" t="s">
        <v>21</v>
      </c>
      <c r="F900" s="9" t="str">
        <f t="shared" si="14"/>
        <v>Not Delivered</v>
      </c>
      <c r="G900" s="9" t="b">
        <v>0</v>
      </c>
      <c r="H900" s="9" t="s">
        <v>9</v>
      </c>
      <c r="I900" s="8">
        <v>8159</v>
      </c>
      <c r="J900" s="10">
        <v>2979.56</v>
      </c>
      <c r="K900" s="10">
        <v>0</v>
      </c>
      <c r="L900" s="10">
        <v>0</v>
      </c>
      <c r="M900" s="10">
        <v>2979.56</v>
      </c>
      <c r="N900" s="8">
        <v>4</v>
      </c>
      <c r="O900" s="6">
        <v>2.6</v>
      </c>
    </row>
    <row r="901" spans="1:15" x14ac:dyDescent="0.25">
      <c r="A901" s="8">
        <v>62431</v>
      </c>
      <c r="B901" s="9" t="s">
        <v>23</v>
      </c>
      <c r="C901" s="9" t="s">
        <v>48</v>
      </c>
      <c r="D901" s="9" t="s">
        <v>38</v>
      </c>
      <c r="E901" s="9" t="s">
        <v>32</v>
      </c>
      <c r="F901" s="9" t="str">
        <f t="shared" si="14"/>
        <v>Not Delivered</v>
      </c>
      <c r="G901" s="9" t="b">
        <v>0</v>
      </c>
      <c r="H901" s="9" t="s">
        <v>18</v>
      </c>
      <c r="I901" s="8">
        <v>8204</v>
      </c>
      <c r="J901" s="10">
        <v>1262.67</v>
      </c>
      <c r="K901" s="10">
        <v>90.31</v>
      </c>
      <c r="L901" s="10">
        <v>0</v>
      </c>
      <c r="M901" s="10">
        <v>1352.98</v>
      </c>
      <c r="N901" s="8">
        <v>9</v>
      </c>
      <c r="O901" s="6">
        <v>1.9</v>
      </c>
    </row>
    <row r="902" spans="1:15" x14ac:dyDescent="0.25">
      <c r="A902" s="8">
        <v>60678</v>
      </c>
      <c r="B902" s="9" t="s">
        <v>5</v>
      </c>
      <c r="C902" s="9" t="s">
        <v>31</v>
      </c>
      <c r="D902" s="9" t="s">
        <v>19</v>
      </c>
      <c r="E902" s="9" t="s">
        <v>17</v>
      </c>
      <c r="F902" s="9" t="str">
        <f t="shared" si="14"/>
        <v>Not Delivered</v>
      </c>
      <c r="G902" s="9" t="b">
        <v>0</v>
      </c>
      <c r="H902" s="9" t="s">
        <v>4</v>
      </c>
      <c r="I902" s="8">
        <v>6554</v>
      </c>
      <c r="J902" s="10">
        <v>1526.95</v>
      </c>
      <c r="K902" s="10">
        <v>126.22</v>
      </c>
      <c r="L902" s="10">
        <v>0</v>
      </c>
      <c r="M902" s="10">
        <v>1653.17</v>
      </c>
      <c r="N902" s="8">
        <v>14</v>
      </c>
      <c r="O902" s="6">
        <v>4.8</v>
      </c>
    </row>
    <row r="903" spans="1:15" x14ac:dyDescent="0.25">
      <c r="A903" s="8">
        <v>34486</v>
      </c>
      <c r="B903" s="9" t="s">
        <v>5</v>
      </c>
      <c r="C903" s="9" t="s">
        <v>44</v>
      </c>
      <c r="E903" s="9" t="s">
        <v>17</v>
      </c>
      <c r="F903" s="9" t="str">
        <f t="shared" si="14"/>
        <v>Not Delivered</v>
      </c>
      <c r="G903" s="9" t="b">
        <v>1</v>
      </c>
      <c r="H903" s="9" t="s">
        <v>22</v>
      </c>
      <c r="I903" s="8">
        <v>9129</v>
      </c>
      <c r="J903" s="10">
        <v>226.54</v>
      </c>
      <c r="K903" s="10">
        <v>82.75</v>
      </c>
      <c r="L903" s="10">
        <v>40.450000000000003</v>
      </c>
      <c r="M903" s="10">
        <v>349.74</v>
      </c>
      <c r="N903" s="8">
        <v>9</v>
      </c>
      <c r="O903" s="6">
        <v>1.3</v>
      </c>
    </row>
    <row r="904" spans="1:15" x14ac:dyDescent="0.25">
      <c r="A904" s="8">
        <v>75211</v>
      </c>
      <c r="B904" s="9" t="s">
        <v>0</v>
      </c>
      <c r="C904" s="9" t="s">
        <v>53</v>
      </c>
      <c r="D904" s="9" t="s">
        <v>19</v>
      </c>
      <c r="E904" s="9" t="s">
        <v>8</v>
      </c>
      <c r="F904" s="9" t="str">
        <f t="shared" si="14"/>
        <v>Not Delivered</v>
      </c>
      <c r="G904" s="9" t="b">
        <v>1</v>
      </c>
      <c r="H904" s="9" t="s">
        <v>14</v>
      </c>
      <c r="I904" s="8">
        <v>7018</v>
      </c>
      <c r="J904" s="10">
        <v>1772.63</v>
      </c>
      <c r="K904" s="10">
        <v>127.76</v>
      </c>
      <c r="L904" s="10">
        <v>82.63</v>
      </c>
      <c r="M904" s="10">
        <v>1983.02</v>
      </c>
      <c r="N904" s="8">
        <v>4</v>
      </c>
      <c r="O904" s="6">
        <v>3.1</v>
      </c>
    </row>
    <row r="905" spans="1:15" x14ac:dyDescent="0.25">
      <c r="A905" s="8">
        <v>78062</v>
      </c>
      <c r="B905" s="9" t="s">
        <v>39</v>
      </c>
      <c r="C905" s="9" t="s">
        <v>52</v>
      </c>
      <c r="D905" s="9" t="s">
        <v>2</v>
      </c>
      <c r="E905" s="9" t="s">
        <v>17</v>
      </c>
      <c r="F905" s="9" t="str">
        <f t="shared" si="14"/>
        <v>Not Delivered</v>
      </c>
      <c r="G905" s="9" t="b">
        <v>1</v>
      </c>
      <c r="H905" s="9" t="s">
        <v>4</v>
      </c>
      <c r="I905" s="8">
        <v>5369</v>
      </c>
      <c r="J905" s="10">
        <v>1016.15</v>
      </c>
      <c r="K905" s="10">
        <v>0</v>
      </c>
      <c r="L905" s="10">
        <v>40.96</v>
      </c>
      <c r="M905" s="10">
        <v>1057.1099999999999</v>
      </c>
      <c r="N905" s="8">
        <v>10</v>
      </c>
      <c r="O905" s="6">
        <v>1.4</v>
      </c>
    </row>
    <row r="906" spans="1:15" x14ac:dyDescent="0.25">
      <c r="A906" s="8">
        <v>20828</v>
      </c>
      <c r="B906" s="9" t="s">
        <v>23</v>
      </c>
      <c r="C906" s="9" t="s">
        <v>49</v>
      </c>
      <c r="D906" s="9" t="s">
        <v>25</v>
      </c>
      <c r="E906" s="9" t="s">
        <v>3</v>
      </c>
      <c r="F906" s="9" t="str">
        <f t="shared" si="14"/>
        <v>Not Delivered</v>
      </c>
      <c r="G906" s="9" t="b">
        <v>1</v>
      </c>
      <c r="H906" s="9" t="s">
        <v>4</v>
      </c>
      <c r="I906" s="8">
        <v>7955</v>
      </c>
      <c r="J906" s="10">
        <v>896.68</v>
      </c>
      <c r="K906" s="10">
        <v>0</v>
      </c>
      <c r="L906" s="10">
        <v>276.69</v>
      </c>
      <c r="M906" s="10">
        <v>1173.3699999999999</v>
      </c>
      <c r="N906" s="8">
        <v>14</v>
      </c>
      <c r="O906" s="6">
        <v>1.4</v>
      </c>
    </row>
    <row r="907" spans="1:15" x14ac:dyDescent="0.25">
      <c r="A907" s="8">
        <v>20345</v>
      </c>
      <c r="B907" s="9" t="s">
        <v>39</v>
      </c>
      <c r="C907" s="9" t="s">
        <v>57</v>
      </c>
      <c r="D907" s="9" t="s">
        <v>7</v>
      </c>
      <c r="E907" s="9" t="s">
        <v>13</v>
      </c>
      <c r="F907" s="9" t="str">
        <f t="shared" si="14"/>
        <v>Delivered</v>
      </c>
      <c r="G907" s="9" t="b">
        <v>0</v>
      </c>
      <c r="H907" s="9" t="s">
        <v>4</v>
      </c>
      <c r="I907" s="8">
        <v>8055</v>
      </c>
      <c r="J907" s="10">
        <v>378.62</v>
      </c>
      <c r="K907" s="10">
        <v>56.49</v>
      </c>
      <c r="L907" s="10">
        <v>0</v>
      </c>
      <c r="M907" s="10">
        <v>435.11</v>
      </c>
      <c r="N907" s="8">
        <v>11</v>
      </c>
      <c r="O907" s="6">
        <v>4.2</v>
      </c>
    </row>
    <row r="908" spans="1:15" x14ac:dyDescent="0.25">
      <c r="A908" s="8">
        <v>88964</v>
      </c>
      <c r="B908" s="9" t="s">
        <v>23</v>
      </c>
      <c r="C908" s="9" t="s">
        <v>48</v>
      </c>
      <c r="D908" s="9" t="s">
        <v>30</v>
      </c>
      <c r="E908" s="9" t="s">
        <v>17</v>
      </c>
      <c r="F908" s="9" t="str">
        <f t="shared" si="14"/>
        <v>Not Delivered</v>
      </c>
      <c r="G908" s="9" t="b">
        <v>0</v>
      </c>
      <c r="H908" s="9" t="s">
        <v>28</v>
      </c>
      <c r="I908" s="8">
        <v>3956</v>
      </c>
      <c r="J908" s="10">
        <v>1766.79</v>
      </c>
      <c r="K908" s="10">
        <v>53.15</v>
      </c>
      <c r="M908" s="10">
        <v>1819.94</v>
      </c>
      <c r="N908" s="8">
        <v>6</v>
      </c>
      <c r="O908" s="6">
        <v>3.5</v>
      </c>
    </row>
    <row r="909" spans="1:15" x14ac:dyDescent="0.25">
      <c r="A909" s="8">
        <v>81496</v>
      </c>
      <c r="B909" s="9" t="s">
        <v>41</v>
      </c>
      <c r="C909" s="9" t="s">
        <v>61</v>
      </c>
      <c r="E909" s="9" t="s">
        <v>32</v>
      </c>
      <c r="F909" s="9" t="str">
        <f t="shared" si="14"/>
        <v>Not Delivered</v>
      </c>
      <c r="G909" s="9" t="b">
        <v>1</v>
      </c>
      <c r="H909" s="9" t="s">
        <v>4</v>
      </c>
      <c r="I909" s="8">
        <v>5813</v>
      </c>
      <c r="J909" s="10">
        <v>2338.48</v>
      </c>
      <c r="K909" s="10">
        <v>0</v>
      </c>
      <c r="M909" s="10">
        <v>2376.4299999999998</v>
      </c>
      <c r="N909" s="8">
        <v>13</v>
      </c>
      <c r="O909" s="6">
        <v>4.5</v>
      </c>
    </row>
    <row r="910" spans="1:15" x14ac:dyDescent="0.25">
      <c r="A910" s="8">
        <v>52101</v>
      </c>
      <c r="B910" s="9" t="s">
        <v>10</v>
      </c>
      <c r="C910" s="9" t="s">
        <v>29</v>
      </c>
      <c r="D910" s="9" t="s">
        <v>35</v>
      </c>
      <c r="E910" s="9" t="s">
        <v>8</v>
      </c>
      <c r="F910" s="9" t="str">
        <f t="shared" si="14"/>
        <v>Not Delivered</v>
      </c>
      <c r="G910" s="9" t="b">
        <v>0</v>
      </c>
      <c r="H910" s="9" t="s">
        <v>18</v>
      </c>
      <c r="I910" s="8">
        <v>2680</v>
      </c>
      <c r="J910" s="10">
        <v>517.54999999999995</v>
      </c>
      <c r="K910" s="10">
        <v>143.97999999999999</v>
      </c>
      <c r="M910" s="10">
        <v>661.53</v>
      </c>
      <c r="N910" s="8">
        <v>5</v>
      </c>
      <c r="O910" s="6">
        <v>4.8</v>
      </c>
    </row>
    <row r="911" spans="1:15" x14ac:dyDescent="0.25">
      <c r="A911" s="8">
        <v>20494</v>
      </c>
      <c r="B911" s="9" t="s">
        <v>0</v>
      </c>
      <c r="C911" s="9" t="s">
        <v>51</v>
      </c>
      <c r="D911" s="9" t="s">
        <v>38</v>
      </c>
      <c r="E911" s="9" t="s">
        <v>13</v>
      </c>
      <c r="F911" s="9" t="str">
        <f t="shared" si="14"/>
        <v>Delivered</v>
      </c>
      <c r="G911" s="9" t="b">
        <v>0</v>
      </c>
      <c r="H911" s="9" t="s">
        <v>9</v>
      </c>
      <c r="I911" s="8">
        <v>6372</v>
      </c>
      <c r="J911" s="10">
        <v>920.62</v>
      </c>
      <c r="K911" s="10">
        <v>93.61</v>
      </c>
      <c r="L911" s="10">
        <v>0</v>
      </c>
      <c r="M911" s="10">
        <v>1014.23</v>
      </c>
      <c r="N911" s="8">
        <v>4</v>
      </c>
      <c r="O911" s="6">
        <v>1.8</v>
      </c>
    </row>
    <row r="912" spans="1:15" x14ac:dyDescent="0.25">
      <c r="A912" s="8">
        <v>96628</v>
      </c>
      <c r="B912" s="9" t="s">
        <v>5</v>
      </c>
      <c r="C912" s="9" t="s">
        <v>59</v>
      </c>
      <c r="D912" s="9" t="s">
        <v>35</v>
      </c>
      <c r="E912" s="9" t="s">
        <v>21</v>
      </c>
      <c r="F912" s="9" t="str">
        <f t="shared" si="14"/>
        <v>Not Delivered</v>
      </c>
      <c r="G912" s="9" t="b">
        <v>1</v>
      </c>
      <c r="H912" s="9" t="s">
        <v>4</v>
      </c>
      <c r="I912" s="8">
        <v>5843</v>
      </c>
      <c r="J912" s="10">
        <v>2024.25</v>
      </c>
      <c r="K912" s="10">
        <v>66.569999999999993</v>
      </c>
      <c r="L912" s="10">
        <v>215.02</v>
      </c>
      <c r="M912" s="10">
        <v>2305.84</v>
      </c>
      <c r="N912" s="8">
        <v>8</v>
      </c>
      <c r="O912" s="6">
        <v>4</v>
      </c>
    </row>
    <row r="913" spans="1:15" x14ac:dyDescent="0.25">
      <c r="A913" s="8">
        <v>50173</v>
      </c>
      <c r="B913" s="9" t="s">
        <v>41</v>
      </c>
      <c r="C913" s="9" t="s">
        <v>42</v>
      </c>
      <c r="D913" s="9" t="s">
        <v>16</v>
      </c>
      <c r="E913" s="9" t="s">
        <v>13</v>
      </c>
      <c r="F913" s="9" t="str">
        <f t="shared" si="14"/>
        <v>Delivered</v>
      </c>
      <c r="G913" s="9" t="b">
        <v>1</v>
      </c>
      <c r="H913" s="9" t="s">
        <v>18</v>
      </c>
      <c r="I913" s="8">
        <v>8305</v>
      </c>
      <c r="J913" s="10">
        <v>1244.49</v>
      </c>
      <c r="K913" s="10">
        <v>87.4</v>
      </c>
      <c r="L913" s="10">
        <v>175.09</v>
      </c>
      <c r="M913" s="10">
        <v>1506.98</v>
      </c>
      <c r="N913" s="8">
        <v>1</v>
      </c>
      <c r="O913" s="6">
        <v>2</v>
      </c>
    </row>
    <row r="914" spans="1:15" x14ac:dyDescent="0.25">
      <c r="A914" s="8">
        <v>88986</v>
      </c>
      <c r="B914" s="9" t="s">
        <v>0</v>
      </c>
      <c r="C914" s="9" t="s">
        <v>43</v>
      </c>
      <c r="D914" s="9" t="s">
        <v>27</v>
      </c>
      <c r="E914" s="9" t="s">
        <v>13</v>
      </c>
      <c r="F914" s="9" t="str">
        <f t="shared" si="14"/>
        <v>Delivered</v>
      </c>
      <c r="G914" s="9" t="b">
        <v>1</v>
      </c>
      <c r="H914" s="9" t="s">
        <v>33</v>
      </c>
      <c r="I914" s="8">
        <v>7981</v>
      </c>
      <c r="J914" s="10">
        <v>731.22</v>
      </c>
      <c r="K914" s="10">
        <v>0</v>
      </c>
      <c r="L914" s="10">
        <v>142.94</v>
      </c>
      <c r="M914" s="10">
        <v>874.16</v>
      </c>
      <c r="N914" s="8">
        <v>3</v>
      </c>
      <c r="O914" s="6">
        <v>1.3</v>
      </c>
    </row>
    <row r="915" spans="1:15" x14ac:dyDescent="0.25">
      <c r="A915" s="8">
        <v>31842</v>
      </c>
      <c r="B915" s="9" t="s">
        <v>23</v>
      </c>
      <c r="C915" s="9" t="s">
        <v>49</v>
      </c>
      <c r="D915" s="9" t="s">
        <v>30</v>
      </c>
      <c r="E915" s="9" t="s">
        <v>17</v>
      </c>
      <c r="F915" s="9" t="str">
        <f t="shared" si="14"/>
        <v>Not Delivered</v>
      </c>
      <c r="G915" s="9" t="b">
        <v>1</v>
      </c>
      <c r="H915" s="9" t="s">
        <v>9</v>
      </c>
      <c r="I915" s="8">
        <v>8272</v>
      </c>
      <c r="J915" s="10">
        <v>498.57</v>
      </c>
      <c r="K915" s="10">
        <v>48.89</v>
      </c>
      <c r="L915" s="10">
        <v>121.38</v>
      </c>
      <c r="M915" s="10">
        <v>668.84</v>
      </c>
      <c r="N915" s="8">
        <v>10</v>
      </c>
      <c r="O915" s="6">
        <v>4.5999999999999996</v>
      </c>
    </row>
    <row r="916" spans="1:15" x14ac:dyDescent="0.25">
      <c r="A916" s="8">
        <v>56077</v>
      </c>
      <c r="B916" s="9" t="s">
        <v>10</v>
      </c>
      <c r="C916" s="9" t="s">
        <v>15</v>
      </c>
      <c r="D916" s="9" t="s">
        <v>27</v>
      </c>
      <c r="E916" s="9" t="s">
        <v>17</v>
      </c>
      <c r="F916" s="9" t="str">
        <f t="shared" si="14"/>
        <v>Not Delivered</v>
      </c>
      <c r="G916" s="9" t="b">
        <v>0</v>
      </c>
      <c r="H916" s="9" t="s">
        <v>18</v>
      </c>
      <c r="I916" s="8">
        <v>8325</v>
      </c>
      <c r="J916" s="10">
        <v>503.13</v>
      </c>
      <c r="K916" s="10">
        <v>0</v>
      </c>
      <c r="L916" s="10">
        <v>0</v>
      </c>
      <c r="M916" s="10">
        <v>503.13</v>
      </c>
      <c r="N916" s="8">
        <v>12</v>
      </c>
      <c r="O916" s="6">
        <v>4.5</v>
      </c>
    </row>
    <row r="917" spans="1:15" x14ac:dyDescent="0.25">
      <c r="A917" s="8">
        <v>15551</v>
      </c>
      <c r="B917" s="9" t="s">
        <v>0</v>
      </c>
      <c r="C917" s="9" t="s">
        <v>37</v>
      </c>
      <c r="D917" s="9" t="s">
        <v>16</v>
      </c>
      <c r="E917" s="9" t="s">
        <v>17</v>
      </c>
      <c r="F917" s="9" t="str">
        <f t="shared" si="14"/>
        <v>Not Delivered</v>
      </c>
      <c r="G917" s="9" t="b">
        <v>1</v>
      </c>
      <c r="H917" s="9" t="s">
        <v>4</v>
      </c>
      <c r="I917" s="8">
        <v>6776</v>
      </c>
      <c r="J917" s="10">
        <v>1275.52</v>
      </c>
      <c r="K917" s="10">
        <v>131.34</v>
      </c>
      <c r="L917" s="10">
        <v>52.48</v>
      </c>
      <c r="M917" s="10">
        <v>1459.34</v>
      </c>
      <c r="N917" s="8">
        <v>8</v>
      </c>
      <c r="O917" s="6">
        <v>5</v>
      </c>
    </row>
    <row r="918" spans="1:15" x14ac:dyDescent="0.25">
      <c r="A918" s="8">
        <v>90589</v>
      </c>
      <c r="B918" s="9" t="s">
        <v>39</v>
      </c>
      <c r="C918" s="9" t="s">
        <v>40</v>
      </c>
      <c r="D918" s="9" t="s">
        <v>45</v>
      </c>
      <c r="E918" s="9" t="s">
        <v>13</v>
      </c>
      <c r="F918" s="9" t="str">
        <f t="shared" si="14"/>
        <v>Delivered</v>
      </c>
      <c r="G918" s="9" t="b">
        <v>1</v>
      </c>
      <c r="H918" s="9" t="s">
        <v>28</v>
      </c>
      <c r="I918" s="8">
        <v>8126</v>
      </c>
      <c r="J918" s="10">
        <v>934.03</v>
      </c>
      <c r="K918" s="10">
        <v>73.64</v>
      </c>
      <c r="L918" s="10">
        <v>101.78</v>
      </c>
      <c r="M918" s="10">
        <v>1109.45</v>
      </c>
      <c r="N918" s="8">
        <v>13</v>
      </c>
      <c r="O918" s="6">
        <v>5</v>
      </c>
    </row>
    <row r="919" spans="1:15" x14ac:dyDescent="0.25">
      <c r="A919" s="8">
        <v>45986</v>
      </c>
      <c r="B919" s="9" t="s">
        <v>39</v>
      </c>
      <c r="C919" s="9" t="s">
        <v>57</v>
      </c>
      <c r="D919" s="9" t="s">
        <v>50</v>
      </c>
      <c r="E919" s="9" t="s">
        <v>13</v>
      </c>
      <c r="F919" s="9" t="str">
        <f t="shared" si="14"/>
        <v>Delivered</v>
      </c>
      <c r="G919" s="9" t="b">
        <v>1</v>
      </c>
      <c r="H919" s="9" t="s">
        <v>14</v>
      </c>
      <c r="I919" s="8">
        <v>1939</v>
      </c>
      <c r="J919" s="10">
        <v>1352.08</v>
      </c>
      <c r="L919" s="10">
        <v>36.75</v>
      </c>
      <c r="M919" s="10">
        <v>1442.74</v>
      </c>
      <c r="N919" s="8">
        <v>14</v>
      </c>
      <c r="O919" s="6">
        <v>3.9</v>
      </c>
    </row>
    <row r="920" spans="1:15" x14ac:dyDescent="0.25">
      <c r="A920" s="8">
        <v>19835</v>
      </c>
      <c r="B920" s="9" t="s">
        <v>10</v>
      </c>
      <c r="C920" s="9" t="s">
        <v>20</v>
      </c>
      <c r="D920" s="9" t="s">
        <v>50</v>
      </c>
      <c r="E920" s="9" t="s">
        <v>8</v>
      </c>
      <c r="F920" s="9" t="str">
        <f t="shared" si="14"/>
        <v>Not Delivered</v>
      </c>
      <c r="G920" s="9" t="b">
        <v>0</v>
      </c>
      <c r="H920" s="9" t="s">
        <v>9</v>
      </c>
      <c r="I920" s="8">
        <v>7655</v>
      </c>
      <c r="J920" s="10">
        <v>251.56</v>
      </c>
      <c r="K920" s="10">
        <v>83.1</v>
      </c>
      <c r="L920" s="10">
        <v>0</v>
      </c>
      <c r="M920" s="10">
        <v>334.66</v>
      </c>
      <c r="N920" s="8">
        <v>10</v>
      </c>
    </row>
    <row r="921" spans="1:15" x14ac:dyDescent="0.25">
      <c r="A921" s="8">
        <v>57619</v>
      </c>
      <c r="B921" s="9" t="s">
        <v>39</v>
      </c>
      <c r="C921" s="9" t="s">
        <v>57</v>
      </c>
      <c r="D921" s="9" t="s">
        <v>35</v>
      </c>
      <c r="E921" s="9" t="s">
        <v>8</v>
      </c>
      <c r="F921" s="9" t="str">
        <f t="shared" si="14"/>
        <v>Not Delivered</v>
      </c>
      <c r="G921" s="9" t="b">
        <v>1</v>
      </c>
      <c r="H921" s="9" t="s">
        <v>22</v>
      </c>
      <c r="I921" s="8">
        <v>9406</v>
      </c>
      <c r="J921" s="10">
        <v>1277.17</v>
      </c>
      <c r="K921" s="10">
        <v>60.27</v>
      </c>
      <c r="L921" s="10">
        <v>45.64</v>
      </c>
      <c r="M921" s="10">
        <v>1383.08</v>
      </c>
      <c r="N921" s="8">
        <v>3</v>
      </c>
    </row>
    <row r="922" spans="1:15" x14ac:dyDescent="0.25">
      <c r="A922" s="8">
        <v>99051</v>
      </c>
      <c r="B922" s="9" t="s">
        <v>39</v>
      </c>
      <c r="C922" s="9" t="s">
        <v>40</v>
      </c>
      <c r="D922" s="9" t="s">
        <v>38</v>
      </c>
      <c r="E922" s="9" t="s">
        <v>17</v>
      </c>
      <c r="F922" s="9" t="str">
        <f t="shared" si="14"/>
        <v>Not Delivered</v>
      </c>
      <c r="G922" s="9" t="b">
        <v>0</v>
      </c>
      <c r="H922" s="9" t="s">
        <v>33</v>
      </c>
      <c r="I922" s="8">
        <v>3621</v>
      </c>
      <c r="J922" s="10">
        <v>321.67</v>
      </c>
      <c r="K922" s="10">
        <v>39.340000000000003</v>
      </c>
      <c r="L922" s="10">
        <v>0</v>
      </c>
      <c r="M922" s="10">
        <v>361.01</v>
      </c>
      <c r="N922" s="8">
        <v>14</v>
      </c>
      <c r="O922" s="6">
        <v>5</v>
      </c>
    </row>
    <row r="923" spans="1:15" x14ac:dyDescent="0.25">
      <c r="A923" s="8">
        <v>14081</v>
      </c>
      <c r="B923" s="9" t="s">
        <v>5</v>
      </c>
      <c r="C923" s="9" t="s">
        <v>6</v>
      </c>
      <c r="D923" s="9" t="s">
        <v>16</v>
      </c>
      <c r="E923" s="9" t="s">
        <v>13</v>
      </c>
      <c r="F923" s="9" t="str">
        <f t="shared" si="14"/>
        <v>Delivered</v>
      </c>
      <c r="G923" s="9" t="b">
        <v>0</v>
      </c>
      <c r="H923" s="9" t="s">
        <v>22</v>
      </c>
      <c r="I923" s="8">
        <v>3339</v>
      </c>
      <c r="J923" s="10">
        <v>310.41000000000003</v>
      </c>
      <c r="K923" s="10">
        <v>47.82</v>
      </c>
      <c r="L923" s="10">
        <v>0</v>
      </c>
      <c r="M923" s="10">
        <v>358.23</v>
      </c>
      <c r="N923" s="8">
        <v>6</v>
      </c>
      <c r="O923" s="6">
        <v>4.2</v>
      </c>
    </row>
    <row r="924" spans="1:15" x14ac:dyDescent="0.25">
      <c r="A924" s="8">
        <v>89635</v>
      </c>
      <c r="B924" s="9" t="s">
        <v>23</v>
      </c>
      <c r="C924" s="9" t="s">
        <v>24</v>
      </c>
      <c r="D924" s="9" t="s">
        <v>2</v>
      </c>
      <c r="E924" s="9" t="s">
        <v>3</v>
      </c>
      <c r="F924" s="9" t="str">
        <f t="shared" si="14"/>
        <v>Not Delivered</v>
      </c>
      <c r="G924" s="9" t="b">
        <v>0</v>
      </c>
      <c r="H924" s="9" t="s">
        <v>22</v>
      </c>
      <c r="I924" s="8">
        <v>8179</v>
      </c>
      <c r="J924" s="10">
        <v>1812.84</v>
      </c>
      <c r="K924" s="10">
        <v>0</v>
      </c>
      <c r="L924" s="10">
        <v>0</v>
      </c>
      <c r="M924" s="10">
        <v>1812.84</v>
      </c>
      <c r="N924" s="8">
        <v>14</v>
      </c>
    </row>
    <row r="925" spans="1:15" x14ac:dyDescent="0.25">
      <c r="A925" s="8">
        <v>14561</v>
      </c>
      <c r="B925" s="9" t="s">
        <v>39</v>
      </c>
      <c r="C925" s="9" t="s">
        <v>57</v>
      </c>
      <c r="E925" s="9" t="s">
        <v>3</v>
      </c>
      <c r="F925" s="9" t="str">
        <f t="shared" si="14"/>
        <v>Not Delivered</v>
      </c>
      <c r="G925" s="9" t="b">
        <v>0</v>
      </c>
      <c r="H925" s="9" t="s">
        <v>28</v>
      </c>
      <c r="I925" s="8">
        <v>3068</v>
      </c>
      <c r="J925" s="10">
        <v>820.9</v>
      </c>
      <c r="K925" s="10">
        <v>0</v>
      </c>
      <c r="L925" s="10">
        <v>0</v>
      </c>
      <c r="M925" s="10">
        <v>820.9</v>
      </c>
      <c r="N925" s="8">
        <v>11</v>
      </c>
      <c r="O925" s="6">
        <v>2.1</v>
      </c>
    </row>
    <row r="926" spans="1:15" x14ac:dyDescent="0.25">
      <c r="A926" s="8">
        <v>18812</v>
      </c>
      <c r="B926" s="9" t="s">
        <v>5</v>
      </c>
      <c r="C926" s="9" t="s">
        <v>56</v>
      </c>
      <c r="D926" s="9" t="s">
        <v>25</v>
      </c>
      <c r="E926" s="9" t="s">
        <v>8</v>
      </c>
      <c r="F926" s="9" t="str">
        <f t="shared" si="14"/>
        <v>Not Delivered</v>
      </c>
      <c r="G926" s="9" t="b">
        <v>1</v>
      </c>
      <c r="H926" s="9" t="s">
        <v>28</v>
      </c>
      <c r="I926" s="8">
        <v>4866</v>
      </c>
      <c r="J926" s="10">
        <v>1962.26</v>
      </c>
      <c r="K926" s="10">
        <v>85.3</v>
      </c>
      <c r="L926" s="10">
        <v>84.75</v>
      </c>
      <c r="M926" s="10">
        <v>2132.31</v>
      </c>
      <c r="N926" s="8">
        <v>2</v>
      </c>
      <c r="O926" s="6">
        <v>1.2</v>
      </c>
    </row>
    <row r="927" spans="1:15" x14ac:dyDescent="0.25">
      <c r="A927" s="8">
        <v>94562</v>
      </c>
      <c r="B927" s="9" t="s">
        <v>39</v>
      </c>
      <c r="C927" s="9" t="s">
        <v>58</v>
      </c>
      <c r="D927" s="9" t="s">
        <v>30</v>
      </c>
      <c r="E927" s="9" t="s">
        <v>17</v>
      </c>
      <c r="F927" s="9" t="str">
        <f t="shared" si="14"/>
        <v>Not Delivered</v>
      </c>
      <c r="G927" s="9" t="b">
        <v>1</v>
      </c>
      <c r="H927" s="9" t="s">
        <v>28</v>
      </c>
      <c r="I927" s="8">
        <v>7001</v>
      </c>
      <c r="J927" s="10">
        <v>346.84</v>
      </c>
      <c r="K927" s="10">
        <v>32.840000000000003</v>
      </c>
      <c r="L927" s="10">
        <v>176.05</v>
      </c>
      <c r="M927" s="10">
        <v>555.73</v>
      </c>
      <c r="N927" s="8">
        <v>5</v>
      </c>
      <c r="O927" s="6">
        <v>3.6</v>
      </c>
    </row>
    <row r="928" spans="1:15" x14ac:dyDescent="0.25">
      <c r="A928" s="8">
        <v>57467</v>
      </c>
      <c r="B928" s="9" t="s">
        <v>23</v>
      </c>
      <c r="C928" s="9" t="s">
        <v>49</v>
      </c>
      <c r="E928" s="9" t="s">
        <v>8</v>
      </c>
      <c r="F928" s="9" t="str">
        <f t="shared" si="14"/>
        <v>Not Delivered</v>
      </c>
      <c r="G928" s="9" t="b">
        <v>1</v>
      </c>
      <c r="H928" s="9" t="s">
        <v>4</v>
      </c>
      <c r="I928" s="8">
        <v>7272</v>
      </c>
      <c r="J928" s="10">
        <v>1248.8900000000001</v>
      </c>
      <c r="K928" s="10">
        <v>112.05</v>
      </c>
      <c r="L928" s="10">
        <v>178.19</v>
      </c>
      <c r="M928" s="10">
        <v>1539.13</v>
      </c>
      <c r="N928" s="8">
        <v>5</v>
      </c>
      <c r="O928" s="6">
        <v>3.7</v>
      </c>
    </row>
    <row r="929" spans="1:15" x14ac:dyDescent="0.25">
      <c r="A929" s="8">
        <v>84349</v>
      </c>
      <c r="B929" s="9" t="s">
        <v>23</v>
      </c>
      <c r="C929" s="9" t="s">
        <v>54</v>
      </c>
      <c r="D929" s="9" t="s">
        <v>30</v>
      </c>
      <c r="E929" s="9" t="s">
        <v>3</v>
      </c>
      <c r="F929" s="9" t="str">
        <f t="shared" si="14"/>
        <v>Not Delivered</v>
      </c>
      <c r="G929" s="9" t="b">
        <v>0</v>
      </c>
      <c r="H929" s="9" t="s">
        <v>33</v>
      </c>
      <c r="I929" s="8">
        <v>1530</v>
      </c>
      <c r="J929" s="10">
        <v>2647.16</v>
      </c>
      <c r="K929" s="10">
        <v>74.06</v>
      </c>
      <c r="L929" s="10">
        <v>0</v>
      </c>
      <c r="M929" s="10">
        <v>2721.22</v>
      </c>
      <c r="N929" s="8">
        <v>3</v>
      </c>
      <c r="O929" s="6">
        <v>2.9</v>
      </c>
    </row>
    <row r="930" spans="1:15" x14ac:dyDescent="0.25">
      <c r="A930" s="8">
        <v>89310</v>
      </c>
      <c r="B930" s="9" t="s">
        <v>10</v>
      </c>
      <c r="C930" s="9" t="s">
        <v>26</v>
      </c>
      <c r="D930" s="9" t="s">
        <v>30</v>
      </c>
      <c r="E930" s="9" t="s">
        <v>13</v>
      </c>
      <c r="F930" s="9" t="str">
        <f t="shared" si="14"/>
        <v>Delivered</v>
      </c>
      <c r="G930" s="9" t="b">
        <v>0</v>
      </c>
      <c r="H930" s="9" t="s">
        <v>4</v>
      </c>
      <c r="I930" s="8">
        <v>3513</v>
      </c>
      <c r="J930" s="10">
        <v>1861.16</v>
      </c>
      <c r="K930" s="10">
        <v>0</v>
      </c>
      <c r="L930" s="10">
        <v>0</v>
      </c>
      <c r="M930" s="10">
        <v>1861.16</v>
      </c>
      <c r="N930" s="8">
        <v>4</v>
      </c>
      <c r="O930" s="6">
        <v>3</v>
      </c>
    </row>
    <row r="931" spans="1:15" x14ac:dyDescent="0.25">
      <c r="A931" s="8">
        <v>99006</v>
      </c>
      <c r="B931" s="9" t="s">
        <v>39</v>
      </c>
      <c r="C931" s="9" t="s">
        <v>52</v>
      </c>
      <c r="D931" s="9" t="s">
        <v>19</v>
      </c>
      <c r="E931" s="9" t="s">
        <v>3</v>
      </c>
      <c r="F931" s="9" t="str">
        <f t="shared" si="14"/>
        <v>Not Delivered</v>
      </c>
      <c r="G931" s="9" t="b">
        <v>0</v>
      </c>
      <c r="H931" s="9" t="s">
        <v>28</v>
      </c>
      <c r="I931" s="8">
        <v>8371</v>
      </c>
      <c r="J931" s="10">
        <v>605.09</v>
      </c>
      <c r="K931" s="10">
        <v>0</v>
      </c>
      <c r="L931" s="10">
        <v>0</v>
      </c>
      <c r="M931" s="10">
        <v>605.09</v>
      </c>
      <c r="N931" s="8">
        <v>12</v>
      </c>
      <c r="O931" s="6">
        <v>1.8</v>
      </c>
    </row>
    <row r="932" spans="1:15" x14ac:dyDescent="0.25">
      <c r="A932" s="8">
        <v>58623</v>
      </c>
      <c r="B932" s="9" t="s">
        <v>41</v>
      </c>
      <c r="C932" s="9" t="s">
        <v>61</v>
      </c>
      <c r="D932" s="9" t="s">
        <v>25</v>
      </c>
      <c r="E932" s="9" t="s">
        <v>21</v>
      </c>
      <c r="F932" s="9" t="str">
        <f t="shared" si="14"/>
        <v>Not Delivered</v>
      </c>
      <c r="G932" s="9" t="b">
        <v>1</v>
      </c>
      <c r="H932" s="9" t="s">
        <v>33</v>
      </c>
      <c r="I932" s="8">
        <v>7095</v>
      </c>
      <c r="J932" s="10">
        <v>1465.04</v>
      </c>
      <c r="K932" s="10">
        <v>93.36</v>
      </c>
      <c r="L932" s="10">
        <v>97.95</v>
      </c>
      <c r="M932" s="10">
        <v>1656.35</v>
      </c>
      <c r="N932" s="8">
        <v>4</v>
      </c>
    </row>
    <row r="933" spans="1:15" x14ac:dyDescent="0.25">
      <c r="A933" s="8">
        <v>68188</v>
      </c>
      <c r="B933" s="9" t="s">
        <v>23</v>
      </c>
      <c r="C933" s="9" t="s">
        <v>60</v>
      </c>
      <c r="D933" s="9" t="s">
        <v>38</v>
      </c>
      <c r="E933" s="9" t="s">
        <v>13</v>
      </c>
      <c r="F933" s="9" t="str">
        <f t="shared" si="14"/>
        <v>Delivered</v>
      </c>
      <c r="G933" s="9" t="b">
        <v>0</v>
      </c>
      <c r="H933" s="9" t="s">
        <v>9</v>
      </c>
      <c r="I933" s="8">
        <v>2259</v>
      </c>
      <c r="J933" s="10">
        <v>1666.58</v>
      </c>
      <c r="K933" s="10">
        <v>0</v>
      </c>
      <c r="L933" s="10">
        <v>0</v>
      </c>
      <c r="M933" s="10">
        <v>1666.58</v>
      </c>
      <c r="N933" s="8">
        <v>7</v>
      </c>
      <c r="O933" s="6">
        <v>1.9</v>
      </c>
    </row>
    <row r="934" spans="1:15" x14ac:dyDescent="0.25">
      <c r="A934" s="8">
        <v>85225</v>
      </c>
      <c r="B934" s="9" t="s">
        <v>23</v>
      </c>
      <c r="C934" s="9" t="s">
        <v>24</v>
      </c>
      <c r="D934" s="9" t="s">
        <v>7</v>
      </c>
      <c r="E934" s="9" t="s">
        <v>21</v>
      </c>
      <c r="F934" s="9" t="str">
        <f t="shared" si="14"/>
        <v>Not Delivered</v>
      </c>
      <c r="G934" s="9" t="b">
        <v>0</v>
      </c>
      <c r="H934" s="9" t="s">
        <v>22</v>
      </c>
      <c r="I934" s="8">
        <v>3255</v>
      </c>
      <c r="J934" s="10">
        <v>2389.3200000000002</v>
      </c>
      <c r="K934" s="10">
        <v>78.8</v>
      </c>
      <c r="L934" s="10">
        <v>0</v>
      </c>
      <c r="M934" s="10">
        <v>2468.12</v>
      </c>
      <c r="N934" s="8">
        <v>12</v>
      </c>
    </row>
    <row r="935" spans="1:15" x14ac:dyDescent="0.25">
      <c r="A935" s="8">
        <v>79397</v>
      </c>
      <c r="B935" s="9" t="s">
        <v>41</v>
      </c>
      <c r="C935" s="9" t="s">
        <v>42</v>
      </c>
      <c r="D935" s="9" t="s">
        <v>7</v>
      </c>
      <c r="E935" s="9" t="s">
        <v>17</v>
      </c>
      <c r="F935" s="9" t="str">
        <f t="shared" si="14"/>
        <v>Not Delivered</v>
      </c>
      <c r="G935" s="9" t="b">
        <v>1</v>
      </c>
      <c r="H935" s="9" t="s">
        <v>22</v>
      </c>
      <c r="I935" s="8">
        <v>7012</v>
      </c>
      <c r="J935" s="10">
        <v>1926</v>
      </c>
      <c r="K935" s="10">
        <v>118.79</v>
      </c>
      <c r="L935" s="10">
        <v>168.14</v>
      </c>
      <c r="M935" s="10">
        <v>2212.9299999999998</v>
      </c>
      <c r="N935" s="8">
        <v>3</v>
      </c>
      <c r="O935" s="6">
        <v>4.5999999999999996</v>
      </c>
    </row>
    <row r="936" spans="1:15" x14ac:dyDescent="0.25">
      <c r="A936" s="8">
        <v>62171</v>
      </c>
      <c r="B936" s="9" t="s">
        <v>39</v>
      </c>
      <c r="C936" s="9" t="s">
        <v>58</v>
      </c>
      <c r="D936" s="9" t="s">
        <v>25</v>
      </c>
      <c r="E936" s="9" t="s">
        <v>21</v>
      </c>
      <c r="F936" s="9" t="str">
        <f t="shared" si="14"/>
        <v>Not Delivered</v>
      </c>
      <c r="G936" s="9" t="b">
        <v>0</v>
      </c>
      <c r="H936" s="9" t="s">
        <v>33</v>
      </c>
      <c r="I936" s="8">
        <v>6150</v>
      </c>
      <c r="J936" s="10">
        <v>554.36</v>
      </c>
      <c r="K936" s="10">
        <v>0</v>
      </c>
      <c r="L936" s="10">
        <v>0</v>
      </c>
      <c r="M936" s="10">
        <v>554.36</v>
      </c>
      <c r="N936" s="8">
        <v>2</v>
      </c>
      <c r="O936" s="6">
        <v>4</v>
      </c>
    </row>
    <row r="937" spans="1:15" x14ac:dyDescent="0.25">
      <c r="A937" s="8">
        <v>95139</v>
      </c>
      <c r="B937" s="9" t="s">
        <v>39</v>
      </c>
      <c r="C937" s="9" t="s">
        <v>55</v>
      </c>
      <c r="D937" s="9" t="s">
        <v>25</v>
      </c>
      <c r="E937" s="9" t="s">
        <v>21</v>
      </c>
      <c r="F937" s="9" t="str">
        <f t="shared" si="14"/>
        <v>Not Delivered</v>
      </c>
      <c r="G937" s="9" t="b">
        <v>0</v>
      </c>
      <c r="H937" s="9" t="s">
        <v>22</v>
      </c>
      <c r="I937" s="8">
        <v>5566</v>
      </c>
      <c r="J937" s="10">
        <v>81.430000000000007</v>
      </c>
      <c r="K937" s="10">
        <v>90.49</v>
      </c>
      <c r="L937" s="10">
        <v>0</v>
      </c>
      <c r="M937" s="10">
        <v>171.92</v>
      </c>
      <c r="N937" s="8">
        <v>2</v>
      </c>
    </row>
    <row r="938" spans="1:15" x14ac:dyDescent="0.25">
      <c r="A938" s="8">
        <v>42717</v>
      </c>
      <c r="B938" s="9" t="s">
        <v>10</v>
      </c>
      <c r="C938" s="9" t="s">
        <v>29</v>
      </c>
      <c r="D938" s="9" t="s">
        <v>38</v>
      </c>
      <c r="E938" s="9" t="s">
        <v>13</v>
      </c>
      <c r="F938" s="9" t="str">
        <f t="shared" si="14"/>
        <v>Delivered</v>
      </c>
      <c r="G938" s="9" t="b">
        <v>1</v>
      </c>
      <c r="H938" s="9" t="s">
        <v>18</v>
      </c>
      <c r="I938" s="8">
        <v>2858</v>
      </c>
      <c r="J938" s="10">
        <v>1098.01</v>
      </c>
      <c r="K938" s="10">
        <v>0</v>
      </c>
      <c r="L938" s="10">
        <v>27.5</v>
      </c>
      <c r="M938" s="10">
        <v>1125.51</v>
      </c>
      <c r="N938" s="8">
        <v>13</v>
      </c>
      <c r="O938" s="6">
        <v>2.8</v>
      </c>
    </row>
    <row r="939" spans="1:15" x14ac:dyDescent="0.25">
      <c r="A939" s="8">
        <v>13396</v>
      </c>
      <c r="B939" s="9" t="s">
        <v>10</v>
      </c>
      <c r="C939" s="9" t="s">
        <v>20</v>
      </c>
      <c r="D939" s="9" t="s">
        <v>27</v>
      </c>
      <c r="E939" s="9" t="s">
        <v>21</v>
      </c>
      <c r="F939" s="9" t="str">
        <f t="shared" si="14"/>
        <v>Not Delivered</v>
      </c>
      <c r="G939" s="9" t="b">
        <v>0</v>
      </c>
      <c r="H939" s="9" t="s">
        <v>9</v>
      </c>
      <c r="I939" s="8">
        <v>4048</v>
      </c>
      <c r="J939" s="10">
        <v>581.72</v>
      </c>
      <c r="K939" s="10">
        <v>132.77000000000001</v>
      </c>
      <c r="L939" s="10">
        <v>0</v>
      </c>
      <c r="M939" s="10">
        <v>714.49</v>
      </c>
      <c r="N939" s="8">
        <v>12</v>
      </c>
      <c r="O939" s="6">
        <v>3.1</v>
      </c>
    </row>
    <row r="940" spans="1:15" x14ac:dyDescent="0.25">
      <c r="A940" s="8">
        <v>75410</v>
      </c>
      <c r="B940" s="9" t="s">
        <v>5</v>
      </c>
      <c r="C940" s="9" t="s">
        <v>56</v>
      </c>
      <c r="D940" s="9" t="s">
        <v>35</v>
      </c>
      <c r="E940" s="9" t="s">
        <v>3</v>
      </c>
      <c r="F940" s="9" t="str">
        <f t="shared" si="14"/>
        <v>Not Delivered</v>
      </c>
      <c r="G940" s="9" t="b">
        <v>0</v>
      </c>
      <c r="H940" s="9" t="s">
        <v>4</v>
      </c>
      <c r="I940" s="8">
        <v>9482</v>
      </c>
      <c r="J940" s="10">
        <v>1777.3</v>
      </c>
      <c r="L940" s="10">
        <v>0</v>
      </c>
      <c r="M940" s="10">
        <v>1829.37</v>
      </c>
      <c r="N940" s="8">
        <v>14</v>
      </c>
      <c r="O940" s="6">
        <v>5</v>
      </c>
    </row>
    <row r="941" spans="1:15" x14ac:dyDescent="0.25">
      <c r="A941" s="8">
        <v>60723</v>
      </c>
      <c r="B941" s="9" t="s">
        <v>23</v>
      </c>
      <c r="C941" s="9" t="s">
        <v>34</v>
      </c>
      <c r="D941" s="9" t="s">
        <v>27</v>
      </c>
      <c r="E941" s="9" t="s">
        <v>8</v>
      </c>
      <c r="F941" s="9" t="str">
        <f t="shared" si="14"/>
        <v>Not Delivered</v>
      </c>
      <c r="G941" s="9" t="b">
        <v>1</v>
      </c>
      <c r="H941" s="9" t="s">
        <v>18</v>
      </c>
      <c r="I941" s="8">
        <v>2929</v>
      </c>
      <c r="J941" s="10">
        <v>2261.89</v>
      </c>
      <c r="K941" s="10">
        <v>85.94</v>
      </c>
      <c r="L941" s="10">
        <v>96.03</v>
      </c>
      <c r="M941" s="10">
        <v>2443.86</v>
      </c>
      <c r="N941" s="8">
        <v>7</v>
      </c>
      <c r="O941" s="6">
        <v>4.9000000000000004</v>
      </c>
    </row>
    <row r="942" spans="1:15" x14ac:dyDescent="0.25">
      <c r="A942" s="8">
        <v>44311</v>
      </c>
      <c r="B942" s="9" t="s">
        <v>39</v>
      </c>
      <c r="C942" s="9" t="s">
        <v>55</v>
      </c>
      <c r="D942" s="9" t="s">
        <v>50</v>
      </c>
      <c r="E942" s="9" t="s">
        <v>13</v>
      </c>
      <c r="F942" s="9" t="str">
        <f t="shared" si="14"/>
        <v>Delivered</v>
      </c>
      <c r="G942" s="9" t="b">
        <v>0</v>
      </c>
      <c r="H942" s="9" t="s">
        <v>28</v>
      </c>
      <c r="I942" s="8">
        <v>5264</v>
      </c>
      <c r="J942" s="10">
        <v>328.43</v>
      </c>
      <c r="K942" s="10">
        <v>93.27</v>
      </c>
      <c r="L942" s="10">
        <v>0</v>
      </c>
      <c r="M942" s="10">
        <v>421.7</v>
      </c>
      <c r="N942" s="8">
        <v>6</v>
      </c>
      <c r="O942" s="6">
        <v>2.7</v>
      </c>
    </row>
    <row r="943" spans="1:15" x14ac:dyDescent="0.25">
      <c r="A943" s="8">
        <v>68493</v>
      </c>
      <c r="B943" s="9" t="s">
        <v>5</v>
      </c>
      <c r="C943" s="9" t="s">
        <v>59</v>
      </c>
      <c r="D943" s="9" t="s">
        <v>35</v>
      </c>
      <c r="E943" s="9" t="s">
        <v>13</v>
      </c>
      <c r="F943" s="9" t="str">
        <f t="shared" si="14"/>
        <v>Delivered</v>
      </c>
      <c r="G943" s="9" t="b">
        <v>0</v>
      </c>
      <c r="H943" s="9" t="s">
        <v>4</v>
      </c>
      <c r="I943" s="8">
        <v>4515</v>
      </c>
      <c r="J943" s="10">
        <v>1396.18</v>
      </c>
      <c r="K943" s="10">
        <v>111.24</v>
      </c>
      <c r="L943" s="10">
        <v>0</v>
      </c>
      <c r="M943" s="10">
        <v>1507.42</v>
      </c>
      <c r="N943" s="8">
        <v>13</v>
      </c>
      <c r="O943" s="6">
        <v>4.9000000000000004</v>
      </c>
    </row>
    <row r="944" spans="1:15" x14ac:dyDescent="0.25">
      <c r="A944" s="8">
        <v>90199</v>
      </c>
      <c r="B944" s="9" t="s">
        <v>5</v>
      </c>
      <c r="C944" s="9" t="s">
        <v>44</v>
      </c>
      <c r="D944" s="9" t="s">
        <v>12</v>
      </c>
      <c r="E944" s="9" t="s">
        <v>13</v>
      </c>
      <c r="F944" s="9" t="str">
        <f t="shared" si="14"/>
        <v>Delivered</v>
      </c>
      <c r="G944" s="9" t="b">
        <v>1</v>
      </c>
      <c r="H944" s="9" t="s">
        <v>4</v>
      </c>
      <c r="I944" s="8">
        <v>5678</v>
      </c>
      <c r="J944" s="10">
        <v>2332.64</v>
      </c>
      <c r="K944" s="10">
        <v>0</v>
      </c>
      <c r="L944" s="10">
        <v>162.38</v>
      </c>
      <c r="M944" s="10">
        <v>2495.02</v>
      </c>
      <c r="N944" s="8">
        <v>11</v>
      </c>
      <c r="O944" s="6">
        <v>2.9</v>
      </c>
    </row>
    <row r="945" spans="1:15" x14ac:dyDescent="0.25">
      <c r="A945" s="8">
        <v>74382</v>
      </c>
      <c r="B945" s="9" t="s">
        <v>39</v>
      </c>
      <c r="C945" s="9" t="s">
        <v>57</v>
      </c>
      <c r="D945" s="9" t="s">
        <v>25</v>
      </c>
      <c r="E945" s="9" t="s">
        <v>17</v>
      </c>
      <c r="F945" s="9" t="str">
        <f t="shared" si="14"/>
        <v>Not Delivered</v>
      </c>
      <c r="G945" s="9" t="b">
        <v>1</v>
      </c>
      <c r="H945" s="9" t="s">
        <v>33</v>
      </c>
      <c r="I945" s="8">
        <v>4279</v>
      </c>
      <c r="J945" s="10">
        <v>388.6</v>
      </c>
      <c r="K945" s="10">
        <v>86.91</v>
      </c>
      <c r="L945" s="10">
        <v>37.21</v>
      </c>
      <c r="M945" s="10">
        <v>512.72</v>
      </c>
      <c r="N945" s="8">
        <v>1</v>
      </c>
      <c r="O945" s="6">
        <v>3.6</v>
      </c>
    </row>
    <row r="946" spans="1:15" x14ac:dyDescent="0.25">
      <c r="A946" s="8">
        <v>26074</v>
      </c>
      <c r="B946" s="9" t="s">
        <v>23</v>
      </c>
      <c r="C946" s="9" t="s">
        <v>49</v>
      </c>
      <c r="D946" s="9" t="s">
        <v>2</v>
      </c>
      <c r="E946" s="9" t="s">
        <v>17</v>
      </c>
      <c r="F946" s="9" t="str">
        <f t="shared" si="14"/>
        <v>Not Delivered</v>
      </c>
      <c r="G946" s="9" t="b">
        <v>1</v>
      </c>
      <c r="H946" s="9" t="s">
        <v>33</v>
      </c>
      <c r="I946" s="8">
        <v>3223</v>
      </c>
      <c r="J946" s="10">
        <v>2654.36</v>
      </c>
      <c r="K946" s="10">
        <v>100.2</v>
      </c>
      <c r="L946" s="10">
        <v>42.83</v>
      </c>
      <c r="M946" s="10">
        <v>2797.39</v>
      </c>
      <c r="N946" s="8">
        <v>3</v>
      </c>
      <c r="O946" s="6">
        <v>1.8</v>
      </c>
    </row>
    <row r="947" spans="1:15" x14ac:dyDescent="0.25">
      <c r="A947" s="8">
        <v>19706</v>
      </c>
      <c r="B947" s="9" t="s">
        <v>23</v>
      </c>
      <c r="C947" s="9" t="s">
        <v>60</v>
      </c>
      <c r="D947" s="9" t="s">
        <v>50</v>
      </c>
      <c r="E947" s="9" t="s">
        <v>13</v>
      </c>
      <c r="F947" s="9" t="str">
        <f t="shared" si="14"/>
        <v>Delivered</v>
      </c>
      <c r="G947" s="9" t="b">
        <v>0</v>
      </c>
      <c r="H947" s="9" t="s">
        <v>18</v>
      </c>
      <c r="I947" s="8">
        <v>8406</v>
      </c>
      <c r="J947" s="10">
        <v>1498.56</v>
      </c>
      <c r="K947" s="10">
        <v>131.16999999999999</v>
      </c>
      <c r="L947" s="10">
        <v>0</v>
      </c>
      <c r="M947" s="10">
        <v>1629.73</v>
      </c>
      <c r="N947" s="8">
        <v>7</v>
      </c>
      <c r="O947" s="6">
        <v>4.5999999999999996</v>
      </c>
    </row>
    <row r="948" spans="1:15" x14ac:dyDescent="0.25">
      <c r="A948" s="8">
        <v>32630</v>
      </c>
      <c r="B948" s="9" t="s">
        <v>10</v>
      </c>
      <c r="C948" s="9" t="s">
        <v>29</v>
      </c>
      <c r="D948" s="9" t="s">
        <v>12</v>
      </c>
      <c r="E948" s="9" t="s">
        <v>13</v>
      </c>
      <c r="F948" s="9" t="str">
        <f t="shared" si="14"/>
        <v>Delivered</v>
      </c>
      <c r="G948" s="9" t="b">
        <v>1</v>
      </c>
      <c r="H948" s="9" t="s">
        <v>18</v>
      </c>
      <c r="I948" s="8">
        <v>8292</v>
      </c>
      <c r="J948" s="10">
        <v>1171.42</v>
      </c>
      <c r="K948" s="10">
        <v>82.25</v>
      </c>
      <c r="L948" s="10">
        <v>62.5</v>
      </c>
      <c r="M948" s="10">
        <v>1316.17</v>
      </c>
      <c r="N948" s="8">
        <v>7</v>
      </c>
      <c r="O948" s="6">
        <v>2.2000000000000002</v>
      </c>
    </row>
    <row r="949" spans="1:15" x14ac:dyDescent="0.25">
      <c r="A949" s="8">
        <v>21506</v>
      </c>
      <c r="B949" s="9" t="s">
        <v>0</v>
      </c>
      <c r="C949" s="9" t="s">
        <v>37</v>
      </c>
      <c r="D949" s="9" t="s">
        <v>45</v>
      </c>
      <c r="E949" s="9" t="s">
        <v>8</v>
      </c>
      <c r="F949" s="9" t="str">
        <f t="shared" si="14"/>
        <v>Not Delivered</v>
      </c>
      <c r="G949" s="9" t="b">
        <v>0</v>
      </c>
      <c r="H949" s="9" t="s">
        <v>33</v>
      </c>
      <c r="I949" s="8">
        <v>6236</v>
      </c>
      <c r="J949" s="10">
        <v>1050.6199999999999</v>
      </c>
      <c r="K949" s="10">
        <v>137.59</v>
      </c>
      <c r="L949" s="10">
        <v>0</v>
      </c>
      <c r="M949" s="10">
        <v>1188.21</v>
      </c>
      <c r="N949" s="8">
        <v>2</v>
      </c>
    </row>
    <row r="950" spans="1:15" x14ac:dyDescent="0.25">
      <c r="A950" s="8">
        <v>97535</v>
      </c>
      <c r="B950" s="9" t="s">
        <v>41</v>
      </c>
      <c r="C950" s="9" t="s">
        <v>61</v>
      </c>
      <c r="D950" s="9" t="s">
        <v>30</v>
      </c>
      <c r="E950" s="9" t="s">
        <v>17</v>
      </c>
      <c r="F950" s="9" t="str">
        <f t="shared" si="14"/>
        <v>Not Delivered</v>
      </c>
      <c r="G950" s="9" t="b">
        <v>0</v>
      </c>
      <c r="H950" s="9" t="s">
        <v>14</v>
      </c>
      <c r="I950" s="8">
        <v>6692</v>
      </c>
      <c r="J950" s="10">
        <v>1330.43</v>
      </c>
      <c r="K950" s="10">
        <v>92.05</v>
      </c>
      <c r="L950" s="10">
        <v>0</v>
      </c>
      <c r="M950" s="10">
        <v>1422.48</v>
      </c>
      <c r="N950" s="8">
        <v>8</v>
      </c>
    </row>
    <row r="951" spans="1:15" x14ac:dyDescent="0.25">
      <c r="A951" s="8">
        <v>18511</v>
      </c>
      <c r="B951" s="9" t="s">
        <v>39</v>
      </c>
      <c r="C951" s="9" t="s">
        <v>57</v>
      </c>
      <c r="D951" s="9" t="s">
        <v>25</v>
      </c>
      <c r="E951" s="9" t="s">
        <v>3</v>
      </c>
      <c r="F951" s="9" t="str">
        <f t="shared" si="14"/>
        <v>Not Delivered</v>
      </c>
      <c r="G951" s="9" t="b">
        <v>1</v>
      </c>
      <c r="H951" s="9" t="s">
        <v>28</v>
      </c>
      <c r="I951" s="8">
        <v>9882</v>
      </c>
      <c r="J951" s="10">
        <v>1153.32</v>
      </c>
      <c r="K951" s="10">
        <v>80.239999999999995</v>
      </c>
      <c r="L951" s="10">
        <v>112.73</v>
      </c>
      <c r="M951" s="10">
        <v>1346.29</v>
      </c>
      <c r="N951" s="8">
        <v>9</v>
      </c>
      <c r="O951" s="6">
        <v>4.5</v>
      </c>
    </row>
    <row r="952" spans="1:15" x14ac:dyDescent="0.25">
      <c r="A952" s="8">
        <v>48058</v>
      </c>
      <c r="B952" s="9" t="s">
        <v>39</v>
      </c>
      <c r="C952" s="9" t="s">
        <v>57</v>
      </c>
      <c r="D952" s="9" t="s">
        <v>2</v>
      </c>
      <c r="E952" s="9" t="s">
        <v>17</v>
      </c>
      <c r="F952" s="9" t="str">
        <f t="shared" si="14"/>
        <v>Not Delivered</v>
      </c>
      <c r="G952" s="9" t="b">
        <v>1</v>
      </c>
      <c r="H952" s="9" t="s">
        <v>14</v>
      </c>
      <c r="I952" s="8">
        <v>5914</v>
      </c>
      <c r="J952" s="10">
        <v>737.19</v>
      </c>
      <c r="K952" s="10">
        <v>101.8</v>
      </c>
      <c r="L952" s="10">
        <v>26.37</v>
      </c>
      <c r="M952" s="10">
        <v>865.36</v>
      </c>
      <c r="N952" s="8">
        <v>14</v>
      </c>
      <c r="O952" s="6">
        <v>1.4</v>
      </c>
    </row>
    <row r="953" spans="1:15" x14ac:dyDescent="0.25">
      <c r="A953" s="8">
        <v>30644</v>
      </c>
      <c r="B953" s="9" t="s">
        <v>10</v>
      </c>
      <c r="C953" s="9" t="s">
        <v>15</v>
      </c>
      <c r="D953" s="9" t="s">
        <v>19</v>
      </c>
      <c r="E953" s="9" t="s">
        <v>8</v>
      </c>
      <c r="F953" s="9" t="str">
        <f t="shared" si="14"/>
        <v>Not Delivered</v>
      </c>
      <c r="G953" s="9" t="b">
        <v>1</v>
      </c>
      <c r="H953" s="9" t="s">
        <v>22</v>
      </c>
      <c r="I953" s="8">
        <v>3852</v>
      </c>
      <c r="J953" s="10">
        <v>1014.79</v>
      </c>
      <c r="K953" s="10">
        <v>56.09</v>
      </c>
      <c r="L953" s="10">
        <v>75.81</v>
      </c>
      <c r="M953" s="10">
        <v>1146.69</v>
      </c>
      <c r="N953" s="8">
        <v>9</v>
      </c>
      <c r="O953" s="6">
        <v>3</v>
      </c>
    </row>
    <row r="954" spans="1:15" x14ac:dyDescent="0.25">
      <c r="A954" s="8">
        <v>57381</v>
      </c>
      <c r="B954" s="9" t="s">
        <v>23</v>
      </c>
      <c r="C954" s="9" t="s">
        <v>49</v>
      </c>
      <c r="D954" s="9" t="s">
        <v>25</v>
      </c>
      <c r="E954" s="9" t="s">
        <v>32</v>
      </c>
      <c r="F954" s="9" t="str">
        <f t="shared" si="14"/>
        <v>Not Delivered</v>
      </c>
      <c r="G954" s="9" t="b">
        <v>0</v>
      </c>
      <c r="H954" s="9" t="s">
        <v>18</v>
      </c>
      <c r="I954" s="8">
        <v>9335</v>
      </c>
      <c r="J954" s="10">
        <v>1940.48</v>
      </c>
      <c r="K954" s="10">
        <v>143.65</v>
      </c>
      <c r="L954" s="10">
        <v>0</v>
      </c>
      <c r="M954" s="10">
        <v>2084.13</v>
      </c>
      <c r="N954" s="8">
        <v>10</v>
      </c>
      <c r="O954" s="6">
        <v>1.5</v>
      </c>
    </row>
    <row r="955" spans="1:15" x14ac:dyDescent="0.25">
      <c r="A955" s="8">
        <v>39391</v>
      </c>
      <c r="B955" s="9" t="s">
        <v>5</v>
      </c>
      <c r="C955" s="9" t="s">
        <v>59</v>
      </c>
      <c r="D955" s="9" t="s">
        <v>25</v>
      </c>
      <c r="E955" s="9" t="s">
        <v>17</v>
      </c>
      <c r="F955" s="9" t="str">
        <f t="shared" si="14"/>
        <v>Not Delivered</v>
      </c>
      <c r="G955" s="9" t="b">
        <v>0</v>
      </c>
      <c r="H955" s="9" t="s">
        <v>33</v>
      </c>
      <c r="I955" s="8">
        <v>2988</v>
      </c>
      <c r="J955" s="10">
        <v>422.79</v>
      </c>
      <c r="K955" s="10">
        <v>40.32</v>
      </c>
      <c r="L955" s="10">
        <v>0</v>
      </c>
      <c r="M955" s="10">
        <v>463.11</v>
      </c>
      <c r="N955" s="8">
        <v>1</v>
      </c>
      <c r="O955" s="6">
        <v>2.8</v>
      </c>
    </row>
    <row r="956" spans="1:15" x14ac:dyDescent="0.25">
      <c r="A956" s="8">
        <v>36342</v>
      </c>
      <c r="B956" s="9" t="s">
        <v>39</v>
      </c>
      <c r="C956" s="9" t="s">
        <v>58</v>
      </c>
      <c r="D956" s="9" t="s">
        <v>27</v>
      </c>
      <c r="E956" s="9" t="s">
        <v>21</v>
      </c>
      <c r="F956" s="9" t="str">
        <f t="shared" si="14"/>
        <v>Not Delivered</v>
      </c>
      <c r="G956" s="9" t="b">
        <v>0</v>
      </c>
      <c r="H956" s="9" t="s">
        <v>4</v>
      </c>
      <c r="I956" s="8">
        <v>3275</v>
      </c>
      <c r="J956" s="10">
        <v>1475.43</v>
      </c>
      <c r="K956" s="10">
        <v>134.16999999999999</v>
      </c>
      <c r="L956" s="10">
        <v>0</v>
      </c>
      <c r="M956" s="10">
        <v>1609.6</v>
      </c>
      <c r="N956" s="8">
        <v>14</v>
      </c>
      <c r="O956" s="6">
        <v>2.8</v>
      </c>
    </row>
    <row r="957" spans="1:15" x14ac:dyDescent="0.25">
      <c r="A957" s="8">
        <v>41029</v>
      </c>
      <c r="B957" s="9" t="s">
        <v>39</v>
      </c>
      <c r="C957" s="9" t="s">
        <v>40</v>
      </c>
      <c r="D957" s="9" t="s">
        <v>50</v>
      </c>
      <c r="E957" s="9" t="s">
        <v>13</v>
      </c>
      <c r="F957" s="9" t="str">
        <f t="shared" si="14"/>
        <v>Delivered</v>
      </c>
      <c r="G957" s="9" t="b">
        <v>1</v>
      </c>
      <c r="H957" s="9" t="s">
        <v>22</v>
      </c>
      <c r="I957" s="8">
        <v>9094</v>
      </c>
      <c r="J957" s="10">
        <v>983.4</v>
      </c>
      <c r="K957" s="10">
        <v>0</v>
      </c>
      <c r="L957" s="10">
        <v>75.58</v>
      </c>
      <c r="M957" s="10">
        <v>1058.98</v>
      </c>
      <c r="N957" s="8">
        <v>12</v>
      </c>
      <c r="O957" s="6">
        <v>2.9</v>
      </c>
    </row>
    <row r="958" spans="1:15" x14ac:dyDescent="0.25">
      <c r="A958" s="8">
        <v>13445</v>
      </c>
      <c r="B958" s="9" t="s">
        <v>5</v>
      </c>
      <c r="C958" s="9" t="s">
        <v>59</v>
      </c>
      <c r="D958" s="9" t="s">
        <v>50</v>
      </c>
      <c r="E958" s="9" t="s">
        <v>3</v>
      </c>
      <c r="F958" s="9" t="str">
        <f t="shared" si="14"/>
        <v>Not Delivered</v>
      </c>
      <c r="G958" s="9" t="b">
        <v>1</v>
      </c>
      <c r="H958" s="9" t="s">
        <v>4</v>
      </c>
      <c r="I958" s="8">
        <v>6912</v>
      </c>
      <c r="J958" s="10">
        <v>1333.82</v>
      </c>
      <c r="K958" s="10">
        <v>89.12</v>
      </c>
      <c r="L958" s="10">
        <v>212.53</v>
      </c>
      <c r="M958" s="10">
        <v>1635.47</v>
      </c>
      <c r="N958" s="8">
        <v>7</v>
      </c>
    </row>
    <row r="959" spans="1:15" x14ac:dyDescent="0.25">
      <c r="A959" s="8">
        <v>82616</v>
      </c>
      <c r="B959" s="9" t="s">
        <v>41</v>
      </c>
      <c r="C959" s="9" t="s">
        <v>42</v>
      </c>
      <c r="D959" s="9" t="s">
        <v>7</v>
      </c>
      <c r="E959" s="9" t="s">
        <v>3</v>
      </c>
      <c r="F959" s="9" t="str">
        <f t="shared" si="14"/>
        <v>Not Delivered</v>
      </c>
      <c r="G959" s="9" t="b">
        <v>0</v>
      </c>
      <c r="H959" s="9" t="s">
        <v>22</v>
      </c>
      <c r="I959" s="8">
        <v>7044</v>
      </c>
      <c r="J959" s="10">
        <v>324.24</v>
      </c>
      <c r="K959" s="10">
        <v>47.71</v>
      </c>
      <c r="L959" s="10">
        <v>0</v>
      </c>
      <c r="M959" s="10">
        <v>371.95</v>
      </c>
      <c r="N959" s="8">
        <v>1</v>
      </c>
      <c r="O959" s="6">
        <v>2.4</v>
      </c>
    </row>
    <row r="960" spans="1:15" x14ac:dyDescent="0.25">
      <c r="A960" s="8">
        <v>71263</v>
      </c>
      <c r="B960" s="9" t="s">
        <v>39</v>
      </c>
      <c r="C960" s="9" t="s">
        <v>52</v>
      </c>
      <c r="D960" s="9" t="s">
        <v>27</v>
      </c>
      <c r="E960" s="9" t="s">
        <v>32</v>
      </c>
      <c r="F960" s="9" t="str">
        <f t="shared" si="14"/>
        <v>Not Delivered</v>
      </c>
      <c r="G960" s="9" t="b">
        <v>1</v>
      </c>
      <c r="H960" s="9" t="s">
        <v>33</v>
      </c>
      <c r="I960" s="8">
        <v>3126</v>
      </c>
      <c r="J960" s="10">
        <v>92.95</v>
      </c>
      <c r="K960" s="10">
        <v>36.869999999999997</v>
      </c>
      <c r="L960" s="10">
        <v>190.26</v>
      </c>
      <c r="M960" s="10">
        <v>320.08</v>
      </c>
      <c r="N960" s="8">
        <v>9</v>
      </c>
      <c r="O960" s="6">
        <v>1.3</v>
      </c>
    </row>
    <row r="961" spans="1:15" x14ac:dyDescent="0.25">
      <c r="A961" s="8">
        <v>90209</v>
      </c>
      <c r="B961" s="9" t="s">
        <v>0</v>
      </c>
      <c r="C961" s="9" t="s">
        <v>43</v>
      </c>
      <c r="D961" s="9" t="s">
        <v>16</v>
      </c>
      <c r="E961" s="9" t="s">
        <v>17</v>
      </c>
      <c r="F961" s="9" t="str">
        <f t="shared" si="14"/>
        <v>Not Delivered</v>
      </c>
      <c r="G961" s="9" t="b">
        <v>0</v>
      </c>
      <c r="H961" s="9" t="s">
        <v>14</v>
      </c>
      <c r="I961" s="8">
        <v>2412</v>
      </c>
      <c r="J961" s="10">
        <v>709.83</v>
      </c>
      <c r="K961" s="10">
        <v>128.66999999999999</v>
      </c>
      <c r="L961" s="10">
        <v>0</v>
      </c>
      <c r="M961" s="10">
        <v>838.5</v>
      </c>
      <c r="N961" s="8">
        <v>13</v>
      </c>
      <c r="O961" s="6">
        <v>2.2000000000000002</v>
      </c>
    </row>
    <row r="962" spans="1:15" x14ac:dyDescent="0.25">
      <c r="A962" s="8">
        <v>18617</v>
      </c>
      <c r="B962" s="9" t="s">
        <v>0</v>
      </c>
      <c r="C962" s="9" t="s">
        <v>37</v>
      </c>
      <c r="D962" s="9" t="s">
        <v>2</v>
      </c>
      <c r="E962" s="9" t="s">
        <v>13</v>
      </c>
      <c r="F962" s="9" t="str">
        <f t="shared" si="14"/>
        <v>Delivered</v>
      </c>
      <c r="G962" s="9" t="b">
        <v>0</v>
      </c>
      <c r="H962" s="9" t="s">
        <v>18</v>
      </c>
      <c r="I962" s="8">
        <v>6067</v>
      </c>
      <c r="J962" s="10">
        <v>771.26</v>
      </c>
      <c r="K962" s="10">
        <v>115.9</v>
      </c>
      <c r="L962" s="10">
        <v>0</v>
      </c>
      <c r="M962" s="10">
        <v>887.16</v>
      </c>
      <c r="N962" s="8">
        <v>3</v>
      </c>
      <c r="O962" s="6">
        <v>3.4</v>
      </c>
    </row>
    <row r="963" spans="1:15" x14ac:dyDescent="0.25">
      <c r="A963" s="8">
        <v>62187</v>
      </c>
      <c r="B963" s="9" t="s">
        <v>41</v>
      </c>
      <c r="C963" s="9" t="s">
        <v>42</v>
      </c>
      <c r="D963" s="9" t="s">
        <v>35</v>
      </c>
      <c r="E963" s="9" t="s">
        <v>32</v>
      </c>
      <c r="F963" s="9" t="str">
        <f t="shared" ref="F963:F1026" si="15">IF(OR(
E963="Failed Delivery",
E963="Cancelled",
E963="Pending",
E963="Rescheduled",
E963="In Transit"
),"Not Delivered","Delivered")</f>
        <v>Not Delivered</v>
      </c>
      <c r="G963" s="9" t="b">
        <v>1</v>
      </c>
      <c r="H963" s="9" t="s">
        <v>14</v>
      </c>
      <c r="I963" s="8">
        <v>8842</v>
      </c>
      <c r="J963" s="10">
        <v>448.65</v>
      </c>
      <c r="K963" s="10">
        <v>27.21</v>
      </c>
      <c r="L963" s="10">
        <v>54.83</v>
      </c>
      <c r="M963" s="10">
        <v>530.69000000000005</v>
      </c>
      <c r="N963" s="8">
        <v>2</v>
      </c>
      <c r="O963" s="6">
        <v>3.7</v>
      </c>
    </row>
    <row r="964" spans="1:15" x14ac:dyDescent="0.25">
      <c r="A964" s="8">
        <v>78903</v>
      </c>
      <c r="B964" s="9" t="s">
        <v>0</v>
      </c>
      <c r="C964" s="9" t="s">
        <v>53</v>
      </c>
      <c r="D964" s="9" t="s">
        <v>25</v>
      </c>
      <c r="E964" s="9" t="s">
        <v>21</v>
      </c>
      <c r="F964" s="9" t="str">
        <f t="shared" si="15"/>
        <v>Not Delivered</v>
      </c>
      <c r="G964" s="9" t="b">
        <v>0</v>
      </c>
      <c r="H964" s="9" t="s">
        <v>33</v>
      </c>
      <c r="I964" s="8">
        <v>7730</v>
      </c>
      <c r="J964" s="10">
        <v>323.95999999999998</v>
      </c>
      <c r="K964" s="10">
        <v>91.06</v>
      </c>
      <c r="L964" s="10">
        <v>0</v>
      </c>
      <c r="M964" s="10">
        <v>415.02</v>
      </c>
      <c r="N964" s="8">
        <v>13</v>
      </c>
      <c r="O964" s="6">
        <v>4.7</v>
      </c>
    </row>
    <row r="965" spans="1:15" x14ac:dyDescent="0.25">
      <c r="A965" s="8">
        <v>63665</v>
      </c>
      <c r="B965" s="9" t="s">
        <v>5</v>
      </c>
      <c r="C965" s="9" t="s">
        <v>6</v>
      </c>
      <c r="D965" s="9" t="s">
        <v>7</v>
      </c>
      <c r="E965" s="9" t="s">
        <v>13</v>
      </c>
      <c r="F965" s="9" t="str">
        <f t="shared" si="15"/>
        <v>Delivered</v>
      </c>
      <c r="G965" s="9" t="b">
        <v>0</v>
      </c>
      <c r="H965" s="9" t="s">
        <v>4</v>
      </c>
      <c r="I965" s="8">
        <v>2208</v>
      </c>
      <c r="J965" s="10">
        <v>2147.64</v>
      </c>
      <c r="K965" s="10">
        <v>0</v>
      </c>
      <c r="L965" s="10">
        <v>0</v>
      </c>
      <c r="M965" s="10">
        <v>2147.64</v>
      </c>
      <c r="N965" s="8">
        <v>10</v>
      </c>
      <c r="O965" s="6">
        <v>1.1000000000000001</v>
      </c>
    </row>
    <row r="966" spans="1:15" x14ac:dyDescent="0.25">
      <c r="A966" s="8">
        <v>26426</v>
      </c>
      <c r="B966" s="9" t="s">
        <v>0</v>
      </c>
      <c r="C966" s="9" t="s">
        <v>37</v>
      </c>
      <c r="D966" s="9" t="s">
        <v>38</v>
      </c>
      <c r="E966" s="9" t="s">
        <v>32</v>
      </c>
      <c r="F966" s="9" t="str">
        <f t="shared" si="15"/>
        <v>Not Delivered</v>
      </c>
      <c r="G966" s="9" t="b">
        <v>1</v>
      </c>
      <c r="H966" s="9" t="s">
        <v>9</v>
      </c>
      <c r="I966" s="8">
        <v>6194</v>
      </c>
      <c r="J966" s="10">
        <v>773.09</v>
      </c>
      <c r="K966" s="10">
        <v>107.38</v>
      </c>
      <c r="L966" s="10">
        <v>62.62</v>
      </c>
      <c r="M966" s="10">
        <v>943.09</v>
      </c>
      <c r="N966" s="8">
        <v>8</v>
      </c>
      <c r="O966" s="6">
        <v>1.9</v>
      </c>
    </row>
    <row r="967" spans="1:15" x14ac:dyDescent="0.25">
      <c r="A967" s="8">
        <v>94192</v>
      </c>
      <c r="B967" s="9" t="s">
        <v>41</v>
      </c>
      <c r="C967" s="9" t="s">
        <v>46</v>
      </c>
      <c r="D967" s="9" t="s">
        <v>16</v>
      </c>
      <c r="E967" s="9" t="s">
        <v>21</v>
      </c>
      <c r="F967" s="9" t="str">
        <f t="shared" si="15"/>
        <v>Not Delivered</v>
      </c>
      <c r="G967" s="9" t="b">
        <v>1</v>
      </c>
      <c r="H967" s="9" t="s">
        <v>18</v>
      </c>
      <c r="I967" s="8">
        <v>2215</v>
      </c>
      <c r="J967" s="10">
        <v>489.24</v>
      </c>
      <c r="K967" s="10">
        <v>26.82</v>
      </c>
      <c r="L967" s="10">
        <v>51.66</v>
      </c>
      <c r="M967" s="10">
        <v>567.72</v>
      </c>
      <c r="N967" s="8">
        <v>3</v>
      </c>
      <c r="O967" s="6">
        <v>2.4</v>
      </c>
    </row>
    <row r="968" spans="1:15" x14ac:dyDescent="0.25">
      <c r="A968" s="8">
        <v>68979</v>
      </c>
      <c r="B968" s="9" t="s">
        <v>5</v>
      </c>
      <c r="C968" s="9" t="s">
        <v>56</v>
      </c>
      <c r="D968" s="9" t="s">
        <v>45</v>
      </c>
      <c r="E968" s="9" t="s">
        <v>21</v>
      </c>
      <c r="F968" s="9" t="str">
        <f t="shared" si="15"/>
        <v>Not Delivered</v>
      </c>
      <c r="G968" s="9" t="b">
        <v>0</v>
      </c>
      <c r="H968" s="9" t="s">
        <v>33</v>
      </c>
      <c r="I968" s="8">
        <v>8632</v>
      </c>
      <c r="J968" s="10">
        <v>626.20000000000005</v>
      </c>
      <c r="K968" s="10">
        <v>141.1</v>
      </c>
      <c r="L968" s="10">
        <v>0</v>
      </c>
      <c r="M968" s="10">
        <v>767.3</v>
      </c>
      <c r="N968" s="8">
        <v>4</v>
      </c>
      <c r="O968" s="6">
        <v>3.3</v>
      </c>
    </row>
    <row r="969" spans="1:15" x14ac:dyDescent="0.25">
      <c r="A969" s="8">
        <v>99143</v>
      </c>
      <c r="B969" s="9" t="s">
        <v>10</v>
      </c>
      <c r="C969" s="9" t="s">
        <v>15</v>
      </c>
      <c r="D969" s="9" t="s">
        <v>2</v>
      </c>
      <c r="E969" s="9" t="s">
        <v>17</v>
      </c>
      <c r="F969" s="9" t="str">
        <f t="shared" si="15"/>
        <v>Not Delivered</v>
      </c>
      <c r="G969" s="9" t="b">
        <v>0</v>
      </c>
      <c r="H969" s="9" t="s">
        <v>28</v>
      </c>
      <c r="I969" s="8">
        <v>9476</v>
      </c>
      <c r="J969" s="10">
        <v>1809.54</v>
      </c>
      <c r="K969" s="10">
        <v>130.16</v>
      </c>
      <c r="L969" s="10">
        <v>0</v>
      </c>
      <c r="M969" s="10">
        <v>1939.7</v>
      </c>
      <c r="N969" s="8">
        <v>7</v>
      </c>
      <c r="O969" s="6">
        <v>4.5</v>
      </c>
    </row>
    <row r="970" spans="1:15" x14ac:dyDescent="0.25">
      <c r="A970" s="8">
        <v>55156</v>
      </c>
      <c r="B970" s="9" t="s">
        <v>41</v>
      </c>
      <c r="C970" s="9" t="s">
        <v>61</v>
      </c>
      <c r="D970" s="9" t="s">
        <v>50</v>
      </c>
      <c r="E970" s="9" t="s">
        <v>3</v>
      </c>
      <c r="F970" s="9" t="str">
        <f t="shared" si="15"/>
        <v>Not Delivered</v>
      </c>
      <c r="G970" s="9" t="b">
        <v>0</v>
      </c>
      <c r="H970" s="9" t="s">
        <v>22</v>
      </c>
      <c r="I970" s="8">
        <v>3102</v>
      </c>
      <c r="J970" s="10">
        <v>522.01</v>
      </c>
      <c r="K970" s="10">
        <v>55.15</v>
      </c>
      <c r="L970" s="10">
        <v>0</v>
      </c>
      <c r="M970" s="10">
        <v>577.16</v>
      </c>
      <c r="N970" s="8">
        <v>1</v>
      </c>
      <c r="O970" s="6">
        <v>4.8</v>
      </c>
    </row>
    <row r="971" spans="1:15" x14ac:dyDescent="0.25">
      <c r="A971" s="8">
        <v>82260</v>
      </c>
      <c r="B971" s="9" t="s">
        <v>10</v>
      </c>
      <c r="C971" s="9" t="s">
        <v>26</v>
      </c>
      <c r="D971" s="9" t="s">
        <v>30</v>
      </c>
      <c r="E971" s="9" t="s">
        <v>21</v>
      </c>
      <c r="F971" s="9" t="str">
        <f t="shared" si="15"/>
        <v>Not Delivered</v>
      </c>
      <c r="G971" s="9" t="b">
        <v>0</v>
      </c>
      <c r="H971" s="9" t="s">
        <v>18</v>
      </c>
      <c r="I971" s="8">
        <v>3981</v>
      </c>
      <c r="J971" s="10">
        <v>1757.64</v>
      </c>
      <c r="K971" s="10">
        <v>0</v>
      </c>
      <c r="L971" s="10">
        <v>0</v>
      </c>
      <c r="M971" s="10">
        <v>1757.64</v>
      </c>
      <c r="N971" s="8">
        <v>2</v>
      </c>
      <c r="O971" s="6">
        <v>2</v>
      </c>
    </row>
    <row r="972" spans="1:15" x14ac:dyDescent="0.25">
      <c r="A972" s="8">
        <v>26912</v>
      </c>
      <c r="B972" s="9" t="s">
        <v>10</v>
      </c>
      <c r="C972" s="9" t="s">
        <v>20</v>
      </c>
      <c r="D972" s="9" t="s">
        <v>16</v>
      </c>
      <c r="E972" s="9" t="s">
        <v>13</v>
      </c>
      <c r="F972" s="9" t="str">
        <f t="shared" si="15"/>
        <v>Delivered</v>
      </c>
      <c r="G972" s="9" t="b">
        <v>0</v>
      </c>
      <c r="H972" s="9" t="s">
        <v>28</v>
      </c>
      <c r="I972" s="8">
        <v>8088</v>
      </c>
      <c r="J972" s="10">
        <v>1275.43</v>
      </c>
      <c r="K972" s="10">
        <v>139.18</v>
      </c>
      <c r="L972" s="10">
        <v>0</v>
      </c>
      <c r="M972" s="10">
        <v>1414.61</v>
      </c>
      <c r="N972" s="8">
        <v>5</v>
      </c>
      <c r="O972" s="6">
        <v>1.1000000000000001</v>
      </c>
    </row>
    <row r="973" spans="1:15" x14ac:dyDescent="0.25">
      <c r="A973" s="8">
        <v>75911</v>
      </c>
      <c r="B973" s="9" t="s">
        <v>10</v>
      </c>
      <c r="C973" s="9" t="s">
        <v>26</v>
      </c>
      <c r="D973" s="9" t="s">
        <v>19</v>
      </c>
      <c r="E973" s="9" t="s">
        <v>3</v>
      </c>
      <c r="F973" s="9" t="str">
        <f t="shared" si="15"/>
        <v>Not Delivered</v>
      </c>
      <c r="G973" s="9" t="b">
        <v>0</v>
      </c>
      <c r="H973" s="9" t="s">
        <v>4</v>
      </c>
      <c r="I973" s="8">
        <v>1907</v>
      </c>
      <c r="J973" s="10">
        <v>364.65</v>
      </c>
      <c r="K973" s="10">
        <v>66.03</v>
      </c>
      <c r="L973" s="10">
        <v>0</v>
      </c>
      <c r="M973" s="10">
        <v>430.68</v>
      </c>
      <c r="N973" s="8">
        <v>13</v>
      </c>
      <c r="O973" s="6">
        <v>4.5</v>
      </c>
    </row>
    <row r="974" spans="1:15" x14ac:dyDescent="0.25">
      <c r="A974" s="8">
        <v>26274</v>
      </c>
      <c r="B974" s="9" t="s">
        <v>41</v>
      </c>
      <c r="C974" s="9" t="s">
        <v>47</v>
      </c>
      <c r="D974" s="9" t="s">
        <v>30</v>
      </c>
      <c r="E974" s="9" t="s">
        <v>3</v>
      </c>
      <c r="F974" s="9" t="str">
        <f t="shared" si="15"/>
        <v>Not Delivered</v>
      </c>
      <c r="G974" s="9" t="b">
        <v>0</v>
      </c>
      <c r="H974" s="9" t="s">
        <v>28</v>
      </c>
      <c r="I974" s="8">
        <v>9488</v>
      </c>
      <c r="J974" s="10">
        <v>1060.8599999999999</v>
      </c>
      <c r="K974" s="10">
        <v>0</v>
      </c>
      <c r="L974" s="10">
        <v>0</v>
      </c>
      <c r="M974" s="10">
        <v>1060.8599999999999</v>
      </c>
      <c r="N974" s="8">
        <v>10</v>
      </c>
      <c r="O974" s="6">
        <v>4.7</v>
      </c>
    </row>
    <row r="975" spans="1:15" x14ac:dyDescent="0.25">
      <c r="A975" s="8">
        <v>30056</v>
      </c>
      <c r="B975" s="9" t="s">
        <v>10</v>
      </c>
      <c r="C975" s="9" t="s">
        <v>26</v>
      </c>
      <c r="D975" s="9" t="s">
        <v>19</v>
      </c>
      <c r="E975" s="9" t="s">
        <v>17</v>
      </c>
      <c r="F975" s="9" t="str">
        <f t="shared" si="15"/>
        <v>Not Delivered</v>
      </c>
      <c r="G975" s="9" t="b">
        <v>1</v>
      </c>
      <c r="H975" s="9" t="s">
        <v>4</v>
      </c>
      <c r="I975" s="8">
        <v>5982</v>
      </c>
      <c r="J975" s="10">
        <v>297.72000000000003</v>
      </c>
      <c r="K975" s="10">
        <v>62.24</v>
      </c>
      <c r="L975" s="10">
        <v>143.15</v>
      </c>
      <c r="M975" s="10">
        <v>503.11</v>
      </c>
      <c r="N975" s="8">
        <v>5</v>
      </c>
      <c r="O975" s="6">
        <v>4.5</v>
      </c>
    </row>
    <row r="976" spans="1:15" x14ac:dyDescent="0.25">
      <c r="A976" s="8">
        <v>31581</v>
      </c>
      <c r="B976" s="9" t="s">
        <v>5</v>
      </c>
      <c r="C976" s="9" t="s">
        <v>36</v>
      </c>
      <c r="D976" s="9" t="s">
        <v>38</v>
      </c>
      <c r="E976" s="9" t="s">
        <v>3</v>
      </c>
      <c r="F976" s="9" t="str">
        <f t="shared" si="15"/>
        <v>Not Delivered</v>
      </c>
      <c r="G976" s="9" t="b">
        <v>1</v>
      </c>
      <c r="H976" s="9" t="s">
        <v>18</v>
      </c>
      <c r="I976" s="8">
        <v>3653</v>
      </c>
      <c r="J976" s="10">
        <v>1428.63</v>
      </c>
      <c r="K976" s="10">
        <v>118.19</v>
      </c>
      <c r="L976" s="10">
        <v>157.82</v>
      </c>
      <c r="M976" s="10">
        <v>1704.64</v>
      </c>
      <c r="N976" s="8">
        <v>13</v>
      </c>
      <c r="O976" s="6">
        <v>1.5</v>
      </c>
    </row>
    <row r="977" spans="1:15" x14ac:dyDescent="0.25">
      <c r="A977" s="8">
        <v>52291</v>
      </c>
      <c r="B977" s="9" t="s">
        <v>23</v>
      </c>
      <c r="C977" s="9" t="s">
        <v>60</v>
      </c>
      <c r="D977" s="9" t="s">
        <v>25</v>
      </c>
      <c r="E977" s="9" t="s">
        <v>32</v>
      </c>
      <c r="F977" s="9" t="str">
        <f t="shared" si="15"/>
        <v>Not Delivered</v>
      </c>
      <c r="G977" s="9" t="b">
        <v>0</v>
      </c>
      <c r="H977" s="9" t="s">
        <v>28</v>
      </c>
      <c r="I977" s="8">
        <v>4694</v>
      </c>
      <c r="J977" s="10">
        <v>1398.17</v>
      </c>
      <c r="K977" s="10">
        <v>148.25</v>
      </c>
      <c r="L977" s="10">
        <v>0</v>
      </c>
      <c r="M977" s="10">
        <v>1546.42</v>
      </c>
      <c r="N977" s="8">
        <v>6</v>
      </c>
      <c r="O977" s="6">
        <v>2.7</v>
      </c>
    </row>
    <row r="978" spans="1:15" x14ac:dyDescent="0.25">
      <c r="A978" s="8">
        <v>55353</v>
      </c>
      <c r="B978" s="9" t="s">
        <v>5</v>
      </c>
      <c r="C978" s="9" t="s">
        <v>59</v>
      </c>
      <c r="D978" s="9" t="s">
        <v>7</v>
      </c>
      <c r="E978" s="9" t="s">
        <v>3</v>
      </c>
      <c r="F978" s="9" t="str">
        <f t="shared" si="15"/>
        <v>Not Delivered</v>
      </c>
      <c r="G978" s="9" t="b">
        <v>1</v>
      </c>
      <c r="H978" s="9" t="s">
        <v>28</v>
      </c>
      <c r="I978" s="8">
        <v>9501</v>
      </c>
      <c r="J978" s="10">
        <v>223.11</v>
      </c>
      <c r="K978" s="10">
        <v>55.98</v>
      </c>
      <c r="L978" s="10">
        <v>46.83</v>
      </c>
      <c r="M978" s="10">
        <v>325.92</v>
      </c>
      <c r="N978" s="8">
        <v>4</v>
      </c>
      <c r="O978" s="6">
        <v>1.3</v>
      </c>
    </row>
    <row r="979" spans="1:15" x14ac:dyDescent="0.25">
      <c r="A979" s="8">
        <v>47230</v>
      </c>
      <c r="B979" s="9" t="s">
        <v>10</v>
      </c>
      <c r="C979" s="9" t="s">
        <v>26</v>
      </c>
      <c r="D979" s="9" t="s">
        <v>12</v>
      </c>
      <c r="E979" s="9" t="s">
        <v>8</v>
      </c>
      <c r="F979" s="9" t="str">
        <f t="shared" si="15"/>
        <v>Not Delivered</v>
      </c>
      <c r="G979" s="9" t="b">
        <v>0</v>
      </c>
      <c r="H979" s="9" t="s">
        <v>4</v>
      </c>
      <c r="I979" s="8">
        <v>2292</v>
      </c>
      <c r="J979" s="10">
        <v>696.84</v>
      </c>
      <c r="K979" s="10">
        <v>139.04</v>
      </c>
      <c r="L979" s="10">
        <v>0</v>
      </c>
      <c r="M979" s="10">
        <v>835.88</v>
      </c>
      <c r="N979" s="8">
        <v>3</v>
      </c>
      <c r="O979" s="6">
        <v>2.9</v>
      </c>
    </row>
    <row r="980" spans="1:15" x14ac:dyDescent="0.25">
      <c r="A980" s="8">
        <v>42847</v>
      </c>
      <c r="B980" s="9" t="s">
        <v>5</v>
      </c>
      <c r="C980" s="9" t="s">
        <v>56</v>
      </c>
      <c r="E980" s="9" t="s">
        <v>21</v>
      </c>
      <c r="F980" s="9" t="str">
        <f t="shared" si="15"/>
        <v>Not Delivered</v>
      </c>
      <c r="G980" s="9" t="b">
        <v>0</v>
      </c>
      <c r="H980" s="9" t="s">
        <v>33</v>
      </c>
      <c r="I980" s="8">
        <v>4216</v>
      </c>
      <c r="J980" s="10">
        <v>2358.25</v>
      </c>
      <c r="K980" s="10">
        <v>0</v>
      </c>
      <c r="L980" s="10">
        <v>0</v>
      </c>
      <c r="M980" s="10">
        <v>2358.25</v>
      </c>
      <c r="N980" s="8">
        <v>14</v>
      </c>
      <c r="O980" s="6">
        <v>3.9</v>
      </c>
    </row>
    <row r="981" spans="1:15" x14ac:dyDescent="0.25">
      <c r="A981" s="8">
        <v>93238</v>
      </c>
      <c r="B981" s="9" t="s">
        <v>0</v>
      </c>
      <c r="C981" s="9" t="s">
        <v>53</v>
      </c>
      <c r="D981" s="9" t="s">
        <v>50</v>
      </c>
      <c r="E981" s="9" t="s">
        <v>17</v>
      </c>
      <c r="F981" s="9" t="str">
        <f t="shared" si="15"/>
        <v>Not Delivered</v>
      </c>
      <c r="G981" s="9" t="b">
        <v>1</v>
      </c>
      <c r="H981" s="9" t="s">
        <v>28</v>
      </c>
      <c r="I981" s="8">
        <v>5496</v>
      </c>
      <c r="J981" s="10">
        <v>1019.29</v>
      </c>
      <c r="K981" s="10">
        <v>0</v>
      </c>
      <c r="L981" s="10">
        <v>33.67</v>
      </c>
      <c r="M981" s="10">
        <v>1052.96</v>
      </c>
      <c r="N981" s="8">
        <v>7</v>
      </c>
      <c r="O981" s="6">
        <v>3.5</v>
      </c>
    </row>
    <row r="982" spans="1:15" x14ac:dyDescent="0.25">
      <c r="A982" s="8">
        <v>26406</v>
      </c>
      <c r="B982" s="9" t="s">
        <v>23</v>
      </c>
      <c r="C982" s="9" t="s">
        <v>34</v>
      </c>
      <c r="D982" s="9" t="s">
        <v>19</v>
      </c>
      <c r="E982" s="9" t="s">
        <v>8</v>
      </c>
      <c r="F982" s="9" t="str">
        <f t="shared" si="15"/>
        <v>Not Delivered</v>
      </c>
      <c r="G982" s="9" t="b">
        <v>0</v>
      </c>
      <c r="H982" s="9" t="s">
        <v>9</v>
      </c>
      <c r="I982" s="8">
        <v>5961</v>
      </c>
      <c r="J982" s="10">
        <v>807.03</v>
      </c>
      <c r="K982" s="10">
        <v>71.08</v>
      </c>
      <c r="L982" s="10">
        <v>0</v>
      </c>
      <c r="M982" s="10">
        <v>878.11</v>
      </c>
      <c r="N982" s="8">
        <v>12</v>
      </c>
      <c r="O982" s="6">
        <v>1.6</v>
      </c>
    </row>
    <row r="983" spans="1:15" x14ac:dyDescent="0.25">
      <c r="A983" s="8">
        <v>90534</v>
      </c>
      <c r="B983" s="9" t="s">
        <v>0</v>
      </c>
      <c r="C983" s="9" t="s">
        <v>37</v>
      </c>
      <c r="D983" s="9" t="s">
        <v>25</v>
      </c>
      <c r="E983" s="9" t="s">
        <v>13</v>
      </c>
      <c r="F983" s="9" t="str">
        <f t="shared" si="15"/>
        <v>Delivered</v>
      </c>
      <c r="G983" s="9" t="b">
        <v>1</v>
      </c>
      <c r="H983" s="9" t="s">
        <v>14</v>
      </c>
      <c r="I983" s="8">
        <v>9740</v>
      </c>
      <c r="J983" s="10">
        <v>1722.52</v>
      </c>
      <c r="K983" s="10">
        <v>0</v>
      </c>
      <c r="L983" s="10">
        <v>127.8</v>
      </c>
      <c r="M983" s="10">
        <v>1850.32</v>
      </c>
      <c r="N983" s="8">
        <v>7</v>
      </c>
      <c r="O983" s="6">
        <v>4.9000000000000004</v>
      </c>
    </row>
    <row r="984" spans="1:15" x14ac:dyDescent="0.25">
      <c r="A984" s="8">
        <v>22245</v>
      </c>
      <c r="B984" s="9" t="s">
        <v>41</v>
      </c>
      <c r="C984" s="9" t="s">
        <v>42</v>
      </c>
      <c r="D984" s="9" t="s">
        <v>27</v>
      </c>
      <c r="E984" s="9" t="s">
        <v>13</v>
      </c>
      <c r="F984" s="9" t="str">
        <f t="shared" si="15"/>
        <v>Delivered</v>
      </c>
      <c r="G984" s="9" t="b">
        <v>1</v>
      </c>
      <c r="H984" s="9" t="s">
        <v>4</v>
      </c>
      <c r="I984" s="8">
        <v>9234</v>
      </c>
      <c r="J984" s="10">
        <v>1389.79</v>
      </c>
      <c r="K984" s="10">
        <v>88.47</v>
      </c>
      <c r="L984" s="10">
        <v>60.29</v>
      </c>
      <c r="M984" s="10">
        <v>1538.55</v>
      </c>
      <c r="N984" s="8">
        <v>3</v>
      </c>
      <c r="O984" s="6">
        <v>3.1</v>
      </c>
    </row>
    <row r="985" spans="1:15" x14ac:dyDescent="0.25">
      <c r="A985" s="8">
        <v>94015</v>
      </c>
      <c r="B985" s="9" t="s">
        <v>41</v>
      </c>
      <c r="C985" s="9" t="s">
        <v>61</v>
      </c>
      <c r="D985" s="9" t="s">
        <v>2</v>
      </c>
      <c r="E985" s="9" t="s">
        <v>32</v>
      </c>
      <c r="F985" s="9" t="str">
        <f t="shared" si="15"/>
        <v>Not Delivered</v>
      </c>
      <c r="G985" s="9" t="b">
        <v>0</v>
      </c>
      <c r="H985" s="9" t="s">
        <v>14</v>
      </c>
      <c r="I985" s="8">
        <v>3762</v>
      </c>
      <c r="J985" s="10">
        <v>2361.89</v>
      </c>
      <c r="K985" s="10">
        <v>125.45</v>
      </c>
      <c r="L985" s="10">
        <v>0</v>
      </c>
      <c r="M985" s="10">
        <v>2487.34</v>
      </c>
      <c r="N985" s="8">
        <v>14</v>
      </c>
      <c r="O985" s="6">
        <v>4.2</v>
      </c>
    </row>
    <row r="986" spans="1:15" x14ac:dyDescent="0.25">
      <c r="A986" s="8">
        <v>87569</v>
      </c>
      <c r="B986" s="9" t="s">
        <v>5</v>
      </c>
      <c r="C986" s="9" t="s">
        <v>56</v>
      </c>
      <c r="D986" s="9" t="s">
        <v>30</v>
      </c>
      <c r="E986" s="9" t="s">
        <v>3</v>
      </c>
      <c r="F986" s="9" t="str">
        <f t="shared" si="15"/>
        <v>Not Delivered</v>
      </c>
      <c r="G986" s="9" t="b">
        <v>1</v>
      </c>
      <c r="H986" s="9" t="s">
        <v>9</v>
      </c>
      <c r="I986" s="8">
        <v>3526</v>
      </c>
      <c r="J986" s="10">
        <v>1869.31</v>
      </c>
      <c r="K986" s="10">
        <v>136.57</v>
      </c>
      <c r="L986" s="10">
        <v>38.83</v>
      </c>
      <c r="M986" s="10">
        <v>2044.71</v>
      </c>
      <c r="N986" s="8">
        <v>12</v>
      </c>
      <c r="O986" s="6">
        <v>2.1</v>
      </c>
    </row>
    <row r="987" spans="1:15" x14ac:dyDescent="0.25">
      <c r="A987" s="8">
        <v>32439</v>
      </c>
      <c r="B987" s="9" t="s">
        <v>41</v>
      </c>
      <c r="C987" s="9" t="s">
        <v>61</v>
      </c>
      <c r="D987" s="9" t="s">
        <v>12</v>
      </c>
      <c r="E987" s="9" t="s">
        <v>32</v>
      </c>
      <c r="F987" s="9" t="str">
        <f t="shared" si="15"/>
        <v>Not Delivered</v>
      </c>
      <c r="G987" s="9" t="b">
        <v>1</v>
      </c>
      <c r="H987" s="9" t="s">
        <v>14</v>
      </c>
      <c r="I987" s="8">
        <v>6531</v>
      </c>
      <c r="J987" s="10">
        <v>657.61</v>
      </c>
      <c r="K987" s="10">
        <v>124.56</v>
      </c>
      <c r="L987" s="10">
        <v>95.39</v>
      </c>
      <c r="M987" s="10">
        <v>877.56</v>
      </c>
      <c r="N987" s="8">
        <v>5</v>
      </c>
      <c r="O987" s="6">
        <v>4.8</v>
      </c>
    </row>
    <row r="988" spans="1:15" x14ac:dyDescent="0.25">
      <c r="A988" s="8">
        <v>83874</v>
      </c>
      <c r="B988" s="9" t="s">
        <v>41</v>
      </c>
      <c r="C988" s="9" t="s">
        <v>61</v>
      </c>
      <c r="D988" s="9" t="s">
        <v>2</v>
      </c>
      <c r="E988" s="9" t="s">
        <v>17</v>
      </c>
      <c r="F988" s="9" t="str">
        <f t="shared" si="15"/>
        <v>Not Delivered</v>
      </c>
      <c r="G988" s="9" t="b">
        <v>0</v>
      </c>
      <c r="H988" s="9" t="s">
        <v>4</v>
      </c>
      <c r="I988" s="8">
        <v>1674</v>
      </c>
      <c r="J988" s="10">
        <v>1042.57</v>
      </c>
      <c r="K988" s="10">
        <v>111.55</v>
      </c>
      <c r="L988" s="10">
        <v>0</v>
      </c>
      <c r="M988" s="10">
        <v>1154.1199999999999</v>
      </c>
      <c r="N988" s="8">
        <v>5</v>
      </c>
      <c r="O988" s="6">
        <v>4.0999999999999996</v>
      </c>
    </row>
    <row r="989" spans="1:15" x14ac:dyDescent="0.25">
      <c r="A989" s="8">
        <v>13718</v>
      </c>
      <c r="B989" s="9" t="s">
        <v>10</v>
      </c>
      <c r="C989" s="9" t="s">
        <v>15</v>
      </c>
      <c r="D989" s="9" t="s">
        <v>25</v>
      </c>
      <c r="E989" s="9" t="s">
        <v>3</v>
      </c>
      <c r="F989" s="9" t="str">
        <f t="shared" si="15"/>
        <v>Not Delivered</v>
      </c>
      <c r="G989" s="9" t="b">
        <v>0</v>
      </c>
      <c r="H989" s="9" t="s">
        <v>4</v>
      </c>
      <c r="I989" s="8">
        <v>2330</v>
      </c>
      <c r="J989" s="10">
        <v>1355.48</v>
      </c>
      <c r="K989" s="10">
        <v>134.76</v>
      </c>
      <c r="L989" s="10">
        <v>0</v>
      </c>
      <c r="M989" s="10">
        <v>1490.24</v>
      </c>
      <c r="N989" s="8">
        <v>8</v>
      </c>
    </row>
    <row r="990" spans="1:15" x14ac:dyDescent="0.25">
      <c r="A990" s="8">
        <v>15958</v>
      </c>
      <c r="B990" s="9" t="s">
        <v>10</v>
      </c>
      <c r="C990" s="9" t="s">
        <v>20</v>
      </c>
      <c r="D990" s="9" t="s">
        <v>7</v>
      </c>
      <c r="E990" s="9" t="s">
        <v>13</v>
      </c>
      <c r="F990" s="9" t="str">
        <f t="shared" si="15"/>
        <v>Delivered</v>
      </c>
      <c r="G990" s="9" t="b">
        <v>1</v>
      </c>
      <c r="H990" s="9" t="s">
        <v>14</v>
      </c>
      <c r="I990" s="8">
        <v>5336</v>
      </c>
      <c r="J990" s="10">
        <v>1311.71</v>
      </c>
      <c r="K990" s="10">
        <v>90.86</v>
      </c>
      <c r="L990" s="10">
        <v>189.7</v>
      </c>
      <c r="M990" s="10">
        <v>1592.27</v>
      </c>
      <c r="N990" s="8">
        <v>9</v>
      </c>
      <c r="O990" s="6">
        <v>1.3</v>
      </c>
    </row>
    <row r="991" spans="1:15" x14ac:dyDescent="0.25">
      <c r="A991" s="8">
        <v>95344</v>
      </c>
      <c r="B991" s="9" t="s">
        <v>10</v>
      </c>
      <c r="C991" s="9" t="s">
        <v>11</v>
      </c>
      <c r="D991" s="9" t="s">
        <v>12</v>
      </c>
      <c r="E991" s="9" t="s">
        <v>8</v>
      </c>
      <c r="F991" s="9" t="str">
        <f t="shared" si="15"/>
        <v>Not Delivered</v>
      </c>
      <c r="G991" s="9" t="b">
        <v>1</v>
      </c>
      <c r="H991" s="9" t="s">
        <v>4</v>
      </c>
      <c r="I991" s="8">
        <v>4453</v>
      </c>
      <c r="J991" s="10">
        <v>1751.21</v>
      </c>
      <c r="K991" s="10">
        <v>0</v>
      </c>
      <c r="L991" s="10">
        <v>93.56</v>
      </c>
      <c r="M991" s="10">
        <v>1844.77</v>
      </c>
      <c r="N991" s="8">
        <v>11</v>
      </c>
    </row>
    <row r="992" spans="1:15" x14ac:dyDescent="0.25">
      <c r="A992" s="8">
        <v>84991</v>
      </c>
      <c r="B992" s="9" t="s">
        <v>23</v>
      </c>
      <c r="C992" s="9" t="s">
        <v>48</v>
      </c>
      <c r="D992" s="9" t="s">
        <v>35</v>
      </c>
      <c r="E992" s="9" t="s">
        <v>21</v>
      </c>
      <c r="F992" s="9" t="str">
        <f t="shared" si="15"/>
        <v>Not Delivered</v>
      </c>
      <c r="G992" s="9" t="b">
        <v>1</v>
      </c>
      <c r="H992" s="9" t="s">
        <v>22</v>
      </c>
      <c r="I992" s="8">
        <v>7825</v>
      </c>
      <c r="J992" s="10">
        <v>1594.15</v>
      </c>
      <c r="K992" s="10">
        <v>81.73</v>
      </c>
      <c r="L992" s="10">
        <v>48.79</v>
      </c>
      <c r="M992" s="10">
        <v>1724.67</v>
      </c>
      <c r="N992" s="8">
        <v>5</v>
      </c>
      <c r="O992" s="6">
        <v>1.1000000000000001</v>
      </c>
    </row>
    <row r="993" spans="1:15" x14ac:dyDescent="0.25">
      <c r="A993" s="8">
        <v>91016</v>
      </c>
      <c r="B993" s="9" t="s">
        <v>5</v>
      </c>
      <c r="C993" s="9" t="s">
        <v>59</v>
      </c>
      <c r="D993" s="9" t="s">
        <v>35</v>
      </c>
      <c r="E993" s="9" t="s">
        <v>21</v>
      </c>
      <c r="F993" s="9" t="str">
        <f t="shared" si="15"/>
        <v>Not Delivered</v>
      </c>
      <c r="G993" s="9" t="b">
        <v>0</v>
      </c>
      <c r="H993" s="9" t="s">
        <v>33</v>
      </c>
      <c r="I993" s="8">
        <v>1496</v>
      </c>
      <c r="J993" s="10">
        <v>739.8</v>
      </c>
      <c r="K993" s="10">
        <v>0</v>
      </c>
      <c r="L993" s="10">
        <v>0</v>
      </c>
      <c r="M993" s="10">
        <v>739.8</v>
      </c>
      <c r="N993" s="8">
        <v>2</v>
      </c>
      <c r="O993" s="6">
        <v>1.9</v>
      </c>
    </row>
    <row r="994" spans="1:15" x14ac:dyDescent="0.25">
      <c r="A994" s="8">
        <v>75278</v>
      </c>
      <c r="B994" s="9" t="s">
        <v>0</v>
      </c>
      <c r="C994" s="9" t="s">
        <v>37</v>
      </c>
      <c r="D994" s="9" t="s">
        <v>2</v>
      </c>
      <c r="E994" s="9" t="s">
        <v>13</v>
      </c>
      <c r="F994" s="9" t="str">
        <f t="shared" si="15"/>
        <v>Delivered</v>
      </c>
      <c r="G994" s="9" t="b">
        <v>0</v>
      </c>
      <c r="H994" s="9" t="s">
        <v>33</v>
      </c>
      <c r="I994" s="8">
        <v>9938</v>
      </c>
      <c r="J994" s="10">
        <v>267.8</v>
      </c>
      <c r="K994" s="10">
        <v>56.99</v>
      </c>
      <c r="L994" s="10">
        <v>0</v>
      </c>
      <c r="M994" s="10">
        <v>324.79000000000002</v>
      </c>
      <c r="N994" s="8">
        <v>3</v>
      </c>
    </row>
    <row r="995" spans="1:15" x14ac:dyDescent="0.25">
      <c r="A995" s="8">
        <v>47967</v>
      </c>
      <c r="B995" s="9" t="s">
        <v>39</v>
      </c>
      <c r="C995" s="9" t="s">
        <v>52</v>
      </c>
      <c r="E995" s="9" t="s">
        <v>32</v>
      </c>
      <c r="F995" s="9" t="str">
        <f t="shared" si="15"/>
        <v>Not Delivered</v>
      </c>
      <c r="G995" s="9" t="b">
        <v>1</v>
      </c>
      <c r="H995" s="9" t="s">
        <v>14</v>
      </c>
      <c r="I995" s="8">
        <v>5949</v>
      </c>
      <c r="J995" s="10">
        <v>748.37</v>
      </c>
      <c r="K995" s="10">
        <v>112.19</v>
      </c>
      <c r="L995" s="10">
        <v>104.46</v>
      </c>
      <c r="M995" s="10">
        <v>965.02</v>
      </c>
      <c r="N995" s="8">
        <v>3</v>
      </c>
      <c r="O995" s="6">
        <v>1.1000000000000001</v>
      </c>
    </row>
    <row r="996" spans="1:15" x14ac:dyDescent="0.25">
      <c r="A996" s="8">
        <v>73300</v>
      </c>
      <c r="B996" s="9" t="s">
        <v>10</v>
      </c>
      <c r="C996" s="9" t="s">
        <v>15</v>
      </c>
      <c r="D996" s="9" t="s">
        <v>27</v>
      </c>
      <c r="E996" s="9" t="s">
        <v>8</v>
      </c>
      <c r="F996" s="9" t="str">
        <f t="shared" si="15"/>
        <v>Not Delivered</v>
      </c>
      <c r="G996" s="9" t="b">
        <v>0</v>
      </c>
      <c r="H996" s="9" t="s">
        <v>28</v>
      </c>
      <c r="I996" s="8">
        <v>5012</v>
      </c>
      <c r="J996" s="10">
        <v>1459.96</v>
      </c>
      <c r="K996" s="10">
        <v>128.35</v>
      </c>
      <c r="L996" s="10">
        <v>0</v>
      </c>
      <c r="M996" s="10">
        <v>1588.31</v>
      </c>
      <c r="N996" s="8">
        <v>4</v>
      </c>
      <c r="O996" s="6">
        <v>3.3</v>
      </c>
    </row>
    <row r="997" spans="1:15" x14ac:dyDescent="0.25">
      <c r="A997" s="8">
        <v>99783</v>
      </c>
      <c r="B997" s="9" t="s">
        <v>39</v>
      </c>
      <c r="C997" s="9" t="s">
        <v>57</v>
      </c>
      <c r="D997" s="9" t="s">
        <v>30</v>
      </c>
      <c r="E997" s="9" t="s">
        <v>17</v>
      </c>
      <c r="F997" s="9" t="str">
        <f t="shared" si="15"/>
        <v>Not Delivered</v>
      </c>
      <c r="G997" s="9" t="b">
        <v>0</v>
      </c>
      <c r="H997" s="9" t="s">
        <v>18</v>
      </c>
      <c r="I997" s="8">
        <v>7653</v>
      </c>
      <c r="J997" s="10">
        <v>1436.35</v>
      </c>
      <c r="K997" s="10">
        <v>149.22999999999999</v>
      </c>
      <c r="L997" s="10">
        <v>0</v>
      </c>
      <c r="M997" s="10">
        <v>1585.58</v>
      </c>
      <c r="N997" s="8">
        <v>9</v>
      </c>
      <c r="O997" s="6">
        <v>4.4000000000000004</v>
      </c>
    </row>
    <row r="998" spans="1:15" x14ac:dyDescent="0.25">
      <c r="A998" s="8">
        <v>48985</v>
      </c>
      <c r="B998" s="9" t="s">
        <v>39</v>
      </c>
      <c r="C998" s="9" t="s">
        <v>55</v>
      </c>
      <c r="D998" s="9" t="s">
        <v>35</v>
      </c>
      <c r="E998" s="9" t="s">
        <v>32</v>
      </c>
      <c r="F998" s="9" t="str">
        <f t="shared" si="15"/>
        <v>Not Delivered</v>
      </c>
      <c r="G998" s="9" t="b">
        <v>0</v>
      </c>
      <c r="H998" s="9" t="s">
        <v>9</v>
      </c>
      <c r="I998" s="8">
        <v>8430</v>
      </c>
      <c r="J998" s="10">
        <v>818.88</v>
      </c>
      <c r="K998" s="10">
        <v>69.5</v>
      </c>
      <c r="L998" s="10">
        <v>0</v>
      </c>
      <c r="M998" s="10">
        <v>888.38</v>
      </c>
      <c r="N998" s="8">
        <v>4</v>
      </c>
      <c r="O998" s="6">
        <v>4.2</v>
      </c>
    </row>
    <row r="999" spans="1:15" x14ac:dyDescent="0.25">
      <c r="A999" s="8">
        <v>19564</v>
      </c>
      <c r="B999" s="9" t="s">
        <v>10</v>
      </c>
      <c r="C999" s="9" t="s">
        <v>26</v>
      </c>
      <c r="D999" s="9" t="s">
        <v>30</v>
      </c>
      <c r="E999" s="9" t="s">
        <v>21</v>
      </c>
      <c r="F999" s="9" t="str">
        <f t="shared" si="15"/>
        <v>Not Delivered</v>
      </c>
      <c r="G999" s="9" t="b">
        <v>0</v>
      </c>
      <c r="H999" s="9" t="s">
        <v>4</v>
      </c>
      <c r="I999" s="8">
        <v>1981</v>
      </c>
      <c r="J999" s="10">
        <v>1416.84</v>
      </c>
      <c r="K999" s="10">
        <v>145.76</v>
      </c>
      <c r="L999" s="10">
        <v>0</v>
      </c>
      <c r="M999" s="10">
        <v>1562.6</v>
      </c>
      <c r="N999" s="8">
        <v>6</v>
      </c>
    </row>
    <row r="1000" spans="1:15" x14ac:dyDescent="0.25">
      <c r="A1000" s="8">
        <v>30719</v>
      </c>
      <c r="B1000" s="9" t="s">
        <v>10</v>
      </c>
      <c r="C1000" s="9" t="s">
        <v>20</v>
      </c>
      <c r="D1000" s="9" t="s">
        <v>2</v>
      </c>
      <c r="E1000" s="9" t="s">
        <v>13</v>
      </c>
      <c r="F1000" s="9" t="str">
        <f t="shared" si="15"/>
        <v>Delivered</v>
      </c>
      <c r="G1000" s="9" t="b">
        <v>1</v>
      </c>
      <c r="H1000" s="9" t="s">
        <v>14</v>
      </c>
      <c r="I1000" s="8">
        <v>8202</v>
      </c>
      <c r="J1000" s="10">
        <v>1249.92</v>
      </c>
      <c r="K1000" s="10">
        <v>91.89</v>
      </c>
      <c r="L1000" s="10">
        <v>88.82</v>
      </c>
      <c r="M1000" s="10">
        <v>1430.63</v>
      </c>
      <c r="N1000" s="8">
        <v>7</v>
      </c>
      <c r="O1000" s="6">
        <v>3.7</v>
      </c>
    </row>
    <row r="1001" spans="1:15" x14ac:dyDescent="0.25">
      <c r="A1001" s="8">
        <v>64476</v>
      </c>
      <c r="B1001" s="9" t="s">
        <v>10</v>
      </c>
      <c r="C1001" s="9" t="s">
        <v>11</v>
      </c>
      <c r="D1001" s="9" t="s">
        <v>27</v>
      </c>
      <c r="E1001" s="9" t="s">
        <v>32</v>
      </c>
      <c r="F1001" s="9" t="str">
        <f t="shared" si="15"/>
        <v>Not Delivered</v>
      </c>
      <c r="G1001" s="9" t="b">
        <v>0</v>
      </c>
      <c r="H1001" s="9" t="s">
        <v>28</v>
      </c>
      <c r="I1001" s="8">
        <v>8933</v>
      </c>
      <c r="J1001" s="10">
        <v>696.3</v>
      </c>
      <c r="K1001" s="10">
        <v>0</v>
      </c>
      <c r="L1001" s="10">
        <v>0</v>
      </c>
      <c r="M1001" s="10">
        <v>696.3</v>
      </c>
      <c r="N1001" s="8">
        <v>9</v>
      </c>
      <c r="O1001" s="6">
        <v>3.3</v>
      </c>
    </row>
    <row r="1002" spans="1:15" x14ac:dyDescent="0.25">
      <c r="A1002" s="8">
        <v>70875</v>
      </c>
      <c r="B1002" s="9" t="s">
        <v>39</v>
      </c>
      <c r="C1002" s="9" t="s">
        <v>57</v>
      </c>
      <c r="E1002" s="9" t="s">
        <v>3</v>
      </c>
      <c r="F1002" s="9" t="str">
        <f t="shared" si="15"/>
        <v>Not Delivered</v>
      </c>
      <c r="G1002" s="9" t="b">
        <v>0</v>
      </c>
      <c r="H1002" s="9" t="s">
        <v>4</v>
      </c>
      <c r="I1002" s="8">
        <v>4342</v>
      </c>
      <c r="J1002" s="10">
        <v>316.81</v>
      </c>
      <c r="K1002" s="10">
        <v>56.4</v>
      </c>
      <c r="L1002" s="10">
        <v>0</v>
      </c>
      <c r="M1002" s="10">
        <v>373.21</v>
      </c>
      <c r="N1002" s="8">
        <v>12</v>
      </c>
    </row>
    <row r="1003" spans="1:15" x14ac:dyDescent="0.25">
      <c r="A1003" s="8">
        <v>54589</v>
      </c>
      <c r="B1003" s="9" t="s">
        <v>0</v>
      </c>
      <c r="C1003" s="9" t="s">
        <v>53</v>
      </c>
      <c r="D1003" s="9" t="s">
        <v>30</v>
      </c>
      <c r="E1003" s="9" t="s">
        <v>32</v>
      </c>
      <c r="F1003" s="9" t="str">
        <f t="shared" si="15"/>
        <v>Not Delivered</v>
      </c>
      <c r="G1003" s="9" t="b">
        <v>0</v>
      </c>
      <c r="H1003" s="9" t="s">
        <v>22</v>
      </c>
      <c r="I1003" s="8">
        <v>3353</v>
      </c>
      <c r="J1003" s="10">
        <v>1783.39</v>
      </c>
      <c r="L1003" s="10">
        <v>0</v>
      </c>
      <c r="M1003" s="10">
        <v>1783.39</v>
      </c>
      <c r="N1003" s="8">
        <v>7</v>
      </c>
      <c r="O1003" s="6">
        <v>2.6</v>
      </c>
    </row>
    <row r="1004" spans="1:15" x14ac:dyDescent="0.25">
      <c r="A1004" s="8">
        <v>50970</v>
      </c>
      <c r="B1004" s="9" t="s">
        <v>10</v>
      </c>
      <c r="C1004" s="9" t="s">
        <v>26</v>
      </c>
      <c r="D1004" s="9" t="s">
        <v>27</v>
      </c>
      <c r="E1004" s="9" t="s">
        <v>3</v>
      </c>
      <c r="F1004" s="9" t="str">
        <f t="shared" si="15"/>
        <v>Not Delivered</v>
      </c>
      <c r="G1004" s="9" t="b">
        <v>1</v>
      </c>
      <c r="H1004" s="9" t="s">
        <v>22</v>
      </c>
      <c r="I1004" s="8">
        <v>6231</v>
      </c>
      <c r="J1004" s="10">
        <v>739.94</v>
      </c>
      <c r="K1004" s="10">
        <v>83.66</v>
      </c>
      <c r="L1004" s="10">
        <v>26.84</v>
      </c>
      <c r="M1004" s="10">
        <v>850.44</v>
      </c>
      <c r="N1004" s="8">
        <v>6</v>
      </c>
      <c r="O1004" s="6">
        <v>4.5999999999999996</v>
      </c>
    </row>
    <row r="1005" spans="1:15" x14ac:dyDescent="0.25">
      <c r="A1005" s="8">
        <v>55268</v>
      </c>
      <c r="B1005" s="9" t="s">
        <v>39</v>
      </c>
      <c r="C1005" s="9" t="s">
        <v>52</v>
      </c>
      <c r="D1005" s="9" t="s">
        <v>45</v>
      </c>
      <c r="E1005" s="9" t="s">
        <v>3</v>
      </c>
      <c r="F1005" s="9" t="str">
        <f t="shared" si="15"/>
        <v>Not Delivered</v>
      </c>
      <c r="G1005" s="9" t="b">
        <v>1</v>
      </c>
      <c r="H1005" s="9" t="s">
        <v>33</v>
      </c>
      <c r="I1005" s="8">
        <v>7532</v>
      </c>
      <c r="J1005" s="10">
        <v>1155.8800000000001</v>
      </c>
      <c r="K1005" s="10">
        <v>123.34</v>
      </c>
      <c r="L1005" s="10">
        <v>94.78</v>
      </c>
      <c r="M1005" s="10">
        <v>1374</v>
      </c>
      <c r="N1005" s="8">
        <v>10</v>
      </c>
      <c r="O1005" s="6">
        <v>3.7</v>
      </c>
    </row>
    <row r="1006" spans="1:15" x14ac:dyDescent="0.25">
      <c r="A1006" s="8">
        <v>27139</v>
      </c>
      <c r="B1006" s="9" t="s">
        <v>39</v>
      </c>
      <c r="C1006" s="9" t="s">
        <v>40</v>
      </c>
      <c r="D1006" s="9" t="s">
        <v>30</v>
      </c>
      <c r="E1006" s="9" t="s">
        <v>21</v>
      </c>
      <c r="F1006" s="9" t="str">
        <f t="shared" si="15"/>
        <v>Not Delivered</v>
      </c>
      <c r="G1006" s="9" t="b">
        <v>1</v>
      </c>
      <c r="H1006" s="9" t="s">
        <v>18</v>
      </c>
      <c r="I1006" s="8">
        <v>7070</v>
      </c>
      <c r="J1006" s="10">
        <v>802.31</v>
      </c>
      <c r="K1006" s="10">
        <v>144.47999999999999</v>
      </c>
      <c r="L1006" s="10">
        <v>64.87</v>
      </c>
      <c r="M1006" s="10">
        <v>1011.66</v>
      </c>
      <c r="N1006" s="8">
        <v>6</v>
      </c>
    </row>
    <row r="1007" spans="1:15" x14ac:dyDescent="0.25">
      <c r="A1007" s="8">
        <v>77499</v>
      </c>
      <c r="B1007" s="9" t="s">
        <v>41</v>
      </c>
      <c r="C1007" s="9" t="s">
        <v>42</v>
      </c>
      <c r="D1007" s="9" t="s">
        <v>16</v>
      </c>
      <c r="E1007" s="9" t="s">
        <v>21</v>
      </c>
      <c r="F1007" s="9" t="str">
        <f t="shared" si="15"/>
        <v>Not Delivered</v>
      </c>
      <c r="G1007" s="9" t="b">
        <v>1</v>
      </c>
      <c r="H1007" s="9" t="s">
        <v>33</v>
      </c>
      <c r="I1007" s="8">
        <v>2739</v>
      </c>
      <c r="J1007" s="10">
        <v>927.57</v>
      </c>
      <c r="K1007" s="10">
        <v>125.73</v>
      </c>
      <c r="L1007" s="10">
        <v>45.35</v>
      </c>
      <c r="M1007" s="10">
        <v>1098.6500000000001</v>
      </c>
      <c r="N1007" s="8">
        <v>12</v>
      </c>
      <c r="O1007" s="6">
        <v>3.9</v>
      </c>
    </row>
    <row r="1008" spans="1:15" x14ac:dyDescent="0.25">
      <c r="A1008" s="8">
        <v>51827</v>
      </c>
      <c r="B1008" s="9" t="s">
        <v>41</v>
      </c>
      <c r="C1008" s="9" t="s">
        <v>61</v>
      </c>
      <c r="D1008" s="9" t="s">
        <v>50</v>
      </c>
      <c r="E1008" s="9" t="s">
        <v>21</v>
      </c>
      <c r="F1008" s="9" t="str">
        <f t="shared" si="15"/>
        <v>Not Delivered</v>
      </c>
      <c r="G1008" s="9" t="b">
        <v>1</v>
      </c>
      <c r="H1008" s="9" t="s">
        <v>14</v>
      </c>
      <c r="I1008" s="8">
        <v>4960</v>
      </c>
      <c r="J1008" s="10">
        <v>518.83000000000004</v>
      </c>
      <c r="K1008" s="10">
        <v>0</v>
      </c>
      <c r="L1008" s="10">
        <v>127.38</v>
      </c>
      <c r="M1008" s="10">
        <v>646.21</v>
      </c>
      <c r="N1008" s="8">
        <v>8</v>
      </c>
      <c r="O1008" s="6">
        <v>1.7</v>
      </c>
    </row>
    <row r="1009" spans="1:15" x14ac:dyDescent="0.25">
      <c r="A1009" s="8">
        <v>71141</v>
      </c>
      <c r="B1009" s="9" t="s">
        <v>5</v>
      </c>
      <c r="C1009" s="9" t="s">
        <v>36</v>
      </c>
      <c r="D1009" s="9" t="s">
        <v>19</v>
      </c>
      <c r="E1009" s="9" t="s">
        <v>17</v>
      </c>
      <c r="F1009" s="9" t="str">
        <f t="shared" si="15"/>
        <v>Not Delivered</v>
      </c>
      <c r="G1009" s="9" t="b">
        <v>1</v>
      </c>
      <c r="H1009" s="9" t="s">
        <v>9</v>
      </c>
      <c r="I1009" s="8">
        <v>3007</v>
      </c>
      <c r="J1009" s="10">
        <v>1732.8</v>
      </c>
      <c r="K1009" s="10">
        <v>0</v>
      </c>
      <c r="L1009" s="10">
        <v>51.37</v>
      </c>
      <c r="M1009" s="10">
        <v>1784.17</v>
      </c>
      <c r="N1009" s="8">
        <v>1</v>
      </c>
      <c r="O1009" s="6">
        <v>3.2</v>
      </c>
    </row>
    <row r="1010" spans="1:15" x14ac:dyDescent="0.25">
      <c r="A1010" s="8">
        <v>45058</v>
      </c>
      <c r="B1010" s="9" t="s">
        <v>5</v>
      </c>
      <c r="C1010" s="9" t="s">
        <v>56</v>
      </c>
      <c r="D1010" s="9" t="s">
        <v>45</v>
      </c>
      <c r="E1010" s="9" t="s">
        <v>13</v>
      </c>
      <c r="F1010" s="9" t="str">
        <f t="shared" si="15"/>
        <v>Delivered</v>
      </c>
      <c r="G1010" s="9" t="b">
        <v>0</v>
      </c>
      <c r="H1010" s="9" t="s">
        <v>4</v>
      </c>
      <c r="I1010" s="8">
        <v>8366</v>
      </c>
      <c r="J1010" s="10">
        <v>667.22</v>
      </c>
      <c r="K1010" s="10">
        <v>107.12</v>
      </c>
      <c r="L1010" s="10">
        <v>0</v>
      </c>
      <c r="M1010" s="10">
        <v>774.34</v>
      </c>
      <c r="N1010" s="8">
        <v>9</v>
      </c>
    </row>
    <row r="1011" spans="1:15" x14ac:dyDescent="0.25">
      <c r="A1011" s="8">
        <v>42495</v>
      </c>
      <c r="B1011" s="9" t="s">
        <v>0</v>
      </c>
      <c r="C1011" s="9" t="s">
        <v>1</v>
      </c>
      <c r="D1011" s="9" t="s">
        <v>38</v>
      </c>
      <c r="E1011" s="9" t="s">
        <v>32</v>
      </c>
      <c r="F1011" s="9" t="str">
        <f t="shared" si="15"/>
        <v>Not Delivered</v>
      </c>
      <c r="G1011" s="9" t="b">
        <v>1</v>
      </c>
      <c r="H1011" s="9" t="s">
        <v>22</v>
      </c>
      <c r="I1011" s="8">
        <v>3308</v>
      </c>
      <c r="J1011" s="10">
        <v>883.27</v>
      </c>
      <c r="K1011" s="10">
        <v>76.31</v>
      </c>
      <c r="L1011" s="10">
        <v>173.16</v>
      </c>
      <c r="M1011" s="10">
        <v>1132.74</v>
      </c>
      <c r="N1011" s="8">
        <v>2</v>
      </c>
      <c r="O1011" s="6">
        <v>4.2</v>
      </c>
    </row>
    <row r="1012" spans="1:15" x14ac:dyDescent="0.25">
      <c r="A1012" s="8">
        <v>22689</v>
      </c>
      <c r="B1012" s="9" t="s">
        <v>5</v>
      </c>
      <c r="C1012" s="9" t="s">
        <v>56</v>
      </c>
      <c r="D1012" s="9" t="s">
        <v>30</v>
      </c>
      <c r="E1012" s="9" t="s">
        <v>13</v>
      </c>
      <c r="F1012" s="9" t="str">
        <f t="shared" si="15"/>
        <v>Delivered</v>
      </c>
      <c r="G1012" s="9" t="b">
        <v>1</v>
      </c>
      <c r="H1012" s="9" t="s">
        <v>28</v>
      </c>
      <c r="I1012" s="8">
        <v>1829</v>
      </c>
      <c r="J1012" s="10">
        <v>560.47</v>
      </c>
      <c r="K1012" s="10">
        <v>95.35</v>
      </c>
      <c r="L1012" s="10">
        <v>189.23</v>
      </c>
      <c r="M1012" s="10">
        <v>845.05</v>
      </c>
      <c r="N1012" s="8">
        <v>1</v>
      </c>
      <c r="O1012" s="6">
        <v>4.7</v>
      </c>
    </row>
    <row r="1013" spans="1:15" x14ac:dyDescent="0.25">
      <c r="A1013" s="8">
        <v>48038</v>
      </c>
      <c r="B1013" s="9" t="s">
        <v>41</v>
      </c>
      <c r="C1013" s="9" t="s">
        <v>47</v>
      </c>
      <c r="D1013" s="9" t="s">
        <v>50</v>
      </c>
      <c r="E1013" s="9" t="s">
        <v>3</v>
      </c>
      <c r="F1013" s="9" t="str">
        <f t="shared" si="15"/>
        <v>Not Delivered</v>
      </c>
      <c r="G1013" s="9" t="b">
        <v>0</v>
      </c>
      <c r="H1013" s="9" t="s">
        <v>28</v>
      </c>
      <c r="I1013" s="8">
        <v>7293</v>
      </c>
      <c r="J1013" s="10">
        <v>2388.1999999999998</v>
      </c>
      <c r="K1013" s="10">
        <v>74.59</v>
      </c>
      <c r="L1013" s="10">
        <v>0</v>
      </c>
      <c r="M1013" s="10">
        <v>2462.79</v>
      </c>
      <c r="N1013" s="8">
        <v>14</v>
      </c>
      <c r="O1013" s="6">
        <v>3.7</v>
      </c>
    </row>
    <row r="1014" spans="1:15" x14ac:dyDescent="0.25">
      <c r="A1014" s="8">
        <v>90658</v>
      </c>
      <c r="B1014" s="9" t="s">
        <v>39</v>
      </c>
      <c r="C1014" s="9" t="s">
        <v>40</v>
      </c>
      <c r="D1014" s="9" t="s">
        <v>16</v>
      </c>
      <c r="E1014" s="9" t="s">
        <v>17</v>
      </c>
      <c r="F1014" s="9" t="str">
        <f t="shared" si="15"/>
        <v>Not Delivered</v>
      </c>
      <c r="G1014" s="9" t="b">
        <v>1</v>
      </c>
      <c r="H1014" s="9" t="s">
        <v>9</v>
      </c>
      <c r="I1014" s="8">
        <v>7850</v>
      </c>
      <c r="J1014" s="10">
        <v>1121.6600000000001</v>
      </c>
      <c r="K1014" s="10">
        <v>0</v>
      </c>
      <c r="L1014" s="10">
        <v>48.77</v>
      </c>
      <c r="M1014" s="10">
        <v>1170.43</v>
      </c>
      <c r="N1014" s="8">
        <v>14</v>
      </c>
      <c r="O1014" s="6">
        <v>1.9</v>
      </c>
    </row>
    <row r="1015" spans="1:15" x14ac:dyDescent="0.25">
      <c r="A1015" s="8">
        <v>42541</v>
      </c>
      <c r="B1015" s="9" t="s">
        <v>41</v>
      </c>
      <c r="C1015" s="9" t="s">
        <v>46</v>
      </c>
      <c r="D1015" s="9" t="s">
        <v>27</v>
      </c>
      <c r="E1015" s="9" t="s">
        <v>13</v>
      </c>
      <c r="F1015" s="9" t="str">
        <f t="shared" si="15"/>
        <v>Delivered</v>
      </c>
      <c r="G1015" s="9" t="b">
        <v>0</v>
      </c>
      <c r="H1015" s="9" t="s">
        <v>9</v>
      </c>
      <c r="I1015" s="8">
        <v>3616</v>
      </c>
      <c r="J1015" s="10">
        <v>1861.98</v>
      </c>
      <c r="K1015" s="10">
        <v>0</v>
      </c>
      <c r="L1015" s="10">
        <v>0</v>
      </c>
      <c r="M1015" s="10">
        <v>1861.98</v>
      </c>
      <c r="N1015" s="8">
        <v>10</v>
      </c>
      <c r="O1015" s="6">
        <v>3.3</v>
      </c>
    </row>
    <row r="1016" spans="1:15" x14ac:dyDescent="0.25">
      <c r="A1016" s="8">
        <v>52917</v>
      </c>
      <c r="B1016" s="9" t="s">
        <v>41</v>
      </c>
      <c r="C1016" s="9" t="s">
        <v>46</v>
      </c>
      <c r="D1016" s="9" t="s">
        <v>35</v>
      </c>
      <c r="E1016" s="9" t="s">
        <v>21</v>
      </c>
      <c r="F1016" s="9" t="str">
        <f t="shared" si="15"/>
        <v>Not Delivered</v>
      </c>
      <c r="G1016" s="9" t="b">
        <v>0</v>
      </c>
      <c r="H1016" s="9" t="s">
        <v>9</v>
      </c>
      <c r="I1016" s="8">
        <v>6123</v>
      </c>
      <c r="J1016" s="10">
        <v>2231.36</v>
      </c>
      <c r="K1016" s="10">
        <v>137.5</v>
      </c>
      <c r="L1016" s="10">
        <v>0</v>
      </c>
      <c r="M1016" s="10">
        <v>2368.86</v>
      </c>
      <c r="N1016" s="8">
        <v>8</v>
      </c>
      <c r="O1016" s="6">
        <v>2.6</v>
      </c>
    </row>
    <row r="1017" spans="1:15" x14ac:dyDescent="0.25">
      <c r="A1017" s="8">
        <v>34881</v>
      </c>
      <c r="B1017" s="9" t="s">
        <v>10</v>
      </c>
      <c r="C1017" s="9" t="s">
        <v>26</v>
      </c>
      <c r="D1017" s="9" t="s">
        <v>27</v>
      </c>
      <c r="E1017" s="9" t="s">
        <v>3</v>
      </c>
      <c r="F1017" s="9" t="str">
        <f t="shared" si="15"/>
        <v>Not Delivered</v>
      </c>
      <c r="G1017" s="9" t="b">
        <v>0</v>
      </c>
      <c r="H1017" s="9" t="s">
        <v>4</v>
      </c>
      <c r="I1017" s="8">
        <v>3610</v>
      </c>
      <c r="J1017" s="10">
        <v>515.97</v>
      </c>
      <c r="K1017" s="10">
        <v>139.68</v>
      </c>
      <c r="L1017" s="10">
        <v>0</v>
      </c>
      <c r="M1017" s="10">
        <v>655.65</v>
      </c>
      <c r="N1017" s="8">
        <v>7</v>
      </c>
      <c r="O1017" s="6">
        <v>2.2999999999999998</v>
      </c>
    </row>
    <row r="1018" spans="1:15" x14ac:dyDescent="0.25">
      <c r="A1018" s="8">
        <v>75308</v>
      </c>
      <c r="B1018" s="9" t="s">
        <v>23</v>
      </c>
      <c r="C1018" s="9" t="s">
        <v>54</v>
      </c>
      <c r="D1018" s="9" t="s">
        <v>45</v>
      </c>
      <c r="E1018" s="9" t="s">
        <v>3</v>
      </c>
      <c r="F1018" s="9" t="str">
        <f t="shared" si="15"/>
        <v>Not Delivered</v>
      </c>
      <c r="G1018" s="9" t="b">
        <v>0</v>
      </c>
      <c r="H1018" s="9" t="s">
        <v>18</v>
      </c>
      <c r="I1018" s="8">
        <v>9433</v>
      </c>
      <c r="J1018" s="10">
        <v>2875.5</v>
      </c>
      <c r="K1018" s="10">
        <v>84.76</v>
      </c>
      <c r="L1018" s="10">
        <v>0</v>
      </c>
      <c r="M1018" s="10">
        <v>2960.26</v>
      </c>
      <c r="N1018" s="8">
        <v>12</v>
      </c>
    </row>
    <row r="1019" spans="1:15" x14ac:dyDescent="0.25">
      <c r="A1019" s="8">
        <v>71186</v>
      </c>
      <c r="B1019" s="9" t="s">
        <v>39</v>
      </c>
      <c r="C1019" s="9" t="s">
        <v>40</v>
      </c>
      <c r="D1019" s="9" t="s">
        <v>16</v>
      </c>
      <c r="E1019" s="9" t="s">
        <v>3</v>
      </c>
      <c r="F1019" s="9" t="str">
        <f t="shared" si="15"/>
        <v>Not Delivered</v>
      </c>
      <c r="G1019" s="9" t="b">
        <v>1</v>
      </c>
      <c r="H1019" s="9" t="s">
        <v>14</v>
      </c>
      <c r="I1019" s="8">
        <v>9171</v>
      </c>
      <c r="J1019" s="10">
        <v>121.13</v>
      </c>
      <c r="K1019" s="10">
        <v>45.09</v>
      </c>
      <c r="L1019" s="10">
        <v>159.12</v>
      </c>
      <c r="M1019" s="10">
        <v>325.33999999999997</v>
      </c>
      <c r="N1019" s="8">
        <v>13</v>
      </c>
      <c r="O1019" s="6">
        <v>3.7</v>
      </c>
    </row>
    <row r="1020" spans="1:15" x14ac:dyDescent="0.25">
      <c r="A1020" s="8">
        <v>50441</v>
      </c>
      <c r="B1020" s="9" t="s">
        <v>39</v>
      </c>
      <c r="C1020" s="9" t="s">
        <v>58</v>
      </c>
      <c r="D1020" s="9" t="s">
        <v>2</v>
      </c>
      <c r="E1020" s="9" t="s">
        <v>32</v>
      </c>
      <c r="F1020" s="9" t="str">
        <f t="shared" si="15"/>
        <v>Not Delivered</v>
      </c>
      <c r="G1020" s="9" t="b">
        <v>1</v>
      </c>
      <c r="H1020" s="9" t="s">
        <v>18</v>
      </c>
      <c r="I1020" s="8">
        <v>9148</v>
      </c>
      <c r="J1020" s="10">
        <v>646.12</v>
      </c>
      <c r="K1020" s="10">
        <v>76.83</v>
      </c>
      <c r="L1020" s="10">
        <v>163.63</v>
      </c>
      <c r="M1020" s="10">
        <v>886.58</v>
      </c>
      <c r="N1020" s="8">
        <v>1</v>
      </c>
      <c r="O1020" s="6">
        <v>2.6</v>
      </c>
    </row>
    <row r="1021" spans="1:15" x14ac:dyDescent="0.25">
      <c r="A1021" s="8">
        <v>13037</v>
      </c>
      <c r="B1021" s="9" t="s">
        <v>23</v>
      </c>
      <c r="C1021" s="9" t="s">
        <v>48</v>
      </c>
      <c r="D1021" s="9" t="s">
        <v>38</v>
      </c>
      <c r="E1021" s="9" t="s">
        <v>17</v>
      </c>
      <c r="F1021" s="9" t="str">
        <f t="shared" si="15"/>
        <v>Not Delivered</v>
      </c>
      <c r="G1021" s="9" t="b">
        <v>0</v>
      </c>
      <c r="H1021" s="9" t="s">
        <v>14</v>
      </c>
      <c r="I1021" s="8">
        <v>2475</v>
      </c>
      <c r="J1021" s="10">
        <v>464.4</v>
      </c>
      <c r="K1021" s="10">
        <v>97.62</v>
      </c>
      <c r="L1021" s="10">
        <v>0</v>
      </c>
      <c r="M1021" s="10">
        <v>562.02</v>
      </c>
      <c r="N1021" s="8">
        <v>3</v>
      </c>
      <c r="O1021" s="6">
        <v>1.1000000000000001</v>
      </c>
    </row>
    <row r="1022" spans="1:15" x14ac:dyDescent="0.25">
      <c r="A1022" s="8">
        <v>61543</v>
      </c>
      <c r="B1022" s="9" t="s">
        <v>39</v>
      </c>
      <c r="C1022" s="9" t="s">
        <v>57</v>
      </c>
      <c r="D1022" s="9" t="s">
        <v>30</v>
      </c>
      <c r="E1022" s="9" t="s">
        <v>3</v>
      </c>
      <c r="F1022" s="9" t="str">
        <f t="shared" si="15"/>
        <v>Not Delivered</v>
      </c>
      <c r="G1022" s="9" t="b">
        <v>1</v>
      </c>
      <c r="H1022" s="9" t="s">
        <v>14</v>
      </c>
      <c r="I1022" s="8">
        <v>9281</v>
      </c>
      <c r="J1022" s="10">
        <v>1188.22</v>
      </c>
      <c r="K1022" s="10">
        <v>85.27</v>
      </c>
      <c r="L1022" s="10">
        <v>37.97</v>
      </c>
      <c r="M1022" s="10">
        <v>1311.46</v>
      </c>
      <c r="N1022" s="8">
        <v>6</v>
      </c>
      <c r="O1022" s="6">
        <v>4.9000000000000004</v>
      </c>
    </row>
    <row r="1023" spans="1:15" x14ac:dyDescent="0.25">
      <c r="A1023" s="8">
        <v>69930</v>
      </c>
      <c r="B1023" s="9" t="s">
        <v>0</v>
      </c>
      <c r="C1023" s="9" t="s">
        <v>53</v>
      </c>
      <c r="D1023" s="9" t="s">
        <v>19</v>
      </c>
      <c r="E1023" s="9" t="s">
        <v>17</v>
      </c>
      <c r="F1023" s="9" t="str">
        <f t="shared" si="15"/>
        <v>Not Delivered</v>
      </c>
      <c r="G1023" s="9" t="b">
        <v>0</v>
      </c>
      <c r="H1023" s="9" t="s">
        <v>4</v>
      </c>
      <c r="I1023" s="8">
        <v>4944</v>
      </c>
      <c r="J1023" s="10">
        <v>628.80999999999995</v>
      </c>
      <c r="K1023" s="10">
        <v>0</v>
      </c>
      <c r="L1023" s="10">
        <v>0</v>
      </c>
      <c r="M1023" s="10">
        <v>628.80999999999995</v>
      </c>
      <c r="N1023" s="8">
        <v>6</v>
      </c>
      <c r="O1023" s="6">
        <v>3.2</v>
      </c>
    </row>
    <row r="1024" spans="1:15" x14ac:dyDescent="0.25">
      <c r="A1024" s="8">
        <v>38199</v>
      </c>
      <c r="B1024" s="9" t="s">
        <v>5</v>
      </c>
      <c r="C1024" s="9" t="s">
        <v>59</v>
      </c>
      <c r="D1024" s="9" t="s">
        <v>19</v>
      </c>
      <c r="E1024" s="9" t="s">
        <v>8</v>
      </c>
      <c r="F1024" s="9" t="str">
        <f t="shared" si="15"/>
        <v>Not Delivered</v>
      </c>
      <c r="G1024" s="9" t="b">
        <v>0</v>
      </c>
      <c r="H1024" s="9" t="s">
        <v>14</v>
      </c>
      <c r="I1024" s="8">
        <v>6781</v>
      </c>
      <c r="J1024" s="10">
        <v>435.8</v>
      </c>
      <c r="K1024" s="10">
        <v>54.85</v>
      </c>
      <c r="L1024" s="10">
        <v>0</v>
      </c>
      <c r="M1024" s="10">
        <v>490.65</v>
      </c>
      <c r="N1024" s="8">
        <v>1</v>
      </c>
      <c r="O1024" s="6">
        <v>2.2000000000000002</v>
      </c>
    </row>
    <row r="1025" spans="1:15" x14ac:dyDescent="0.25">
      <c r="A1025" s="8">
        <v>16377</v>
      </c>
      <c r="B1025" s="9" t="s">
        <v>0</v>
      </c>
      <c r="C1025" s="9" t="s">
        <v>53</v>
      </c>
      <c r="D1025" s="9" t="s">
        <v>50</v>
      </c>
      <c r="E1025" s="9" t="s">
        <v>17</v>
      </c>
      <c r="F1025" s="9" t="str">
        <f t="shared" si="15"/>
        <v>Not Delivered</v>
      </c>
      <c r="G1025" s="9" t="b">
        <v>0</v>
      </c>
      <c r="H1025" s="9" t="s">
        <v>4</v>
      </c>
      <c r="I1025" s="8">
        <v>1828</v>
      </c>
      <c r="J1025" s="10">
        <v>205.73</v>
      </c>
      <c r="K1025" s="10">
        <v>81.239999999999995</v>
      </c>
      <c r="L1025" s="10">
        <v>0</v>
      </c>
      <c r="M1025" s="10">
        <v>286.97000000000003</v>
      </c>
      <c r="N1025" s="8">
        <v>11</v>
      </c>
      <c r="O1025" s="6">
        <v>4.3</v>
      </c>
    </row>
    <row r="1026" spans="1:15" x14ac:dyDescent="0.25">
      <c r="A1026" s="8">
        <v>46877</v>
      </c>
      <c r="B1026" s="9" t="s">
        <v>5</v>
      </c>
      <c r="C1026" s="9" t="s">
        <v>59</v>
      </c>
      <c r="D1026" s="9" t="s">
        <v>2</v>
      </c>
      <c r="E1026" s="9" t="s">
        <v>13</v>
      </c>
      <c r="F1026" s="9" t="str">
        <f t="shared" si="15"/>
        <v>Delivered</v>
      </c>
      <c r="G1026" s="9" t="b">
        <v>1</v>
      </c>
      <c r="H1026" s="9" t="s">
        <v>14</v>
      </c>
      <c r="I1026" s="8">
        <v>9108</v>
      </c>
      <c r="J1026" s="10">
        <v>1860.86</v>
      </c>
      <c r="K1026" s="10">
        <v>91.54</v>
      </c>
      <c r="L1026" s="10">
        <v>54.78</v>
      </c>
      <c r="M1026" s="10">
        <v>2007.18</v>
      </c>
      <c r="N1026" s="8">
        <v>10</v>
      </c>
      <c r="O1026" s="6">
        <v>1.8</v>
      </c>
    </row>
    <row r="1027" spans="1:15" x14ac:dyDescent="0.25">
      <c r="A1027" s="8">
        <v>88317</v>
      </c>
      <c r="B1027" s="9" t="s">
        <v>10</v>
      </c>
      <c r="C1027" s="9" t="s">
        <v>20</v>
      </c>
      <c r="D1027" s="9" t="s">
        <v>27</v>
      </c>
      <c r="E1027" s="9" t="s">
        <v>21</v>
      </c>
      <c r="F1027" s="9" t="str">
        <f t="shared" ref="F1027:F1090" si="16">IF(OR(
E1027="Failed Delivery",
E1027="Cancelled",
E1027="Pending",
E1027="Rescheduled",
E1027="In Transit"
),"Not Delivered","Delivered")</f>
        <v>Not Delivered</v>
      </c>
      <c r="G1027" s="9" t="b">
        <v>0</v>
      </c>
      <c r="H1027" s="9" t="s">
        <v>9</v>
      </c>
      <c r="I1027" s="8">
        <v>8710</v>
      </c>
      <c r="J1027" s="10">
        <v>1073.48</v>
      </c>
      <c r="K1027" s="10">
        <v>0</v>
      </c>
      <c r="L1027" s="10">
        <v>0</v>
      </c>
      <c r="M1027" s="10">
        <v>1073.48</v>
      </c>
      <c r="N1027" s="8">
        <v>8</v>
      </c>
      <c r="O1027" s="6">
        <v>2.1</v>
      </c>
    </row>
    <row r="1028" spans="1:15" x14ac:dyDescent="0.25">
      <c r="A1028" s="8">
        <v>47453</v>
      </c>
      <c r="B1028" s="9" t="s">
        <v>39</v>
      </c>
      <c r="C1028" s="9" t="s">
        <v>52</v>
      </c>
      <c r="D1028" s="9" t="s">
        <v>38</v>
      </c>
      <c r="E1028" s="9" t="s">
        <v>21</v>
      </c>
      <c r="F1028" s="9" t="str">
        <f t="shared" si="16"/>
        <v>Not Delivered</v>
      </c>
      <c r="G1028" s="9" t="b">
        <v>0</v>
      </c>
      <c r="H1028" s="9" t="s">
        <v>18</v>
      </c>
      <c r="I1028" s="8">
        <v>9793</v>
      </c>
      <c r="J1028" s="10">
        <v>689.94</v>
      </c>
      <c r="K1028" s="10">
        <v>0</v>
      </c>
      <c r="L1028" s="10">
        <v>0</v>
      </c>
      <c r="M1028" s="10">
        <v>689.94</v>
      </c>
      <c r="N1028" s="8">
        <v>9</v>
      </c>
      <c r="O1028" s="6">
        <v>2.1</v>
      </c>
    </row>
    <row r="1029" spans="1:15" x14ac:dyDescent="0.25">
      <c r="A1029" s="8">
        <v>11071</v>
      </c>
      <c r="B1029" s="9" t="s">
        <v>23</v>
      </c>
      <c r="C1029" s="9" t="s">
        <v>54</v>
      </c>
      <c r="E1029" s="9" t="s">
        <v>32</v>
      </c>
      <c r="F1029" s="9" t="str">
        <f t="shared" si="16"/>
        <v>Not Delivered</v>
      </c>
      <c r="G1029" s="9" t="b">
        <v>0</v>
      </c>
      <c r="H1029" s="9" t="s">
        <v>18</v>
      </c>
      <c r="I1029" s="8">
        <v>2761</v>
      </c>
      <c r="J1029" s="10">
        <v>199.06</v>
      </c>
      <c r="K1029" s="10">
        <v>62.28</v>
      </c>
      <c r="L1029" s="10">
        <v>0</v>
      </c>
      <c r="M1029" s="10">
        <v>261.33999999999997</v>
      </c>
      <c r="N1029" s="8">
        <v>6</v>
      </c>
      <c r="O1029" s="6">
        <v>3.9</v>
      </c>
    </row>
    <row r="1030" spans="1:15" x14ac:dyDescent="0.25">
      <c r="A1030" s="8">
        <v>66482</v>
      </c>
      <c r="B1030" s="9" t="s">
        <v>5</v>
      </c>
      <c r="C1030" s="9" t="s">
        <v>44</v>
      </c>
      <c r="D1030" s="9" t="s">
        <v>30</v>
      </c>
      <c r="E1030" s="9" t="s">
        <v>32</v>
      </c>
      <c r="F1030" s="9" t="str">
        <f t="shared" si="16"/>
        <v>Not Delivered</v>
      </c>
      <c r="G1030" s="9" t="b">
        <v>1</v>
      </c>
      <c r="H1030" s="9" t="s">
        <v>28</v>
      </c>
      <c r="I1030" s="8">
        <v>3194</v>
      </c>
      <c r="J1030" s="10">
        <v>1973.77</v>
      </c>
      <c r="K1030" s="10">
        <v>97.68</v>
      </c>
      <c r="L1030" s="10">
        <v>133.24</v>
      </c>
      <c r="M1030" s="10">
        <v>2204.69</v>
      </c>
      <c r="N1030" s="8">
        <v>13</v>
      </c>
      <c r="O1030" s="6">
        <v>1.3</v>
      </c>
    </row>
    <row r="1031" spans="1:15" x14ac:dyDescent="0.25">
      <c r="A1031" s="8">
        <v>44664</v>
      </c>
      <c r="B1031" s="9" t="s">
        <v>39</v>
      </c>
      <c r="C1031" s="9" t="s">
        <v>55</v>
      </c>
      <c r="D1031" s="9" t="s">
        <v>19</v>
      </c>
      <c r="E1031" s="9" t="s">
        <v>17</v>
      </c>
      <c r="F1031" s="9" t="str">
        <f t="shared" si="16"/>
        <v>Not Delivered</v>
      </c>
      <c r="G1031" s="9" t="b">
        <v>0</v>
      </c>
      <c r="H1031" s="9" t="s">
        <v>14</v>
      </c>
      <c r="I1031" s="8">
        <v>6992</v>
      </c>
      <c r="J1031" s="10">
        <v>434.96</v>
      </c>
      <c r="K1031" s="10">
        <v>35.6</v>
      </c>
      <c r="L1031" s="10">
        <v>0</v>
      </c>
      <c r="M1031" s="10">
        <v>470.56</v>
      </c>
      <c r="N1031" s="8">
        <v>9</v>
      </c>
      <c r="O1031" s="6">
        <v>3.3</v>
      </c>
    </row>
    <row r="1032" spans="1:15" x14ac:dyDescent="0.25">
      <c r="A1032" s="8">
        <v>62855</v>
      </c>
      <c r="B1032" s="9" t="s">
        <v>39</v>
      </c>
      <c r="C1032" s="9" t="s">
        <v>52</v>
      </c>
      <c r="D1032" s="9" t="s">
        <v>38</v>
      </c>
      <c r="E1032" s="9" t="s">
        <v>32</v>
      </c>
      <c r="F1032" s="9" t="str">
        <f t="shared" si="16"/>
        <v>Not Delivered</v>
      </c>
      <c r="G1032" s="9" t="b">
        <v>1</v>
      </c>
      <c r="H1032" s="9" t="s">
        <v>14</v>
      </c>
      <c r="I1032" s="8">
        <v>6995</v>
      </c>
      <c r="J1032" s="10">
        <v>664.84</v>
      </c>
      <c r="K1032" s="10">
        <v>133.43</v>
      </c>
      <c r="L1032" s="10">
        <v>168.9</v>
      </c>
      <c r="M1032" s="10">
        <v>967.17</v>
      </c>
      <c r="N1032" s="8">
        <v>10</v>
      </c>
      <c r="O1032" s="6">
        <v>1</v>
      </c>
    </row>
    <row r="1033" spans="1:15" x14ac:dyDescent="0.25">
      <c r="A1033" s="8">
        <v>15930</v>
      </c>
      <c r="B1033" s="9" t="s">
        <v>41</v>
      </c>
      <c r="C1033" s="9" t="s">
        <v>42</v>
      </c>
      <c r="D1033" s="9" t="s">
        <v>38</v>
      </c>
      <c r="E1033" s="9" t="s">
        <v>8</v>
      </c>
      <c r="F1033" s="9" t="str">
        <f t="shared" si="16"/>
        <v>Not Delivered</v>
      </c>
      <c r="G1033" s="9" t="b">
        <v>0</v>
      </c>
      <c r="H1033" s="9" t="s">
        <v>4</v>
      </c>
      <c r="I1033" s="8">
        <v>7563</v>
      </c>
      <c r="J1033" s="10">
        <v>1500.3</v>
      </c>
      <c r="K1033" s="10">
        <v>115.2</v>
      </c>
      <c r="L1033" s="10">
        <v>0</v>
      </c>
      <c r="M1033" s="10">
        <v>1615.5</v>
      </c>
      <c r="N1033" s="8">
        <v>8</v>
      </c>
      <c r="O1033" s="6">
        <v>3.1</v>
      </c>
    </row>
    <row r="1034" spans="1:15" x14ac:dyDescent="0.25">
      <c r="A1034" s="8">
        <v>16705</v>
      </c>
      <c r="B1034" s="9" t="s">
        <v>5</v>
      </c>
      <c r="C1034" s="9" t="s">
        <v>44</v>
      </c>
      <c r="D1034" s="9" t="s">
        <v>16</v>
      </c>
      <c r="E1034" s="9" t="s">
        <v>3</v>
      </c>
      <c r="F1034" s="9" t="str">
        <f t="shared" si="16"/>
        <v>Not Delivered</v>
      </c>
      <c r="G1034" s="9" t="b">
        <v>1</v>
      </c>
      <c r="H1034" s="9" t="s">
        <v>28</v>
      </c>
      <c r="I1034" s="8">
        <v>4189</v>
      </c>
      <c r="J1034" s="10">
        <v>1808.29</v>
      </c>
      <c r="K1034" s="10">
        <v>125.69</v>
      </c>
      <c r="L1034" s="10">
        <v>29.15</v>
      </c>
      <c r="M1034" s="10">
        <v>1963.13</v>
      </c>
      <c r="N1034" s="8">
        <v>8</v>
      </c>
      <c r="O1034" s="6">
        <v>1.5</v>
      </c>
    </row>
    <row r="1035" spans="1:15" x14ac:dyDescent="0.25">
      <c r="A1035" s="8">
        <v>57516</v>
      </c>
      <c r="B1035" s="9" t="s">
        <v>0</v>
      </c>
      <c r="C1035" s="9" t="s">
        <v>43</v>
      </c>
      <c r="D1035" s="9" t="s">
        <v>50</v>
      </c>
      <c r="E1035" s="9" t="s">
        <v>8</v>
      </c>
      <c r="F1035" s="9" t="str">
        <f t="shared" si="16"/>
        <v>Not Delivered</v>
      </c>
      <c r="G1035" s="9" t="b">
        <v>0</v>
      </c>
      <c r="H1035" s="9" t="s">
        <v>22</v>
      </c>
      <c r="I1035" s="8">
        <v>5728</v>
      </c>
      <c r="J1035" s="10">
        <v>953.87</v>
      </c>
      <c r="K1035" s="10">
        <v>104.71</v>
      </c>
      <c r="M1035" s="10">
        <v>1058.58</v>
      </c>
      <c r="N1035" s="8">
        <v>1</v>
      </c>
      <c r="O1035" s="6">
        <v>2.7</v>
      </c>
    </row>
    <row r="1036" spans="1:15" x14ac:dyDescent="0.25">
      <c r="A1036" s="8">
        <v>19637</v>
      </c>
      <c r="B1036" s="9" t="s">
        <v>10</v>
      </c>
      <c r="C1036" s="9" t="s">
        <v>15</v>
      </c>
      <c r="D1036" s="9" t="s">
        <v>38</v>
      </c>
      <c r="E1036" s="9" t="s">
        <v>13</v>
      </c>
      <c r="F1036" s="9" t="str">
        <f t="shared" si="16"/>
        <v>Delivered</v>
      </c>
      <c r="G1036" s="9" t="b">
        <v>1</v>
      </c>
      <c r="H1036" s="9" t="s">
        <v>18</v>
      </c>
      <c r="I1036" s="8">
        <v>7329</v>
      </c>
      <c r="J1036" s="10">
        <v>712.53</v>
      </c>
      <c r="K1036" s="10">
        <v>106.38</v>
      </c>
      <c r="L1036" s="10">
        <v>64.510000000000005</v>
      </c>
      <c r="M1036" s="10">
        <v>883.42</v>
      </c>
      <c r="N1036" s="8">
        <v>11</v>
      </c>
      <c r="O1036" s="6">
        <v>3.5</v>
      </c>
    </row>
    <row r="1037" spans="1:15" x14ac:dyDescent="0.25">
      <c r="A1037" s="8">
        <v>76093</v>
      </c>
      <c r="B1037" s="9" t="s">
        <v>41</v>
      </c>
      <c r="C1037" s="9" t="s">
        <v>61</v>
      </c>
      <c r="D1037" s="9" t="s">
        <v>7</v>
      </c>
      <c r="E1037" s="9" t="s">
        <v>32</v>
      </c>
      <c r="F1037" s="9" t="str">
        <f t="shared" si="16"/>
        <v>Not Delivered</v>
      </c>
      <c r="G1037" s="9" t="b">
        <v>0</v>
      </c>
      <c r="H1037" s="9" t="s">
        <v>18</v>
      </c>
      <c r="I1037" s="8">
        <v>8378</v>
      </c>
      <c r="J1037" s="10">
        <v>1338.64</v>
      </c>
      <c r="K1037" s="10">
        <v>0</v>
      </c>
      <c r="L1037" s="10">
        <v>0</v>
      </c>
      <c r="M1037" s="10">
        <v>1338.64</v>
      </c>
      <c r="N1037" s="8">
        <v>12</v>
      </c>
      <c r="O1037" s="6">
        <v>4.4000000000000004</v>
      </c>
    </row>
    <row r="1038" spans="1:15" x14ac:dyDescent="0.25">
      <c r="A1038" s="8">
        <v>82070</v>
      </c>
      <c r="B1038" s="9" t="s">
        <v>0</v>
      </c>
      <c r="C1038" s="9" t="s">
        <v>37</v>
      </c>
      <c r="D1038" s="9" t="s">
        <v>38</v>
      </c>
      <c r="E1038" s="9" t="s">
        <v>17</v>
      </c>
      <c r="F1038" s="9" t="str">
        <f t="shared" si="16"/>
        <v>Not Delivered</v>
      </c>
      <c r="G1038" s="9" t="b">
        <v>1</v>
      </c>
      <c r="H1038" s="9" t="s">
        <v>18</v>
      </c>
      <c r="I1038" s="8">
        <v>5582</v>
      </c>
      <c r="J1038" s="10">
        <v>166.2</v>
      </c>
      <c r="K1038" s="10">
        <v>56.22</v>
      </c>
      <c r="L1038" s="10">
        <v>160.06</v>
      </c>
      <c r="M1038" s="10">
        <v>382.48</v>
      </c>
      <c r="N1038" s="8">
        <v>1</v>
      </c>
      <c r="O1038" s="6">
        <v>1.8</v>
      </c>
    </row>
    <row r="1039" spans="1:15" x14ac:dyDescent="0.25">
      <c r="A1039" s="8">
        <v>91689</v>
      </c>
      <c r="B1039" s="9" t="s">
        <v>39</v>
      </c>
      <c r="C1039" s="9" t="s">
        <v>52</v>
      </c>
      <c r="D1039" s="9" t="s">
        <v>25</v>
      </c>
      <c r="E1039" s="9" t="s">
        <v>32</v>
      </c>
      <c r="F1039" s="9" t="str">
        <f t="shared" si="16"/>
        <v>Not Delivered</v>
      </c>
      <c r="G1039" s="9" t="b">
        <v>1</v>
      </c>
      <c r="H1039" s="9" t="s">
        <v>33</v>
      </c>
      <c r="I1039" s="8">
        <v>2946</v>
      </c>
      <c r="J1039" s="10">
        <v>214.49</v>
      </c>
      <c r="K1039" s="10">
        <v>71.87</v>
      </c>
      <c r="L1039" s="10">
        <v>33.76</v>
      </c>
      <c r="M1039" s="10">
        <v>320.12</v>
      </c>
      <c r="N1039" s="8">
        <v>9</v>
      </c>
      <c r="O1039" s="6">
        <v>2.4</v>
      </c>
    </row>
    <row r="1040" spans="1:15" x14ac:dyDescent="0.25">
      <c r="A1040" s="8">
        <v>26864</v>
      </c>
      <c r="B1040" s="9" t="s">
        <v>10</v>
      </c>
      <c r="C1040" s="9" t="s">
        <v>20</v>
      </c>
      <c r="D1040" s="9" t="s">
        <v>19</v>
      </c>
      <c r="E1040" s="9" t="s">
        <v>17</v>
      </c>
      <c r="F1040" s="9" t="str">
        <f t="shared" si="16"/>
        <v>Not Delivered</v>
      </c>
      <c r="G1040" s="9" t="b">
        <v>0</v>
      </c>
      <c r="H1040" s="9" t="s">
        <v>18</v>
      </c>
      <c r="I1040" s="8">
        <v>2584</v>
      </c>
      <c r="J1040" s="10">
        <v>1210.49</v>
      </c>
      <c r="K1040" s="10">
        <v>112.45</v>
      </c>
      <c r="L1040" s="10">
        <v>0</v>
      </c>
      <c r="M1040" s="10">
        <v>1322.94</v>
      </c>
      <c r="N1040" s="8">
        <v>5</v>
      </c>
      <c r="O1040" s="6">
        <v>3.6</v>
      </c>
    </row>
    <row r="1041" spans="1:15" x14ac:dyDescent="0.25">
      <c r="A1041" s="8">
        <v>61629</v>
      </c>
      <c r="B1041" s="9" t="s">
        <v>23</v>
      </c>
      <c r="C1041" s="9" t="s">
        <v>60</v>
      </c>
      <c r="D1041" s="9" t="s">
        <v>30</v>
      </c>
      <c r="E1041" s="9" t="s">
        <v>21</v>
      </c>
      <c r="F1041" s="9" t="str">
        <f t="shared" si="16"/>
        <v>Not Delivered</v>
      </c>
      <c r="G1041" s="9" t="b">
        <v>0</v>
      </c>
      <c r="H1041" s="9" t="s">
        <v>22</v>
      </c>
      <c r="I1041" s="8">
        <v>7114</v>
      </c>
      <c r="J1041" s="10">
        <v>2232.38</v>
      </c>
      <c r="K1041" s="10">
        <v>0</v>
      </c>
      <c r="L1041" s="10">
        <v>0</v>
      </c>
      <c r="M1041" s="10">
        <v>2232.38</v>
      </c>
      <c r="N1041" s="8">
        <v>10</v>
      </c>
    </row>
    <row r="1042" spans="1:15" x14ac:dyDescent="0.25">
      <c r="A1042" s="8">
        <v>54444</v>
      </c>
      <c r="B1042" s="9" t="s">
        <v>39</v>
      </c>
      <c r="C1042" s="9" t="s">
        <v>52</v>
      </c>
      <c r="D1042" s="9" t="s">
        <v>19</v>
      </c>
      <c r="E1042" s="9" t="s">
        <v>17</v>
      </c>
      <c r="F1042" s="9" t="str">
        <f t="shared" si="16"/>
        <v>Not Delivered</v>
      </c>
      <c r="G1042" s="9" t="b">
        <v>0</v>
      </c>
      <c r="H1042" s="9" t="s">
        <v>14</v>
      </c>
      <c r="I1042" s="8">
        <v>6990</v>
      </c>
      <c r="J1042" s="10">
        <v>897.43</v>
      </c>
      <c r="K1042" s="10">
        <v>110.48</v>
      </c>
      <c r="L1042" s="10">
        <v>0</v>
      </c>
      <c r="M1042" s="10">
        <v>1007.91</v>
      </c>
      <c r="N1042" s="8">
        <v>4</v>
      </c>
      <c r="O1042" s="6">
        <v>4.0999999999999996</v>
      </c>
    </row>
    <row r="1043" spans="1:15" x14ac:dyDescent="0.25">
      <c r="A1043" s="8">
        <v>28909</v>
      </c>
      <c r="B1043" s="9" t="s">
        <v>41</v>
      </c>
      <c r="C1043" s="9" t="s">
        <v>46</v>
      </c>
      <c r="D1043" s="9" t="s">
        <v>35</v>
      </c>
      <c r="E1043" s="9" t="s">
        <v>13</v>
      </c>
      <c r="F1043" s="9" t="str">
        <f t="shared" si="16"/>
        <v>Delivered</v>
      </c>
      <c r="G1043" s="9" t="b">
        <v>1</v>
      </c>
      <c r="H1043" s="9" t="s">
        <v>18</v>
      </c>
      <c r="I1043" s="8">
        <v>4261</v>
      </c>
      <c r="J1043" s="10">
        <v>615.33000000000004</v>
      </c>
      <c r="K1043" s="10">
        <v>50.02</v>
      </c>
      <c r="L1043" s="10">
        <v>28.42</v>
      </c>
      <c r="M1043" s="10">
        <v>693.77</v>
      </c>
      <c r="N1043" s="8">
        <v>13</v>
      </c>
      <c r="O1043" s="6">
        <v>3.7</v>
      </c>
    </row>
    <row r="1044" spans="1:15" x14ac:dyDescent="0.25">
      <c r="A1044" s="8">
        <v>88966</v>
      </c>
      <c r="B1044" s="9" t="s">
        <v>5</v>
      </c>
      <c r="C1044" s="9" t="s">
        <v>36</v>
      </c>
      <c r="D1044" s="9" t="s">
        <v>30</v>
      </c>
      <c r="E1044" s="9" t="s">
        <v>17</v>
      </c>
      <c r="F1044" s="9" t="str">
        <f t="shared" si="16"/>
        <v>Not Delivered</v>
      </c>
      <c r="G1044" s="9" t="b">
        <v>0</v>
      </c>
      <c r="H1044" s="9" t="s">
        <v>18</v>
      </c>
      <c r="I1044" s="8">
        <v>9341</v>
      </c>
      <c r="J1044" s="10">
        <v>1488.33</v>
      </c>
      <c r="K1044" s="10">
        <v>88.55</v>
      </c>
      <c r="L1044" s="10">
        <v>0</v>
      </c>
      <c r="M1044" s="10">
        <v>1576.88</v>
      </c>
      <c r="N1044" s="8">
        <v>6</v>
      </c>
      <c r="O1044" s="6">
        <v>3.1</v>
      </c>
    </row>
    <row r="1045" spans="1:15" x14ac:dyDescent="0.25">
      <c r="A1045" s="8">
        <v>62610</v>
      </c>
      <c r="B1045" s="9" t="s">
        <v>23</v>
      </c>
      <c r="C1045" s="9" t="s">
        <v>24</v>
      </c>
      <c r="D1045" s="9" t="s">
        <v>50</v>
      </c>
      <c r="E1045" s="9" t="s">
        <v>8</v>
      </c>
      <c r="F1045" s="9" t="str">
        <f t="shared" si="16"/>
        <v>Not Delivered</v>
      </c>
      <c r="G1045" s="9" t="b">
        <v>0</v>
      </c>
      <c r="H1045" s="9" t="s">
        <v>4</v>
      </c>
      <c r="I1045" s="8">
        <v>9193</v>
      </c>
      <c r="J1045" s="10">
        <v>2844.65</v>
      </c>
      <c r="K1045" s="10">
        <v>121.13</v>
      </c>
      <c r="L1045" s="10">
        <v>0</v>
      </c>
      <c r="M1045" s="10">
        <v>2965.78</v>
      </c>
      <c r="N1045" s="8">
        <v>9</v>
      </c>
      <c r="O1045" s="6">
        <v>3.8</v>
      </c>
    </row>
    <row r="1046" spans="1:15" x14ac:dyDescent="0.25">
      <c r="A1046" s="8">
        <v>15276</v>
      </c>
      <c r="B1046" s="9" t="s">
        <v>41</v>
      </c>
      <c r="C1046" s="9" t="s">
        <v>42</v>
      </c>
      <c r="D1046" s="9" t="s">
        <v>38</v>
      </c>
      <c r="E1046" s="9" t="s">
        <v>3</v>
      </c>
      <c r="F1046" s="9" t="str">
        <f t="shared" si="16"/>
        <v>Not Delivered</v>
      </c>
      <c r="G1046" s="9" t="b">
        <v>0</v>
      </c>
      <c r="H1046" s="9" t="s">
        <v>28</v>
      </c>
      <c r="I1046" s="8">
        <v>1742</v>
      </c>
      <c r="J1046" s="10">
        <v>1734.6</v>
      </c>
      <c r="K1046" s="10">
        <v>0</v>
      </c>
      <c r="L1046" s="10">
        <v>0</v>
      </c>
      <c r="M1046" s="10">
        <v>1734.6</v>
      </c>
      <c r="N1046" s="8">
        <v>14</v>
      </c>
      <c r="O1046" s="6">
        <v>3.7</v>
      </c>
    </row>
    <row r="1047" spans="1:15" x14ac:dyDescent="0.25">
      <c r="A1047" s="8">
        <v>15100</v>
      </c>
      <c r="B1047" s="9" t="s">
        <v>41</v>
      </c>
      <c r="C1047" s="9" t="s">
        <v>46</v>
      </c>
      <c r="D1047" s="9" t="s">
        <v>35</v>
      </c>
      <c r="E1047" s="9" t="s">
        <v>17</v>
      </c>
      <c r="F1047" s="9" t="str">
        <f t="shared" si="16"/>
        <v>Not Delivered</v>
      </c>
      <c r="G1047" s="9" t="b">
        <v>1</v>
      </c>
      <c r="H1047" s="9" t="s">
        <v>33</v>
      </c>
      <c r="I1047" s="8">
        <v>3245</v>
      </c>
      <c r="J1047" s="10">
        <v>1141.4100000000001</v>
      </c>
      <c r="K1047" s="10">
        <v>0</v>
      </c>
      <c r="L1047" s="10">
        <v>72.099999999999994</v>
      </c>
      <c r="M1047" s="10">
        <v>1213.51</v>
      </c>
      <c r="N1047" s="8">
        <v>9</v>
      </c>
      <c r="O1047" s="6">
        <v>3.3</v>
      </c>
    </row>
    <row r="1048" spans="1:15" x14ac:dyDescent="0.25">
      <c r="A1048" s="8">
        <v>53652</v>
      </c>
      <c r="B1048" s="9" t="s">
        <v>10</v>
      </c>
      <c r="C1048" s="9" t="s">
        <v>15</v>
      </c>
      <c r="D1048" s="9" t="s">
        <v>38</v>
      </c>
      <c r="E1048" s="9" t="s">
        <v>8</v>
      </c>
      <c r="F1048" s="9" t="str">
        <f t="shared" si="16"/>
        <v>Not Delivered</v>
      </c>
      <c r="G1048" s="9" t="b">
        <v>0</v>
      </c>
      <c r="H1048" s="9" t="s">
        <v>33</v>
      </c>
      <c r="I1048" s="8">
        <v>8761</v>
      </c>
      <c r="J1048" s="10">
        <v>1850.97</v>
      </c>
      <c r="K1048" s="10">
        <v>53.35</v>
      </c>
      <c r="L1048" s="10">
        <v>0</v>
      </c>
      <c r="M1048" s="10">
        <v>1904.32</v>
      </c>
      <c r="N1048" s="8">
        <v>11</v>
      </c>
      <c r="O1048" s="6">
        <v>1.2</v>
      </c>
    </row>
    <row r="1049" spans="1:15" x14ac:dyDescent="0.25">
      <c r="A1049" s="8">
        <v>78069</v>
      </c>
      <c r="B1049" s="9" t="s">
        <v>10</v>
      </c>
      <c r="C1049" s="9" t="s">
        <v>26</v>
      </c>
      <c r="D1049" s="9" t="s">
        <v>45</v>
      </c>
      <c r="E1049" s="9" t="s">
        <v>8</v>
      </c>
      <c r="F1049" s="9" t="str">
        <f t="shared" si="16"/>
        <v>Not Delivered</v>
      </c>
      <c r="G1049" s="9" t="b">
        <v>0</v>
      </c>
      <c r="H1049" s="9" t="s">
        <v>14</v>
      </c>
      <c r="I1049" s="8">
        <v>8487</v>
      </c>
      <c r="J1049" s="10">
        <v>1945.17</v>
      </c>
      <c r="K1049" s="10">
        <v>136.32</v>
      </c>
      <c r="L1049" s="10">
        <v>0</v>
      </c>
      <c r="M1049" s="10">
        <v>2081.4899999999998</v>
      </c>
      <c r="N1049" s="8">
        <v>10</v>
      </c>
      <c r="O1049" s="6">
        <v>3</v>
      </c>
    </row>
    <row r="1050" spans="1:15" x14ac:dyDescent="0.25">
      <c r="A1050" s="8">
        <v>29521</v>
      </c>
      <c r="B1050" s="9" t="s">
        <v>0</v>
      </c>
      <c r="C1050" s="9" t="s">
        <v>43</v>
      </c>
      <c r="D1050" s="9" t="s">
        <v>16</v>
      </c>
      <c r="E1050" s="9" t="s">
        <v>17</v>
      </c>
      <c r="F1050" s="9" t="str">
        <f t="shared" si="16"/>
        <v>Not Delivered</v>
      </c>
      <c r="G1050" s="9" t="b">
        <v>1</v>
      </c>
      <c r="H1050" s="9" t="s">
        <v>4</v>
      </c>
      <c r="I1050" s="8">
        <v>9446</v>
      </c>
      <c r="J1050" s="10">
        <v>1482.26</v>
      </c>
      <c r="K1050" s="10">
        <v>0</v>
      </c>
      <c r="L1050" s="10">
        <v>85.28</v>
      </c>
      <c r="M1050" s="10">
        <v>1567.54</v>
      </c>
      <c r="N1050" s="8">
        <v>3</v>
      </c>
      <c r="O1050" s="6">
        <v>1.5</v>
      </c>
    </row>
    <row r="1051" spans="1:15" x14ac:dyDescent="0.25">
      <c r="A1051" s="8">
        <v>28321</v>
      </c>
      <c r="B1051" s="9" t="s">
        <v>39</v>
      </c>
      <c r="C1051" s="9" t="s">
        <v>57</v>
      </c>
      <c r="E1051" s="9" t="s">
        <v>32</v>
      </c>
      <c r="F1051" s="9" t="str">
        <f t="shared" si="16"/>
        <v>Not Delivered</v>
      </c>
      <c r="G1051" s="9" t="b">
        <v>1</v>
      </c>
      <c r="H1051" s="9" t="s">
        <v>18</v>
      </c>
      <c r="I1051" s="8">
        <v>6373</v>
      </c>
      <c r="J1051" s="10">
        <v>526.22</v>
      </c>
      <c r="K1051" s="10">
        <v>77.75</v>
      </c>
      <c r="L1051" s="10">
        <v>33.32</v>
      </c>
      <c r="M1051" s="10">
        <v>637.29</v>
      </c>
      <c r="N1051" s="8">
        <v>11</v>
      </c>
      <c r="O1051" s="6">
        <v>2.2999999999999998</v>
      </c>
    </row>
    <row r="1052" spans="1:15" x14ac:dyDescent="0.25">
      <c r="A1052" s="8">
        <v>90356</v>
      </c>
      <c r="B1052" s="9" t="s">
        <v>0</v>
      </c>
      <c r="C1052" s="9" t="s">
        <v>51</v>
      </c>
      <c r="D1052" s="9" t="s">
        <v>12</v>
      </c>
      <c r="E1052" s="9" t="s">
        <v>32</v>
      </c>
      <c r="F1052" s="9" t="str">
        <f t="shared" si="16"/>
        <v>Not Delivered</v>
      </c>
      <c r="G1052" s="9" t="b">
        <v>1</v>
      </c>
      <c r="H1052" s="9" t="s">
        <v>9</v>
      </c>
      <c r="I1052" s="8">
        <v>6218</v>
      </c>
      <c r="J1052" s="10">
        <v>1001.96</v>
      </c>
      <c r="K1052" s="10">
        <v>90.32</v>
      </c>
      <c r="L1052" s="10">
        <v>29.82</v>
      </c>
      <c r="M1052" s="10">
        <v>1122.0999999999999</v>
      </c>
      <c r="N1052" s="8">
        <v>13</v>
      </c>
      <c r="O1052" s="6">
        <v>3.9</v>
      </c>
    </row>
    <row r="1053" spans="1:15" x14ac:dyDescent="0.25">
      <c r="A1053" s="8">
        <v>31299</v>
      </c>
      <c r="B1053" s="9" t="s">
        <v>5</v>
      </c>
      <c r="C1053" s="9" t="s">
        <v>56</v>
      </c>
      <c r="D1053" s="9" t="s">
        <v>45</v>
      </c>
      <c r="E1053" s="9" t="s">
        <v>21</v>
      </c>
      <c r="F1053" s="9" t="str">
        <f t="shared" si="16"/>
        <v>Not Delivered</v>
      </c>
      <c r="G1053" s="9" t="b">
        <v>1</v>
      </c>
      <c r="H1053" s="9" t="s">
        <v>14</v>
      </c>
      <c r="I1053" s="8">
        <v>7438</v>
      </c>
      <c r="J1053" s="10">
        <v>1599.62</v>
      </c>
      <c r="K1053" s="10">
        <v>90.93</v>
      </c>
      <c r="L1053" s="10">
        <v>127.38</v>
      </c>
      <c r="M1053" s="10">
        <v>1817.93</v>
      </c>
      <c r="N1053" s="8">
        <v>6</v>
      </c>
    </row>
    <row r="1054" spans="1:15" x14ac:dyDescent="0.25">
      <c r="A1054" s="8">
        <v>90805</v>
      </c>
      <c r="B1054" s="9" t="s">
        <v>0</v>
      </c>
      <c r="C1054" s="9" t="s">
        <v>1</v>
      </c>
      <c r="D1054" s="9" t="s">
        <v>25</v>
      </c>
      <c r="E1054" s="9" t="s">
        <v>32</v>
      </c>
      <c r="F1054" s="9" t="str">
        <f t="shared" si="16"/>
        <v>Not Delivered</v>
      </c>
      <c r="G1054" s="9" t="b">
        <v>1</v>
      </c>
      <c r="H1054" s="9" t="s">
        <v>14</v>
      </c>
      <c r="I1054" s="8">
        <v>5902</v>
      </c>
      <c r="J1054" s="10">
        <v>1084.21</v>
      </c>
      <c r="K1054" s="10">
        <v>61.63</v>
      </c>
      <c r="L1054" s="10">
        <v>86.48</v>
      </c>
      <c r="M1054" s="10">
        <v>1232.32</v>
      </c>
      <c r="N1054" s="8">
        <v>3</v>
      </c>
      <c r="O1054" s="6">
        <v>3.5</v>
      </c>
    </row>
    <row r="1055" spans="1:15" x14ac:dyDescent="0.25">
      <c r="A1055" s="8">
        <v>87820</v>
      </c>
      <c r="B1055" s="9" t="s">
        <v>5</v>
      </c>
      <c r="C1055" s="9" t="s">
        <v>36</v>
      </c>
      <c r="D1055" s="9" t="s">
        <v>38</v>
      </c>
      <c r="E1055" s="9" t="s">
        <v>8</v>
      </c>
      <c r="F1055" s="9" t="str">
        <f t="shared" si="16"/>
        <v>Not Delivered</v>
      </c>
      <c r="G1055" s="9" t="b">
        <v>1</v>
      </c>
      <c r="H1055" s="9" t="s">
        <v>28</v>
      </c>
      <c r="I1055" s="8">
        <v>6511</v>
      </c>
      <c r="J1055" s="10">
        <v>1667.27</v>
      </c>
      <c r="K1055" s="10">
        <v>137.72</v>
      </c>
      <c r="L1055" s="10">
        <v>183.73</v>
      </c>
      <c r="M1055" s="10">
        <v>1988.72</v>
      </c>
      <c r="N1055" s="8">
        <v>11</v>
      </c>
      <c r="O1055" s="6">
        <v>4.5</v>
      </c>
    </row>
    <row r="1056" spans="1:15" x14ac:dyDescent="0.25">
      <c r="A1056" s="8">
        <v>76494</v>
      </c>
      <c r="B1056" s="9" t="s">
        <v>10</v>
      </c>
      <c r="C1056" s="9" t="s">
        <v>26</v>
      </c>
      <c r="D1056" s="9" t="s">
        <v>19</v>
      </c>
      <c r="E1056" s="9" t="s">
        <v>13</v>
      </c>
      <c r="F1056" s="9" t="str">
        <f t="shared" si="16"/>
        <v>Delivered</v>
      </c>
      <c r="G1056" s="9" t="b">
        <v>0</v>
      </c>
      <c r="H1056" s="9" t="s">
        <v>28</v>
      </c>
      <c r="I1056" s="8">
        <v>9351</v>
      </c>
      <c r="J1056" s="10">
        <v>820.69</v>
      </c>
      <c r="K1056" s="10">
        <v>0</v>
      </c>
      <c r="L1056" s="10">
        <v>0</v>
      </c>
      <c r="M1056" s="10">
        <v>820.69</v>
      </c>
      <c r="N1056" s="8">
        <v>3</v>
      </c>
      <c r="O1056" s="6">
        <v>2.7</v>
      </c>
    </row>
    <row r="1057" spans="1:15" x14ac:dyDescent="0.25">
      <c r="A1057" s="8">
        <v>79774</v>
      </c>
      <c r="B1057" s="9" t="s">
        <v>23</v>
      </c>
      <c r="C1057" s="9" t="s">
        <v>49</v>
      </c>
      <c r="D1057" s="9" t="s">
        <v>30</v>
      </c>
      <c r="E1057" s="9" t="s">
        <v>3</v>
      </c>
      <c r="F1057" s="9" t="str">
        <f t="shared" si="16"/>
        <v>Not Delivered</v>
      </c>
      <c r="G1057" s="9" t="b">
        <v>0</v>
      </c>
      <c r="H1057" s="9" t="s">
        <v>14</v>
      </c>
      <c r="I1057" s="8">
        <v>9025</v>
      </c>
      <c r="J1057" s="10">
        <v>889.16</v>
      </c>
      <c r="K1057" s="10">
        <v>59.24</v>
      </c>
      <c r="L1057" s="10">
        <v>0</v>
      </c>
      <c r="M1057" s="10">
        <v>948.4</v>
      </c>
      <c r="N1057" s="8">
        <v>10</v>
      </c>
      <c r="O1057" s="6">
        <v>4.0999999999999996</v>
      </c>
    </row>
    <row r="1058" spans="1:15" x14ac:dyDescent="0.25">
      <c r="A1058" s="8">
        <v>83783</v>
      </c>
      <c r="B1058" s="9" t="s">
        <v>0</v>
      </c>
      <c r="C1058" s="9" t="s">
        <v>53</v>
      </c>
      <c r="D1058" s="9" t="s">
        <v>38</v>
      </c>
      <c r="E1058" s="9" t="s">
        <v>3</v>
      </c>
      <c r="F1058" s="9" t="str">
        <f t="shared" si="16"/>
        <v>Not Delivered</v>
      </c>
      <c r="G1058" s="9" t="b">
        <v>0</v>
      </c>
      <c r="H1058" s="9" t="s">
        <v>33</v>
      </c>
      <c r="I1058" s="8">
        <v>5911</v>
      </c>
      <c r="J1058" s="10">
        <v>210.61</v>
      </c>
      <c r="K1058" s="10">
        <v>87.6</v>
      </c>
      <c r="L1058" s="10">
        <v>0</v>
      </c>
      <c r="M1058" s="10">
        <v>298.20999999999998</v>
      </c>
      <c r="N1058" s="8">
        <v>3</v>
      </c>
      <c r="O1058" s="6">
        <v>1.8</v>
      </c>
    </row>
    <row r="1059" spans="1:15" x14ac:dyDescent="0.25">
      <c r="A1059" s="8">
        <v>72245</v>
      </c>
      <c r="B1059" s="9" t="s">
        <v>0</v>
      </c>
      <c r="C1059" s="9" t="s">
        <v>51</v>
      </c>
      <c r="D1059" s="9" t="s">
        <v>19</v>
      </c>
      <c r="E1059" s="9" t="s">
        <v>3</v>
      </c>
      <c r="F1059" s="9" t="str">
        <f t="shared" si="16"/>
        <v>Not Delivered</v>
      </c>
      <c r="G1059" s="9" t="b">
        <v>0</v>
      </c>
      <c r="H1059" s="9" t="s">
        <v>33</v>
      </c>
      <c r="I1059" s="8">
        <v>1272</v>
      </c>
      <c r="J1059" s="10">
        <v>492.29</v>
      </c>
      <c r="K1059" s="10">
        <v>77.47</v>
      </c>
      <c r="L1059" s="10">
        <v>0</v>
      </c>
      <c r="M1059" s="10">
        <v>569.76</v>
      </c>
      <c r="N1059" s="8">
        <v>2</v>
      </c>
      <c r="O1059" s="6">
        <v>1.8</v>
      </c>
    </row>
    <row r="1060" spans="1:15" x14ac:dyDescent="0.25">
      <c r="A1060" s="8">
        <v>58281</v>
      </c>
      <c r="B1060" s="9" t="s">
        <v>5</v>
      </c>
      <c r="C1060" s="9" t="s">
        <v>6</v>
      </c>
      <c r="E1060" s="9" t="s">
        <v>21</v>
      </c>
      <c r="F1060" s="9" t="str">
        <f t="shared" si="16"/>
        <v>Not Delivered</v>
      </c>
      <c r="G1060" s="9" t="b">
        <v>0</v>
      </c>
      <c r="H1060" s="9" t="s">
        <v>4</v>
      </c>
      <c r="I1060" s="8">
        <v>6427</v>
      </c>
      <c r="J1060" s="10">
        <v>1389.17</v>
      </c>
      <c r="K1060" s="10">
        <v>97.52</v>
      </c>
      <c r="L1060" s="10">
        <v>0</v>
      </c>
      <c r="M1060" s="10">
        <v>1486.69</v>
      </c>
      <c r="N1060" s="8">
        <v>10</v>
      </c>
      <c r="O1060" s="6">
        <v>3.3</v>
      </c>
    </row>
    <row r="1061" spans="1:15" x14ac:dyDescent="0.25">
      <c r="A1061" s="8">
        <v>98317</v>
      </c>
      <c r="B1061" s="9" t="s">
        <v>10</v>
      </c>
      <c r="C1061" s="9" t="s">
        <v>26</v>
      </c>
      <c r="D1061" s="9" t="s">
        <v>12</v>
      </c>
      <c r="E1061" s="9" t="s">
        <v>32</v>
      </c>
      <c r="F1061" s="9" t="str">
        <f t="shared" si="16"/>
        <v>Not Delivered</v>
      </c>
      <c r="G1061" s="9" t="b">
        <v>0</v>
      </c>
      <c r="H1061" s="9" t="s">
        <v>33</v>
      </c>
      <c r="I1061" s="8">
        <v>2795</v>
      </c>
      <c r="J1061" s="10">
        <v>1296</v>
      </c>
      <c r="L1061" s="10">
        <v>0</v>
      </c>
      <c r="M1061" s="10">
        <v>1346.79</v>
      </c>
      <c r="N1061" s="8">
        <v>8</v>
      </c>
      <c r="O1061" s="6">
        <v>3.6</v>
      </c>
    </row>
    <row r="1062" spans="1:15" x14ac:dyDescent="0.25">
      <c r="A1062" s="8">
        <v>64596</v>
      </c>
      <c r="B1062" s="9" t="s">
        <v>10</v>
      </c>
      <c r="C1062" s="9" t="s">
        <v>29</v>
      </c>
      <c r="D1062" s="9" t="s">
        <v>38</v>
      </c>
      <c r="E1062" s="9" t="s">
        <v>3</v>
      </c>
      <c r="F1062" s="9" t="str">
        <f t="shared" si="16"/>
        <v>Not Delivered</v>
      </c>
      <c r="G1062" s="9" t="b">
        <v>1</v>
      </c>
      <c r="H1062" s="9" t="s">
        <v>9</v>
      </c>
      <c r="I1062" s="8">
        <v>6040</v>
      </c>
      <c r="J1062" s="10">
        <v>987</v>
      </c>
      <c r="K1062" s="10">
        <v>0</v>
      </c>
      <c r="L1062" s="10">
        <v>271.38</v>
      </c>
      <c r="M1062" s="10">
        <v>1258.3800000000001</v>
      </c>
      <c r="N1062" s="8">
        <v>8</v>
      </c>
      <c r="O1062" s="6">
        <v>3.8</v>
      </c>
    </row>
    <row r="1063" spans="1:15" x14ac:dyDescent="0.25">
      <c r="A1063" s="8">
        <v>92478</v>
      </c>
      <c r="B1063" s="9" t="s">
        <v>23</v>
      </c>
      <c r="C1063" s="9" t="s">
        <v>49</v>
      </c>
      <c r="D1063" s="9" t="s">
        <v>19</v>
      </c>
      <c r="E1063" s="9" t="s">
        <v>21</v>
      </c>
      <c r="F1063" s="9" t="str">
        <f t="shared" si="16"/>
        <v>Not Delivered</v>
      </c>
      <c r="G1063" s="9" t="b">
        <v>0</v>
      </c>
      <c r="H1063" s="9" t="s">
        <v>4</v>
      </c>
      <c r="I1063" s="8">
        <v>1436</v>
      </c>
      <c r="J1063" s="10">
        <v>2211.61</v>
      </c>
      <c r="K1063" s="10">
        <v>98.26</v>
      </c>
      <c r="L1063" s="10">
        <v>0</v>
      </c>
      <c r="M1063" s="10">
        <v>2309.87</v>
      </c>
      <c r="N1063" s="8">
        <v>5</v>
      </c>
    </row>
    <row r="1064" spans="1:15" x14ac:dyDescent="0.25">
      <c r="A1064" s="8">
        <v>88238</v>
      </c>
      <c r="B1064" s="9" t="s">
        <v>39</v>
      </c>
      <c r="C1064" s="9" t="s">
        <v>58</v>
      </c>
      <c r="D1064" s="9" t="s">
        <v>30</v>
      </c>
      <c r="E1064" s="9" t="s">
        <v>32</v>
      </c>
      <c r="F1064" s="9" t="str">
        <f t="shared" si="16"/>
        <v>Not Delivered</v>
      </c>
      <c r="G1064" s="9" t="b">
        <v>1</v>
      </c>
      <c r="H1064" s="9" t="s">
        <v>18</v>
      </c>
      <c r="I1064" s="8">
        <v>8775</v>
      </c>
      <c r="J1064" s="10">
        <v>1179.18</v>
      </c>
      <c r="K1064" s="10">
        <v>90.08</v>
      </c>
      <c r="L1064" s="10">
        <v>75.61</v>
      </c>
      <c r="M1064" s="10">
        <v>1344.87</v>
      </c>
      <c r="N1064" s="8">
        <v>5</v>
      </c>
      <c r="O1064" s="6">
        <v>4.9000000000000004</v>
      </c>
    </row>
    <row r="1065" spans="1:15" x14ac:dyDescent="0.25">
      <c r="A1065" s="8">
        <v>44803</v>
      </c>
      <c r="B1065" s="9" t="s">
        <v>23</v>
      </c>
      <c r="C1065" s="9" t="s">
        <v>24</v>
      </c>
      <c r="D1065" s="9" t="s">
        <v>7</v>
      </c>
      <c r="E1065" s="9" t="s">
        <v>3</v>
      </c>
      <c r="F1065" s="9" t="str">
        <f t="shared" si="16"/>
        <v>Not Delivered</v>
      </c>
      <c r="G1065" s="9" t="b">
        <v>1</v>
      </c>
      <c r="H1065" s="9" t="s">
        <v>4</v>
      </c>
      <c r="I1065" s="8">
        <v>4728</v>
      </c>
      <c r="J1065" s="10">
        <v>2040.71</v>
      </c>
      <c r="K1065" s="10">
        <v>55.38</v>
      </c>
      <c r="L1065" s="10">
        <v>179.29</v>
      </c>
      <c r="M1065" s="10">
        <v>2275.38</v>
      </c>
      <c r="N1065" s="8">
        <v>3</v>
      </c>
      <c r="O1065" s="6">
        <v>2.8</v>
      </c>
    </row>
    <row r="1066" spans="1:15" x14ac:dyDescent="0.25">
      <c r="A1066" s="8">
        <v>16731</v>
      </c>
      <c r="B1066" s="9" t="s">
        <v>0</v>
      </c>
      <c r="C1066" s="9" t="s">
        <v>53</v>
      </c>
      <c r="D1066" s="9" t="s">
        <v>16</v>
      </c>
      <c r="E1066" s="9" t="s">
        <v>17</v>
      </c>
      <c r="F1066" s="9" t="str">
        <f t="shared" si="16"/>
        <v>Not Delivered</v>
      </c>
      <c r="G1066" s="9" t="b">
        <v>0</v>
      </c>
      <c r="H1066" s="9" t="s">
        <v>22</v>
      </c>
      <c r="I1066" s="8">
        <v>8871</v>
      </c>
      <c r="J1066" s="10">
        <v>480.67</v>
      </c>
      <c r="K1066" s="10">
        <v>37.909999999999997</v>
      </c>
      <c r="L1066" s="10">
        <v>0</v>
      </c>
      <c r="M1066" s="10">
        <v>518.58000000000004</v>
      </c>
      <c r="N1066" s="8">
        <v>2</v>
      </c>
      <c r="O1066" s="6">
        <v>4.4000000000000004</v>
      </c>
    </row>
    <row r="1067" spans="1:15" x14ac:dyDescent="0.25">
      <c r="A1067" s="8">
        <v>32349</v>
      </c>
      <c r="B1067" s="9" t="s">
        <v>23</v>
      </c>
      <c r="C1067" s="9" t="s">
        <v>24</v>
      </c>
      <c r="D1067" s="9" t="s">
        <v>27</v>
      </c>
      <c r="E1067" s="9" t="s">
        <v>3</v>
      </c>
      <c r="F1067" s="9" t="str">
        <f t="shared" si="16"/>
        <v>Not Delivered</v>
      </c>
      <c r="G1067" s="9" t="b">
        <v>0</v>
      </c>
      <c r="H1067" s="9" t="s">
        <v>22</v>
      </c>
      <c r="I1067" s="8">
        <v>9589</v>
      </c>
      <c r="J1067" s="10">
        <v>2101.4299999999998</v>
      </c>
      <c r="K1067" s="10">
        <v>87.43</v>
      </c>
      <c r="L1067" s="10">
        <v>0</v>
      </c>
      <c r="M1067" s="10">
        <v>2188.86</v>
      </c>
      <c r="N1067" s="8">
        <v>3</v>
      </c>
      <c r="O1067" s="6">
        <v>2.9</v>
      </c>
    </row>
    <row r="1068" spans="1:15" x14ac:dyDescent="0.25">
      <c r="A1068" s="8">
        <v>92447</v>
      </c>
      <c r="B1068" s="9" t="s">
        <v>23</v>
      </c>
      <c r="C1068" s="9" t="s">
        <v>54</v>
      </c>
      <c r="D1068" s="9" t="s">
        <v>35</v>
      </c>
      <c r="E1068" s="9" t="s">
        <v>13</v>
      </c>
      <c r="F1068" s="9" t="str">
        <f t="shared" si="16"/>
        <v>Delivered</v>
      </c>
      <c r="G1068" s="9" t="b">
        <v>1</v>
      </c>
      <c r="H1068" s="9" t="s">
        <v>14</v>
      </c>
      <c r="I1068" s="8">
        <v>7229</v>
      </c>
      <c r="J1068" s="10">
        <v>2055.0500000000002</v>
      </c>
      <c r="K1068" s="10">
        <v>120.62</v>
      </c>
      <c r="L1068" s="10">
        <v>169.28</v>
      </c>
      <c r="M1068" s="10">
        <v>2344.9499999999998</v>
      </c>
      <c r="N1068" s="8">
        <v>13</v>
      </c>
      <c r="O1068" s="6">
        <v>2.6</v>
      </c>
    </row>
    <row r="1069" spans="1:15" x14ac:dyDescent="0.25">
      <c r="A1069" s="8">
        <v>29369</v>
      </c>
      <c r="B1069" s="9" t="s">
        <v>0</v>
      </c>
      <c r="C1069" s="9" t="s">
        <v>37</v>
      </c>
      <c r="D1069" s="9" t="s">
        <v>35</v>
      </c>
      <c r="E1069" s="9" t="s">
        <v>21</v>
      </c>
      <c r="F1069" s="9" t="str">
        <f t="shared" si="16"/>
        <v>Not Delivered</v>
      </c>
      <c r="G1069" s="9" t="b">
        <v>1</v>
      </c>
      <c r="H1069" s="9" t="s">
        <v>14</v>
      </c>
      <c r="I1069" s="8">
        <v>4968</v>
      </c>
      <c r="J1069" s="10">
        <v>1134.95</v>
      </c>
      <c r="K1069" s="10">
        <v>84.69</v>
      </c>
      <c r="L1069" s="10">
        <v>94.28</v>
      </c>
      <c r="M1069" s="10">
        <v>1313.92</v>
      </c>
      <c r="N1069" s="8">
        <v>3</v>
      </c>
      <c r="O1069" s="6">
        <v>2.5</v>
      </c>
    </row>
    <row r="1070" spans="1:15" x14ac:dyDescent="0.25">
      <c r="A1070" s="8">
        <v>14138</v>
      </c>
      <c r="B1070" s="9" t="s">
        <v>5</v>
      </c>
      <c r="C1070" s="9" t="s">
        <v>59</v>
      </c>
      <c r="D1070" s="9" t="s">
        <v>35</v>
      </c>
      <c r="E1070" s="9" t="s">
        <v>3</v>
      </c>
      <c r="F1070" s="9" t="str">
        <f t="shared" si="16"/>
        <v>Not Delivered</v>
      </c>
      <c r="G1070" s="9" t="b">
        <v>1</v>
      </c>
      <c r="H1070" s="9" t="s">
        <v>22</v>
      </c>
      <c r="I1070" s="8">
        <v>2800</v>
      </c>
      <c r="J1070" s="10">
        <v>1578.09</v>
      </c>
      <c r="K1070" s="10">
        <v>57.73</v>
      </c>
      <c r="L1070" s="10">
        <v>75</v>
      </c>
      <c r="M1070" s="10">
        <v>1710.82</v>
      </c>
      <c r="N1070" s="8">
        <v>1</v>
      </c>
      <c r="O1070" s="6">
        <v>2.7</v>
      </c>
    </row>
    <row r="1071" spans="1:15" x14ac:dyDescent="0.25">
      <c r="A1071" s="8">
        <v>35006</v>
      </c>
      <c r="B1071" s="9" t="s">
        <v>23</v>
      </c>
      <c r="C1071" s="9" t="s">
        <v>54</v>
      </c>
      <c r="D1071" s="9" t="s">
        <v>7</v>
      </c>
      <c r="E1071" s="9" t="s">
        <v>32</v>
      </c>
      <c r="F1071" s="9" t="str">
        <f t="shared" si="16"/>
        <v>Not Delivered</v>
      </c>
      <c r="G1071" s="9" t="b">
        <v>0</v>
      </c>
      <c r="H1071" s="9" t="s">
        <v>9</v>
      </c>
      <c r="I1071" s="8">
        <v>1310</v>
      </c>
      <c r="J1071" s="10">
        <v>579.63</v>
      </c>
      <c r="K1071" s="10">
        <v>117.53</v>
      </c>
      <c r="L1071" s="10">
        <v>0</v>
      </c>
      <c r="M1071" s="10">
        <v>697.16</v>
      </c>
      <c r="N1071" s="8">
        <v>1</v>
      </c>
      <c r="O1071" s="6">
        <v>4.8</v>
      </c>
    </row>
    <row r="1072" spans="1:15" x14ac:dyDescent="0.25">
      <c r="A1072" s="8">
        <v>67807</v>
      </c>
      <c r="B1072" s="9" t="s">
        <v>0</v>
      </c>
      <c r="C1072" s="9" t="s">
        <v>43</v>
      </c>
      <c r="D1072" s="9" t="s">
        <v>30</v>
      </c>
      <c r="E1072" s="9" t="s">
        <v>3</v>
      </c>
      <c r="F1072" s="9" t="str">
        <f t="shared" si="16"/>
        <v>Not Delivered</v>
      </c>
      <c r="G1072" s="9" t="b">
        <v>1</v>
      </c>
      <c r="H1072" s="9" t="s">
        <v>22</v>
      </c>
      <c r="I1072" s="8">
        <v>6139</v>
      </c>
      <c r="J1072" s="10">
        <v>1526.48</v>
      </c>
      <c r="K1072" s="10">
        <v>58.26</v>
      </c>
      <c r="L1072" s="10">
        <v>270.52999999999997</v>
      </c>
      <c r="M1072" s="10">
        <v>1855.27</v>
      </c>
      <c r="N1072" s="8">
        <v>1</v>
      </c>
      <c r="O1072" s="6">
        <v>1.5</v>
      </c>
    </row>
    <row r="1073" spans="1:15" x14ac:dyDescent="0.25">
      <c r="A1073" s="8">
        <v>64890</v>
      </c>
      <c r="B1073" s="9" t="s">
        <v>39</v>
      </c>
      <c r="C1073" s="9" t="s">
        <v>57</v>
      </c>
      <c r="D1073" s="9" t="s">
        <v>45</v>
      </c>
      <c r="E1073" s="9" t="s">
        <v>21</v>
      </c>
      <c r="F1073" s="9" t="str">
        <f t="shared" si="16"/>
        <v>Not Delivered</v>
      </c>
      <c r="G1073" s="9" t="b">
        <v>1</v>
      </c>
      <c r="H1073" s="9" t="s">
        <v>33</v>
      </c>
      <c r="I1073" s="8">
        <v>3481</v>
      </c>
      <c r="J1073" s="10">
        <v>770.32</v>
      </c>
      <c r="K1073" s="10">
        <v>90.17</v>
      </c>
      <c r="L1073" s="10">
        <v>142.5</v>
      </c>
      <c r="M1073" s="10">
        <v>1002.99</v>
      </c>
      <c r="N1073" s="8">
        <v>12</v>
      </c>
      <c r="O1073" s="6">
        <v>3.4</v>
      </c>
    </row>
    <row r="1074" spans="1:15" x14ac:dyDescent="0.25">
      <c r="A1074" s="8">
        <v>64127</v>
      </c>
      <c r="B1074" s="9" t="s">
        <v>39</v>
      </c>
      <c r="C1074" s="9" t="s">
        <v>52</v>
      </c>
      <c r="D1074" s="9" t="s">
        <v>25</v>
      </c>
      <c r="E1074" s="9" t="s">
        <v>13</v>
      </c>
      <c r="F1074" s="9" t="str">
        <f t="shared" si="16"/>
        <v>Delivered</v>
      </c>
      <c r="G1074" s="9" t="b">
        <v>1</v>
      </c>
      <c r="H1074" s="9" t="s">
        <v>22</v>
      </c>
      <c r="I1074" s="8">
        <v>4340</v>
      </c>
      <c r="J1074" s="10">
        <v>1278.72</v>
      </c>
      <c r="K1074" s="10">
        <v>61.17</v>
      </c>
      <c r="L1074" s="10">
        <v>229.76</v>
      </c>
      <c r="M1074" s="10">
        <v>1569.65</v>
      </c>
      <c r="N1074" s="8">
        <v>7</v>
      </c>
      <c r="O1074" s="6">
        <v>1.3</v>
      </c>
    </row>
    <row r="1075" spans="1:15" x14ac:dyDescent="0.25">
      <c r="A1075" s="8">
        <v>63788</v>
      </c>
      <c r="B1075" s="9" t="s">
        <v>41</v>
      </c>
      <c r="C1075" s="9" t="s">
        <v>61</v>
      </c>
      <c r="D1075" s="9" t="s">
        <v>50</v>
      </c>
      <c r="E1075" s="9" t="s">
        <v>17</v>
      </c>
      <c r="F1075" s="9" t="str">
        <f t="shared" si="16"/>
        <v>Not Delivered</v>
      </c>
      <c r="G1075" s="9" t="b">
        <v>0</v>
      </c>
      <c r="H1075" s="9" t="s">
        <v>4</v>
      </c>
      <c r="I1075" s="8">
        <v>9221</v>
      </c>
      <c r="J1075" s="10">
        <v>734.75</v>
      </c>
      <c r="K1075" s="10">
        <v>122.76</v>
      </c>
      <c r="L1075" s="10">
        <v>0</v>
      </c>
      <c r="M1075" s="10">
        <v>857.51</v>
      </c>
      <c r="N1075" s="8">
        <v>7</v>
      </c>
    </row>
    <row r="1076" spans="1:15" x14ac:dyDescent="0.25">
      <c r="A1076" s="8">
        <v>90147</v>
      </c>
      <c r="B1076" s="9" t="s">
        <v>39</v>
      </c>
      <c r="C1076" s="9" t="s">
        <v>58</v>
      </c>
      <c r="D1076" s="9" t="s">
        <v>25</v>
      </c>
      <c r="E1076" s="9" t="s">
        <v>21</v>
      </c>
      <c r="F1076" s="9" t="str">
        <f t="shared" si="16"/>
        <v>Not Delivered</v>
      </c>
      <c r="G1076" s="9" t="b">
        <v>0</v>
      </c>
      <c r="H1076" s="9" t="s">
        <v>33</v>
      </c>
      <c r="I1076" s="8">
        <v>8726</v>
      </c>
      <c r="J1076" s="10">
        <v>601.29</v>
      </c>
      <c r="K1076" s="10">
        <v>118.64</v>
      </c>
      <c r="L1076" s="10">
        <v>0</v>
      </c>
      <c r="M1076" s="10">
        <v>719.93</v>
      </c>
      <c r="N1076" s="8">
        <v>7</v>
      </c>
      <c r="O1076" s="6">
        <v>2.2000000000000002</v>
      </c>
    </row>
    <row r="1077" spans="1:15" x14ac:dyDescent="0.25">
      <c r="A1077" s="8">
        <v>18163</v>
      </c>
      <c r="B1077" s="9" t="s">
        <v>23</v>
      </c>
      <c r="C1077" s="9" t="s">
        <v>49</v>
      </c>
      <c r="D1077" s="9" t="s">
        <v>35</v>
      </c>
      <c r="E1077" s="9" t="s">
        <v>8</v>
      </c>
      <c r="F1077" s="9" t="str">
        <f t="shared" si="16"/>
        <v>Not Delivered</v>
      </c>
      <c r="G1077" s="9" t="b">
        <v>0</v>
      </c>
      <c r="H1077" s="9" t="s">
        <v>4</v>
      </c>
      <c r="I1077" s="8">
        <v>3262</v>
      </c>
      <c r="J1077" s="10">
        <v>1167.1199999999999</v>
      </c>
      <c r="K1077" s="10">
        <v>0</v>
      </c>
      <c r="L1077" s="10">
        <v>0</v>
      </c>
      <c r="M1077" s="10">
        <v>1167.1199999999999</v>
      </c>
      <c r="N1077" s="8">
        <v>5</v>
      </c>
      <c r="O1077" s="6">
        <v>3.4</v>
      </c>
    </row>
    <row r="1078" spans="1:15" x14ac:dyDescent="0.25">
      <c r="A1078" s="8">
        <v>77984</v>
      </c>
      <c r="B1078" s="9" t="s">
        <v>41</v>
      </c>
      <c r="C1078" s="9" t="s">
        <v>42</v>
      </c>
      <c r="D1078" s="9" t="s">
        <v>35</v>
      </c>
      <c r="E1078" s="9" t="s">
        <v>3</v>
      </c>
      <c r="F1078" s="9" t="str">
        <f t="shared" si="16"/>
        <v>Not Delivered</v>
      </c>
      <c r="G1078" s="9" t="b">
        <v>1</v>
      </c>
      <c r="H1078" s="9" t="s">
        <v>22</v>
      </c>
      <c r="I1078" s="8">
        <v>4397</v>
      </c>
      <c r="J1078" s="10">
        <v>846.98</v>
      </c>
      <c r="K1078" s="10">
        <v>0</v>
      </c>
      <c r="L1078" s="10">
        <v>86.34</v>
      </c>
      <c r="M1078" s="10">
        <v>933.32</v>
      </c>
      <c r="N1078" s="8">
        <v>11</v>
      </c>
      <c r="O1078" s="6">
        <v>4.5999999999999996</v>
      </c>
    </row>
    <row r="1079" spans="1:15" x14ac:dyDescent="0.25">
      <c r="A1079" s="8">
        <v>83516</v>
      </c>
      <c r="B1079" s="9" t="s">
        <v>41</v>
      </c>
      <c r="C1079" s="9" t="s">
        <v>46</v>
      </c>
      <c r="D1079" s="9" t="s">
        <v>35</v>
      </c>
      <c r="E1079" s="9" t="s">
        <v>17</v>
      </c>
      <c r="F1079" s="9" t="str">
        <f t="shared" si="16"/>
        <v>Not Delivered</v>
      </c>
      <c r="G1079" s="9" t="b">
        <v>0</v>
      </c>
      <c r="H1079" s="9" t="s">
        <v>28</v>
      </c>
      <c r="I1079" s="8">
        <v>6325</v>
      </c>
      <c r="J1079" s="10">
        <v>2321.31</v>
      </c>
      <c r="K1079" s="10">
        <v>143.22999999999999</v>
      </c>
      <c r="L1079" s="10">
        <v>0</v>
      </c>
      <c r="M1079" s="10">
        <v>2464.54</v>
      </c>
      <c r="N1079" s="8">
        <v>1</v>
      </c>
    </row>
    <row r="1080" spans="1:15" x14ac:dyDescent="0.25">
      <c r="A1080" s="8">
        <v>96799</v>
      </c>
      <c r="B1080" s="9" t="s">
        <v>41</v>
      </c>
      <c r="C1080" s="9" t="s">
        <v>47</v>
      </c>
      <c r="D1080" s="9" t="s">
        <v>38</v>
      </c>
      <c r="E1080" s="9" t="s">
        <v>13</v>
      </c>
      <c r="F1080" s="9" t="str">
        <f t="shared" si="16"/>
        <v>Delivered</v>
      </c>
      <c r="G1080" s="9" t="b">
        <v>0</v>
      </c>
      <c r="H1080" s="9" t="s">
        <v>22</v>
      </c>
      <c r="I1080" s="8">
        <v>8837</v>
      </c>
      <c r="J1080" s="10">
        <v>1140.21</v>
      </c>
      <c r="K1080" s="10">
        <v>57.88</v>
      </c>
      <c r="L1080" s="10">
        <v>0</v>
      </c>
      <c r="M1080" s="10">
        <v>1198.0899999999999</v>
      </c>
      <c r="N1080" s="8">
        <v>7</v>
      </c>
      <c r="O1080" s="6">
        <v>1.7</v>
      </c>
    </row>
    <row r="1081" spans="1:15" x14ac:dyDescent="0.25">
      <c r="A1081" s="8">
        <v>78875</v>
      </c>
      <c r="B1081" s="9" t="s">
        <v>0</v>
      </c>
      <c r="C1081" s="9" t="s">
        <v>1</v>
      </c>
      <c r="D1081" s="9" t="s">
        <v>19</v>
      </c>
      <c r="E1081" s="9" t="s">
        <v>8</v>
      </c>
      <c r="F1081" s="9" t="str">
        <f t="shared" si="16"/>
        <v>Not Delivered</v>
      </c>
      <c r="G1081" s="9" t="b">
        <v>1</v>
      </c>
      <c r="H1081" s="9" t="s">
        <v>14</v>
      </c>
      <c r="I1081" s="8">
        <v>7173</v>
      </c>
      <c r="J1081" s="10">
        <v>1530.81</v>
      </c>
      <c r="K1081" s="10">
        <v>61.64</v>
      </c>
      <c r="L1081" s="10">
        <v>199.49</v>
      </c>
      <c r="M1081" s="10">
        <v>1791.94</v>
      </c>
      <c r="N1081" s="8">
        <v>10</v>
      </c>
      <c r="O1081" s="6">
        <v>4.4000000000000004</v>
      </c>
    </row>
    <row r="1082" spans="1:15" x14ac:dyDescent="0.25">
      <c r="A1082" s="8">
        <v>51124</v>
      </c>
      <c r="B1082" s="9" t="s">
        <v>5</v>
      </c>
      <c r="C1082" s="9" t="s">
        <v>56</v>
      </c>
      <c r="D1082" s="9" t="s">
        <v>50</v>
      </c>
      <c r="E1082" s="9" t="s">
        <v>21</v>
      </c>
      <c r="F1082" s="9" t="str">
        <f t="shared" si="16"/>
        <v>Not Delivered</v>
      </c>
      <c r="G1082" s="9" t="b">
        <v>0</v>
      </c>
      <c r="H1082" s="9" t="s">
        <v>22</v>
      </c>
      <c r="I1082" s="8">
        <v>3837</v>
      </c>
      <c r="J1082" s="10">
        <v>1518.67</v>
      </c>
      <c r="K1082" s="10">
        <v>0</v>
      </c>
      <c r="L1082" s="10">
        <v>0</v>
      </c>
      <c r="M1082" s="10">
        <v>1518.67</v>
      </c>
      <c r="N1082" s="8">
        <v>5</v>
      </c>
      <c r="O1082" s="6">
        <v>4.0999999999999996</v>
      </c>
    </row>
    <row r="1083" spans="1:15" x14ac:dyDescent="0.25">
      <c r="A1083" s="8">
        <v>70249</v>
      </c>
      <c r="B1083" s="9" t="s">
        <v>5</v>
      </c>
      <c r="C1083" s="9" t="s">
        <v>59</v>
      </c>
      <c r="D1083" s="9" t="s">
        <v>19</v>
      </c>
      <c r="E1083" s="9" t="s">
        <v>17</v>
      </c>
      <c r="F1083" s="9" t="str">
        <f t="shared" si="16"/>
        <v>Not Delivered</v>
      </c>
      <c r="G1083" s="9" t="b">
        <v>0</v>
      </c>
      <c r="H1083" s="9" t="s">
        <v>14</v>
      </c>
      <c r="I1083" s="8">
        <v>9734</v>
      </c>
      <c r="J1083" s="10">
        <v>1116.94</v>
      </c>
      <c r="K1083" s="10">
        <v>0</v>
      </c>
      <c r="L1083" s="10">
        <v>0</v>
      </c>
      <c r="M1083" s="10">
        <v>1116.94</v>
      </c>
      <c r="N1083" s="8">
        <v>5</v>
      </c>
    </row>
    <row r="1084" spans="1:15" x14ac:dyDescent="0.25">
      <c r="A1084" s="8">
        <v>54869</v>
      </c>
      <c r="B1084" s="9" t="s">
        <v>39</v>
      </c>
      <c r="C1084" s="9" t="s">
        <v>40</v>
      </c>
      <c r="D1084" s="9" t="s">
        <v>35</v>
      </c>
      <c r="E1084" s="9" t="s">
        <v>32</v>
      </c>
      <c r="F1084" s="9" t="str">
        <f t="shared" si="16"/>
        <v>Not Delivered</v>
      </c>
      <c r="G1084" s="9" t="b">
        <v>0</v>
      </c>
      <c r="H1084" s="9" t="s">
        <v>4</v>
      </c>
      <c r="I1084" s="8">
        <v>9950</v>
      </c>
      <c r="J1084" s="10">
        <v>470.17</v>
      </c>
      <c r="K1084" s="10">
        <v>59.68</v>
      </c>
      <c r="L1084" s="10">
        <v>0</v>
      </c>
      <c r="M1084" s="10">
        <v>529.85</v>
      </c>
      <c r="N1084" s="8">
        <v>2</v>
      </c>
      <c r="O1084" s="6">
        <v>1.1000000000000001</v>
      </c>
    </row>
    <row r="1085" spans="1:15" x14ac:dyDescent="0.25">
      <c r="A1085" s="8">
        <v>56437</v>
      </c>
      <c r="B1085" s="9" t="s">
        <v>41</v>
      </c>
      <c r="C1085" s="9" t="s">
        <v>61</v>
      </c>
      <c r="E1085" s="9" t="s">
        <v>21</v>
      </c>
      <c r="F1085" s="9" t="str">
        <f t="shared" si="16"/>
        <v>Not Delivered</v>
      </c>
      <c r="G1085" s="9" t="b">
        <v>0</v>
      </c>
      <c r="H1085" s="9" t="s">
        <v>4</v>
      </c>
      <c r="I1085" s="8">
        <v>5331</v>
      </c>
      <c r="J1085" s="10">
        <v>1901.96</v>
      </c>
      <c r="K1085" s="10">
        <v>96.06</v>
      </c>
      <c r="L1085" s="10">
        <v>0</v>
      </c>
      <c r="M1085" s="10">
        <v>1998.02</v>
      </c>
      <c r="N1085" s="8">
        <v>11</v>
      </c>
      <c r="O1085" s="6">
        <v>3.2</v>
      </c>
    </row>
    <row r="1086" spans="1:15" x14ac:dyDescent="0.25">
      <c r="A1086" s="8">
        <v>89963</v>
      </c>
      <c r="B1086" s="9" t="s">
        <v>10</v>
      </c>
      <c r="C1086" s="9" t="s">
        <v>11</v>
      </c>
      <c r="D1086" s="9" t="s">
        <v>16</v>
      </c>
      <c r="E1086" s="9" t="s">
        <v>13</v>
      </c>
      <c r="F1086" s="9" t="str">
        <f t="shared" si="16"/>
        <v>Delivered</v>
      </c>
      <c r="G1086" s="9" t="b">
        <v>0</v>
      </c>
      <c r="H1086" s="9" t="s">
        <v>9</v>
      </c>
      <c r="I1086" s="8">
        <v>8932</v>
      </c>
      <c r="J1086" s="10">
        <v>707.32</v>
      </c>
      <c r="K1086" s="10">
        <v>65.180000000000007</v>
      </c>
      <c r="L1086" s="10">
        <v>0</v>
      </c>
      <c r="M1086" s="10">
        <v>772.5</v>
      </c>
      <c r="N1086" s="8">
        <v>4</v>
      </c>
      <c r="O1086" s="6">
        <v>1.7</v>
      </c>
    </row>
    <row r="1087" spans="1:15" x14ac:dyDescent="0.25">
      <c r="A1087" s="8">
        <v>35200</v>
      </c>
      <c r="B1087" s="9" t="s">
        <v>5</v>
      </c>
      <c r="C1087" s="9" t="s">
        <v>31</v>
      </c>
      <c r="D1087" s="9" t="s">
        <v>35</v>
      </c>
      <c r="E1087" s="9" t="s">
        <v>13</v>
      </c>
      <c r="F1087" s="9" t="str">
        <f t="shared" si="16"/>
        <v>Delivered</v>
      </c>
      <c r="G1087" s="9" t="b">
        <v>0</v>
      </c>
      <c r="H1087" s="9" t="s">
        <v>33</v>
      </c>
      <c r="I1087" s="8">
        <v>5038</v>
      </c>
      <c r="J1087" s="10">
        <v>2160.27</v>
      </c>
      <c r="K1087" s="10">
        <v>113.14</v>
      </c>
      <c r="L1087" s="10">
        <v>0</v>
      </c>
      <c r="M1087" s="10">
        <v>2273.41</v>
      </c>
      <c r="N1087" s="8">
        <v>2</v>
      </c>
      <c r="O1087" s="6">
        <v>4.9000000000000004</v>
      </c>
    </row>
    <row r="1088" spans="1:15" x14ac:dyDescent="0.25">
      <c r="A1088" s="8">
        <v>46569</v>
      </c>
      <c r="B1088" s="9" t="s">
        <v>10</v>
      </c>
      <c r="C1088" s="9" t="s">
        <v>20</v>
      </c>
      <c r="D1088" s="9" t="s">
        <v>50</v>
      </c>
      <c r="E1088" s="9" t="s">
        <v>21</v>
      </c>
      <c r="F1088" s="9" t="str">
        <f t="shared" si="16"/>
        <v>Not Delivered</v>
      </c>
      <c r="G1088" s="9" t="b">
        <v>1</v>
      </c>
      <c r="H1088" s="9" t="s">
        <v>22</v>
      </c>
      <c r="I1088" s="8">
        <v>5890</v>
      </c>
      <c r="J1088" s="10">
        <v>1381.55</v>
      </c>
      <c r="K1088" s="10">
        <v>0</v>
      </c>
      <c r="L1088" s="10">
        <v>156.49</v>
      </c>
      <c r="M1088" s="10">
        <v>1538.04</v>
      </c>
      <c r="N1088" s="8">
        <v>7</v>
      </c>
      <c r="O1088" s="6">
        <v>1.1000000000000001</v>
      </c>
    </row>
    <row r="1089" spans="1:15" x14ac:dyDescent="0.25">
      <c r="A1089" s="8">
        <v>39473</v>
      </c>
      <c r="B1089" s="9" t="s">
        <v>39</v>
      </c>
      <c r="C1089" s="9" t="s">
        <v>40</v>
      </c>
      <c r="D1089" s="9" t="s">
        <v>7</v>
      </c>
      <c r="E1089" s="9" t="s">
        <v>32</v>
      </c>
      <c r="F1089" s="9" t="str">
        <f t="shared" si="16"/>
        <v>Not Delivered</v>
      </c>
      <c r="G1089" s="9" t="b">
        <v>1</v>
      </c>
      <c r="H1089" s="9" t="s">
        <v>14</v>
      </c>
      <c r="I1089" s="8">
        <v>5876</v>
      </c>
      <c r="J1089" s="10">
        <v>612.9</v>
      </c>
      <c r="K1089" s="10">
        <v>87.84</v>
      </c>
      <c r="L1089" s="10">
        <v>34.89</v>
      </c>
      <c r="M1089" s="10">
        <v>735.63</v>
      </c>
      <c r="N1089" s="8">
        <v>4</v>
      </c>
      <c r="O1089" s="6">
        <v>3.3</v>
      </c>
    </row>
    <row r="1090" spans="1:15" x14ac:dyDescent="0.25">
      <c r="A1090" s="8">
        <v>47880</v>
      </c>
      <c r="B1090" s="9" t="s">
        <v>0</v>
      </c>
      <c r="C1090" s="9" t="s">
        <v>37</v>
      </c>
      <c r="D1090" s="9" t="s">
        <v>27</v>
      </c>
      <c r="E1090" s="9" t="s">
        <v>8</v>
      </c>
      <c r="F1090" s="9" t="str">
        <f t="shared" si="16"/>
        <v>Not Delivered</v>
      </c>
      <c r="G1090" s="9" t="b">
        <v>0</v>
      </c>
      <c r="H1090" s="9" t="s">
        <v>22</v>
      </c>
      <c r="I1090" s="8">
        <v>4396</v>
      </c>
      <c r="J1090" s="10">
        <v>1057.6199999999999</v>
      </c>
      <c r="K1090" s="10">
        <v>71.78</v>
      </c>
      <c r="L1090" s="10">
        <v>0</v>
      </c>
      <c r="M1090" s="10">
        <v>1129.4000000000001</v>
      </c>
      <c r="N1090" s="8">
        <v>6</v>
      </c>
      <c r="O1090" s="6">
        <v>3.5</v>
      </c>
    </row>
    <row r="1091" spans="1:15" x14ac:dyDescent="0.25">
      <c r="A1091" s="8">
        <v>74094</v>
      </c>
      <c r="B1091" s="9" t="s">
        <v>0</v>
      </c>
      <c r="C1091" s="9" t="s">
        <v>51</v>
      </c>
      <c r="D1091" s="9" t="s">
        <v>45</v>
      </c>
      <c r="E1091" s="9" t="s">
        <v>32</v>
      </c>
      <c r="F1091" s="9" t="str">
        <f t="shared" ref="F1091:F1154" si="17">IF(OR(
E1091="Failed Delivery",
E1091="Cancelled",
E1091="Pending",
E1091="Rescheduled",
E1091="In Transit"
),"Not Delivered","Delivered")</f>
        <v>Not Delivered</v>
      </c>
      <c r="G1091" s="9" t="b">
        <v>0</v>
      </c>
      <c r="H1091" s="9" t="s">
        <v>14</v>
      </c>
      <c r="I1091" s="8">
        <v>6194</v>
      </c>
      <c r="J1091" s="10">
        <v>978.8</v>
      </c>
      <c r="K1091" s="10">
        <v>72.510000000000005</v>
      </c>
      <c r="L1091" s="10">
        <v>0</v>
      </c>
      <c r="M1091" s="10">
        <v>1051.31</v>
      </c>
      <c r="N1091" s="8">
        <v>8</v>
      </c>
      <c r="O1091" s="6">
        <v>2.1</v>
      </c>
    </row>
    <row r="1092" spans="1:15" x14ac:dyDescent="0.25">
      <c r="A1092" s="8">
        <v>72888</v>
      </c>
      <c r="B1092" s="9" t="s">
        <v>23</v>
      </c>
      <c r="C1092" s="9" t="s">
        <v>54</v>
      </c>
      <c r="D1092" s="9" t="s">
        <v>16</v>
      </c>
      <c r="E1092" s="9" t="s">
        <v>21</v>
      </c>
      <c r="F1092" s="9" t="str">
        <f t="shared" si="17"/>
        <v>Not Delivered</v>
      </c>
      <c r="G1092" s="9" t="b">
        <v>0</v>
      </c>
      <c r="H1092" s="9" t="s">
        <v>22</v>
      </c>
      <c r="I1092" s="8">
        <v>6714</v>
      </c>
      <c r="J1092" s="10">
        <v>971.96</v>
      </c>
      <c r="K1092" s="10">
        <v>83.41</v>
      </c>
      <c r="L1092" s="10">
        <v>0</v>
      </c>
      <c r="M1092" s="10">
        <v>1055.3699999999999</v>
      </c>
      <c r="N1092" s="8">
        <v>11</v>
      </c>
      <c r="O1092" s="6">
        <v>4.5999999999999996</v>
      </c>
    </row>
    <row r="1093" spans="1:15" x14ac:dyDescent="0.25">
      <c r="A1093" s="8">
        <v>83464</v>
      </c>
      <c r="B1093" s="9" t="s">
        <v>39</v>
      </c>
      <c r="C1093" s="9" t="s">
        <v>58</v>
      </c>
      <c r="D1093" s="9" t="s">
        <v>2</v>
      </c>
      <c r="E1093" s="9" t="s">
        <v>32</v>
      </c>
      <c r="F1093" s="9" t="str">
        <f t="shared" si="17"/>
        <v>Not Delivered</v>
      </c>
      <c r="G1093" s="9" t="b">
        <v>1</v>
      </c>
      <c r="H1093" s="9" t="s">
        <v>28</v>
      </c>
      <c r="I1093" s="8">
        <v>5480</v>
      </c>
      <c r="J1093" s="10">
        <v>662.62</v>
      </c>
      <c r="K1093" s="10">
        <v>111.89</v>
      </c>
      <c r="L1093" s="10">
        <v>39.99</v>
      </c>
      <c r="M1093" s="10">
        <v>814.5</v>
      </c>
      <c r="N1093" s="8">
        <v>12</v>
      </c>
      <c r="O1093" s="6">
        <v>1.1000000000000001</v>
      </c>
    </row>
    <row r="1094" spans="1:15" x14ac:dyDescent="0.25">
      <c r="A1094" s="8">
        <v>47721</v>
      </c>
      <c r="B1094" s="9" t="s">
        <v>41</v>
      </c>
      <c r="C1094" s="9" t="s">
        <v>42</v>
      </c>
      <c r="D1094" s="9" t="s">
        <v>7</v>
      </c>
      <c r="E1094" s="9" t="s">
        <v>3</v>
      </c>
      <c r="F1094" s="9" t="str">
        <f t="shared" si="17"/>
        <v>Not Delivered</v>
      </c>
      <c r="G1094" s="9" t="b">
        <v>0</v>
      </c>
      <c r="H1094" s="9" t="s">
        <v>33</v>
      </c>
      <c r="I1094" s="8">
        <v>2996</v>
      </c>
      <c r="J1094" s="10">
        <v>1805.6</v>
      </c>
      <c r="K1094" s="10">
        <v>52.27</v>
      </c>
      <c r="L1094" s="10">
        <v>0</v>
      </c>
      <c r="M1094" s="10">
        <v>1857.87</v>
      </c>
      <c r="N1094" s="8">
        <v>9</v>
      </c>
      <c r="O1094" s="6">
        <v>1.8</v>
      </c>
    </row>
    <row r="1095" spans="1:15" x14ac:dyDescent="0.25">
      <c r="A1095" s="8">
        <v>85166</v>
      </c>
      <c r="B1095" s="9" t="s">
        <v>0</v>
      </c>
      <c r="C1095" s="9" t="s">
        <v>53</v>
      </c>
      <c r="D1095" s="9" t="s">
        <v>45</v>
      </c>
      <c r="E1095" s="9" t="s">
        <v>3</v>
      </c>
      <c r="F1095" s="9" t="str">
        <f t="shared" si="17"/>
        <v>Not Delivered</v>
      </c>
      <c r="G1095" s="9" t="b">
        <v>1</v>
      </c>
      <c r="H1095" s="9" t="s">
        <v>28</v>
      </c>
      <c r="I1095" s="8">
        <v>9899</v>
      </c>
      <c r="J1095" s="10">
        <v>439.1</v>
      </c>
      <c r="K1095" s="10">
        <v>95.29</v>
      </c>
      <c r="L1095" s="10">
        <v>113.27</v>
      </c>
      <c r="M1095" s="10">
        <v>647.66</v>
      </c>
      <c r="N1095" s="8">
        <v>2</v>
      </c>
      <c r="O1095" s="6">
        <v>1.8</v>
      </c>
    </row>
    <row r="1096" spans="1:15" x14ac:dyDescent="0.25">
      <c r="A1096" s="8">
        <v>59767</v>
      </c>
      <c r="B1096" s="9" t="s">
        <v>0</v>
      </c>
      <c r="C1096" s="9" t="s">
        <v>43</v>
      </c>
      <c r="D1096" s="9" t="s">
        <v>7</v>
      </c>
      <c r="E1096" s="9" t="s">
        <v>32</v>
      </c>
      <c r="F1096" s="9" t="str">
        <f t="shared" si="17"/>
        <v>Not Delivered</v>
      </c>
      <c r="G1096" s="9" t="b">
        <v>1</v>
      </c>
      <c r="H1096" s="9" t="s">
        <v>9</v>
      </c>
      <c r="I1096" s="8">
        <v>7464</v>
      </c>
      <c r="J1096" s="10">
        <v>882.03</v>
      </c>
      <c r="K1096" s="10">
        <v>0</v>
      </c>
      <c r="L1096" s="10">
        <v>225.03</v>
      </c>
      <c r="M1096" s="10">
        <v>1107.06</v>
      </c>
      <c r="N1096" s="8">
        <v>2</v>
      </c>
      <c r="O1096" s="6">
        <v>4.4000000000000004</v>
      </c>
    </row>
    <row r="1097" spans="1:15" x14ac:dyDescent="0.25">
      <c r="A1097" s="8">
        <v>55237</v>
      </c>
      <c r="B1097" s="9" t="s">
        <v>0</v>
      </c>
      <c r="C1097" s="9" t="s">
        <v>1</v>
      </c>
      <c r="D1097" s="9" t="s">
        <v>16</v>
      </c>
      <c r="E1097" s="9" t="s">
        <v>17</v>
      </c>
      <c r="F1097" s="9" t="str">
        <f t="shared" si="17"/>
        <v>Not Delivered</v>
      </c>
      <c r="G1097" s="9" t="b">
        <v>0</v>
      </c>
      <c r="H1097" s="9" t="s">
        <v>14</v>
      </c>
      <c r="I1097" s="8">
        <v>3399</v>
      </c>
      <c r="J1097" s="10">
        <v>161.36000000000001</v>
      </c>
      <c r="K1097" s="10">
        <v>27.42</v>
      </c>
      <c r="L1097" s="10">
        <v>0</v>
      </c>
      <c r="M1097" s="10">
        <v>188.78</v>
      </c>
      <c r="N1097" s="8">
        <v>14</v>
      </c>
      <c r="O1097" s="6">
        <v>2.9</v>
      </c>
    </row>
    <row r="1098" spans="1:15" x14ac:dyDescent="0.25">
      <c r="A1098" s="8">
        <v>48070</v>
      </c>
      <c r="B1098" s="9" t="s">
        <v>39</v>
      </c>
      <c r="C1098" s="9" t="s">
        <v>52</v>
      </c>
      <c r="D1098" s="9" t="s">
        <v>16</v>
      </c>
      <c r="E1098" s="9" t="s">
        <v>8</v>
      </c>
      <c r="F1098" s="9" t="str">
        <f t="shared" si="17"/>
        <v>Not Delivered</v>
      </c>
      <c r="G1098" s="9" t="b">
        <v>1</v>
      </c>
      <c r="H1098" s="9" t="s">
        <v>14</v>
      </c>
      <c r="I1098" s="8">
        <v>1689</v>
      </c>
      <c r="J1098" s="10">
        <v>1334.37</v>
      </c>
      <c r="K1098" s="10">
        <v>121.58</v>
      </c>
      <c r="L1098" s="10">
        <v>222.12</v>
      </c>
      <c r="M1098" s="10">
        <v>1678.07</v>
      </c>
      <c r="N1098" s="8">
        <v>12</v>
      </c>
    </row>
    <row r="1099" spans="1:15" x14ac:dyDescent="0.25">
      <c r="A1099" s="8">
        <v>47700</v>
      </c>
      <c r="B1099" s="9" t="s">
        <v>5</v>
      </c>
      <c r="C1099" s="9" t="s">
        <v>56</v>
      </c>
      <c r="D1099" s="9" t="s">
        <v>50</v>
      </c>
      <c r="E1099" s="9" t="s">
        <v>21</v>
      </c>
      <c r="F1099" s="9" t="str">
        <f t="shared" si="17"/>
        <v>Not Delivered</v>
      </c>
      <c r="G1099" s="9" t="b">
        <v>0</v>
      </c>
      <c r="H1099" s="9" t="s">
        <v>14</v>
      </c>
      <c r="I1099" s="8">
        <v>2294</v>
      </c>
      <c r="J1099" s="10">
        <v>1118.69</v>
      </c>
      <c r="K1099" s="10">
        <v>112.93</v>
      </c>
      <c r="L1099" s="10">
        <v>0</v>
      </c>
      <c r="M1099" s="10">
        <v>1231.6199999999999</v>
      </c>
      <c r="N1099" s="8">
        <v>7</v>
      </c>
      <c r="O1099" s="6">
        <v>1.4</v>
      </c>
    </row>
    <row r="1100" spans="1:15" x14ac:dyDescent="0.25">
      <c r="A1100" s="8">
        <v>55398</v>
      </c>
      <c r="B1100" s="9" t="s">
        <v>5</v>
      </c>
      <c r="C1100" s="9" t="s">
        <v>31</v>
      </c>
      <c r="D1100" s="9" t="s">
        <v>45</v>
      </c>
      <c r="E1100" s="9" t="s">
        <v>8</v>
      </c>
      <c r="F1100" s="9" t="str">
        <f t="shared" si="17"/>
        <v>Not Delivered</v>
      </c>
      <c r="G1100" s="9" t="b">
        <v>1</v>
      </c>
      <c r="H1100" s="9" t="s">
        <v>9</v>
      </c>
      <c r="I1100" s="8">
        <v>8247</v>
      </c>
      <c r="J1100" s="10">
        <v>588.59</v>
      </c>
      <c r="K1100" s="10">
        <v>83.98</v>
      </c>
      <c r="L1100" s="10">
        <v>181.51</v>
      </c>
      <c r="M1100" s="10">
        <v>854.08</v>
      </c>
      <c r="N1100" s="8">
        <v>2</v>
      </c>
      <c r="O1100" s="6">
        <v>3.8</v>
      </c>
    </row>
    <row r="1101" spans="1:15" x14ac:dyDescent="0.25">
      <c r="A1101" s="8">
        <v>95979</v>
      </c>
      <c r="B1101" s="9" t="s">
        <v>23</v>
      </c>
      <c r="C1101" s="9" t="s">
        <v>49</v>
      </c>
      <c r="D1101" s="9" t="s">
        <v>25</v>
      </c>
      <c r="E1101" s="9" t="s">
        <v>32</v>
      </c>
      <c r="F1101" s="9" t="str">
        <f t="shared" si="17"/>
        <v>Not Delivered</v>
      </c>
      <c r="G1101" s="9" t="b">
        <v>0</v>
      </c>
      <c r="H1101" s="9" t="s">
        <v>28</v>
      </c>
      <c r="I1101" s="8">
        <v>5201</v>
      </c>
      <c r="J1101" s="10">
        <v>1125.96</v>
      </c>
      <c r="K1101" s="10">
        <v>83.07</v>
      </c>
      <c r="L1101" s="10">
        <v>0</v>
      </c>
      <c r="M1101" s="10">
        <v>1209.03</v>
      </c>
      <c r="N1101" s="8">
        <v>12</v>
      </c>
      <c r="O1101" s="6">
        <v>2.1</v>
      </c>
    </row>
    <row r="1102" spans="1:15" x14ac:dyDescent="0.25">
      <c r="A1102" s="8">
        <v>72793</v>
      </c>
      <c r="B1102" s="9" t="s">
        <v>41</v>
      </c>
      <c r="C1102" s="9" t="s">
        <v>61</v>
      </c>
      <c r="D1102" s="9" t="s">
        <v>7</v>
      </c>
      <c r="E1102" s="9" t="s">
        <v>21</v>
      </c>
      <c r="F1102" s="9" t="str">
        <f t="shared" si="17"/>
        <v>Not Delivered</v>
      </c>
      <c r="G1102" s="9" t="b">
        <v>0</v>
      </c>
      <c r="H1102" s="9" t="s">
        <v>22</v>
      </c>
      <c r="I1102" s="8">
        <v>4505</v>
      </c>
      <c r="J1102" s="10">
        <v>357.07</v>
      </c>
      <c r="K1102" s="10">
        <v>91.01</v>
      </c>
      <c r="L1102" s="10">
        <v>0</v>
      </c>
      <c r="M1102" s="10">
        <v>448.08</v>
      </c>
      <c r="N1102" s="8">
        <v>12</v>
      </c>
      <c r="O1102" s="6">
        <v>4.8</v>
      </c>
    </row>
    <row r="1103" spans="1:15" x14ac:dyDescent="0.25">
      <c r="A1103" s="8">
        <v>36485</v>
      </c>
      <c r="B1103" s="9" t="s">
        <v>10</v>
      </c>
      <c r="C1103" s="9" t="s">
        <v>20</v>
      </c>
      <c r="D1103" s="9" t="s">
        <v>25</v>
      </c>
      <c r="E1103" s="9" t="s">
        <v>32</v>
      </c>
      <c r="F1103" s="9" t="str">
        <f t="shared" si="17"/>
        <v>Not Delivered</v>
      </c>
      <c r="G1103" s="9" t="b">
        <v>1</v>
      </c>
      <c r="H1103" s="9" t="s">
        <v>18</v>
      </c>
      <c r="I1103" s="8">
        <v>9824</v>
      </c>
      <c r="J1103" s="10">
        <v>1454.85</v>
      </c>
      <c r="K1103" s="10">
        <v>65.44</v>
      </c>
      <c r="L1103" s="10">
        <v>80.37</v>
      </c>
      <c r="M1103" s="10">
        <v>1600.66</v>
      </c>
      <c r="N1103" s="8">
        <v>14</v>
      </c>
      <c r="O1103" s="6">
        <v>3.5</v>
      </c>
    </row>
    <row r="1104" spans="1:15" x14ac:dyDescent="0.25">
      <c r="A1104" s="8">
        <v>45537</v>
      </c>
      <c r="B1104" s="9" t="s">
        <v>10</v>
      </c>
      <c r="C1104" s="9" t="s">
        <v>29</v>
      </c>
      <c r="D1104" s="9" t="s">
        <v>35</v>
      </c>
      <c r="E1104" s="9" t="s">
        <v>8</v>
      </c>
      <c r="F1104" s="9" t="str">
        <f t="shared" si="17"/>
        <v>Not Delivered</v>
      </c>
      <c r="G1104" s="9" t="b">
        <v>0</v>
      </c>
      <c r="H1104" s="9" t="s">
        <v>28</v>
      </c>
      <c r="I1104" s="8">
        <v>5450</v>
      </c>
      <c r="J1104" s="10">
        <v>1210.05</v>
      </c>
      <c r="K1104" s="10">
        <v>0</v>
      </c>
      <c r="L1104" s="10">
        <v>0</v>
      </c>
      <c r="M1104" s="10">
        <v>1210.05</v>
      </c>
      <c r="N1104" s="8">
        <v>8</v>
      </c>
      <c r="O1104" s="6">
        <v>1.7</v>
      </c>
    </row>
    <row r="1105" spans="1:15" x14ac:dyDescent="0.25">
      <c r="A1105" s="8">
        <v>27992</v>
      </c>
      <c r="B1105" s="9" t="s">
        <v>41</v>
      </c>
      <c r="C1105" s="9" t="s">
        <v>61</v>
      </c>
      <c r="D1105" s="9" t="s">
        <v>12</v>
      </c>
      <c r="E1105" s="9" t="s">
        <v>13</v>
      </c>
      <c r="F1105" s="9" t="str">
        <f t="shared" si="17"/>
        <v>Delivered</v>
      </c>
      <c r="G1105" s="9" t="b">
        <v>1</v>
      </c>
      <c r="H1105" s="9" t="s">
        <v>28</v>
      </c>
      <c r="I1105" s="8">
        <v>2789</v>
      </c>
      <c r="J1105" s="10">
        <v>1451.34</v>
      </c>
      <c r="K1105" s="10">
        <v>142.61000000000001</v>
      </c>
      <c r="L1105" s="10">
        <v>176.31</v>
      </c>
      <c r="M1105" s="10">
        <v>1770.26</v>
      </c>
      <c r="N1105" s="8">
        <v>7</v>
      </c>
    </row>
    <row r="1106" spans="1:15" x14ac:dyDescent="0.25">
      <c r="A1106" s="8">
        <v>90698</v>
      </c>
      <c r="B1106" s="9" t="s">
        <v>10</v>
      </c>
      <c r="C1106" s="9" t="s">
        <v>29</v>
      </c>
      <c r="D1106" s="9" t="s">
        <v>25</v>
      </c>
      <c r="E1106" s="9" t="s">
        <v>8</v>
      </c>
      <c r="F1106" s="9" t="str">
        <f t="shared" si="17"/>
        <v>Not Delivered</v>
      </c>
      <c r="G1106" s="9" t="b">
        <v>1</v>
      </c>
      <c r="H1106" s="9" t="s">
        <v>14</v>
      </c>
      <c r="I1106" s="8">
        <v>4920</v>
      </c>
      <c r="J1106" s="10">
        <v>526.19000000000005</v>
      </c>
      <c r="K1106" s="10">
        <v>0</v>
      </c>
      <c r="L1106" s="10">
        <v>67.83</v>
      </c>
      <c r="M1106" s="10">
        <v>594.02</v>
      </c>
      <c r="N1106" s="8">
        <v>8</v>
      </c>
      <c r="O1106" s="6">
        <v>3.6</v>
      </c>
    </row>
    <row r="1107" spans="1:15" x14ac:dyDescent="0.25">
      <c r="A1107" s="8">
        <v>41779</v>
      </c>
      <c r="B1107" s="9" t="s">
        <v>41</v>
      </c>
      <c r="C1107" s="9" t="s">
        <v>46</v>
      </c>
      <c r="D1107" s="9" t="s">
        <v>38</v>
      </c>
      <c r="E1107" s="9" t="s">
        <v>21</v>
      </c>
      <c r="F1107" s="9" t="str">
        <f t="shared" si="17"/>
        <v>Not Delivered</v>
      </c>
      <c r="G1107" s="9" t="b">
        <v>1</v>
      </c>
      <c r="H1107" s="9" t="s">
        <v>14</v>
      </c>
      <c r="I1107" s="8">
        <v>1831</v>
      </c>
      <c r="J1107" s="10">
        <v>1931.03</v>
      </c>
      <c r="K1107" s="10">
        <v>53.28</v>
      </c>
      <c r="L1107" s="10">
        <v>150.74</v>
      </c>
      <c r="M1107" s="10">
        <v>2135.0500000000002</v>
      </c>
      <c r="N1107" s="8">
        <v>5</v>
      </c>
      <c r="O1107" s="6">
        <v>3.1</v>
      </c>
    </row>
    <row r="1108" spans="1:15" x14ac:dyDescent="0.25">
      <c r="A1108" s="8">
        <v>97796</v>
      </c>
      <c r="B1108" s="9" t="s">
        <v>5</v>
      </c>
      <c r="C1108" s="9" t="s">
        <v>6</v>
      </c>
      <c r="D1108" s="9" t="s">
        <v>2</v>
      </c>
      <c r="E1108" s="9" t="s">
        <v>13</v>
      </c>
      <c r="F1108" s="9" t="str">
        <f t="shared" si="17"/>
        <v>Delivered</v>
      </c>
      <c r="G1108" s="9" t="b">
        <v>1</v>
      </c>
      <c r="H1108" s="9" t="s">
        <v>18</v>
      </c>
      <c r="I1108" s="8">
        <v>9700</v>
      </c>
      <c r="J1108" s="10">
        <v>1227.26</v>
      </c>
      <c r="L1108" s="10">
        <v>61.42</v>
      </c>
      <c r="M1108" s="10">
        <v>1363.15</v>
      </c>
      <c r="N1108" s="8">
        <v>12</v>
      </c>
      <c r="O1108" s="6">
        <v>1.2</v>
      </c>
    </row>
    <row r="1109" spans="1:15" x14ac:dyDescent="0.25">
      <c r="A1109" s="8">
        <v>39579</v>
      </c>
      <c r="B1109" s="9" t="s">
        <v>10</v>
      </c>
      <c r="C1109" s="9" t="s">
        <v>26</v>
      </c>
      <c r="D1109" s="9" t="s">
        <v>45</v>
      </c>
      <c r="E1109" s="9" t="s">
        <v>3</v>
      </c>
      <c r="F1109" s="9" t="str">
        <f t="shared" si="17"/>
        <v>Not Delivered</v>
      </c>
      <c r="G1109" s="9" t="b">
        <v>1</v>
      </c>
      <c r="H1109" s="9" t="s">
        <v>4</v>
      </c>
      <c r="I1109" s="8">
        <v>4814</v>
      </c>
      <c r="J1109" s="10">
        <v>1511.91</v>
      </c>
      <c r="K1109" s="10">
        <v>141.75</v>
      </c>
      <c r="L1109" s="10">
        <v>106.09</v>
      </c>
      <c r="M1109" s="10">
        <v>1759.75</v>
      </c>
      <c r="N1109" s="8">
        <v>4</v>
      </c>
      <c r="O1109" s="6">
        <v>4</v>
      </c>
    </row>
    <row r="1110" spans="1:15" x14ac:dyDescent="0.25">
      <c r="A1110" s="8">
        <v>16880</v>
      </c>
      <c r="B1110" s="9" t="s">
        <v>41</v>
      </c>
      <c r="C1110" s="9" t="s">
        <v>47</v>
      </c>
      <c r="D1110" s="9" t="s">
        <v>2</v>
      </c>
      <c r="E1110" s="9" t="s">
        <v>32</v>
      </c>
      <c r="F1110" s="9" t="str">
        <f t="shared" si="17"/>
        <v>Not Delivered</v>
      </c>
      <c r="G1110" s="9" t="b">
        <v>1</v>
      </c>
      <c r="H1110" s="9" t="s">
        <v>18</v>
      </c>
      <c r="I1110" s="8">
        <v>2641</v>
      </c>
      <c r="J1110" s="10">
        <v>1001.49</v>
      </c>
      <c r="K1110" s="10">
        <v>69.64</v>
      </c>
      <c r="L1110" s="10">
        <v>162.51</v>
      </c>
      <c r="M1110" s="10">
        <v>1233.6400000000001</v>
      </c>
      <c r="N1110" s="8">
        <v>4</v>
      </c>
    </row>
    <row r="1111" spans="1:15" x14ac:dyDescent="0.25">
      <c r="A1111" s="8">
        <v>64172</v>
      </c>
      <c r="B1111" s="9" t="s">
        <v>39</v>
      </c>
      <c r="C1111" s="9" t="s">
        <v>52</v>
      </c>
      <c r="D1111" s="9" t="s">
        <v>45</v>
      </c>
      <c r="E1111" s="9" t="s">
        <v>17</v>
      </c>
      <c r="F1111" s="9" t="str">
        <f t="shared" si="17"/>
        <v>Not Delivered</v>
      </c>
      <c r="G1111" s="9" t="b">
        <v>1</v>
      </c>
      <c r="H1111" s="9" t="s">
        <v>33</v>
      </c>
      <c r="I1111" s="8">
        <v>6411</v>
      </c>
      <c r="J1111" s="10">
        <v>888.45</v>
      </c>
      <c r="K1111" s="10">
        <v>136.11000000000001</v>
      </c>
      <c r="L1111" s="10">
        <v>266.61</v>
      </c>
      <c r="M1111" s="10">
        <v>1291.17</v>
      </c>
      <c r="N1111" s="8">
        <v>4</v>
      </c>
      <c r="O1111" s="6">
        <v>3.5</v>
      </c>
    </row>
    <row r="1112" spans="1:15" x14ac:dyDescent="0.25">
      <c r="A1112" s="8">
        <v>71918</v>
      </c>
      <c r="B1112" s="9" t="s">
        <v>39</v>
      </c>
      <c r="C1112" s="9" t="s">
        <v>55</v>
      </c>
      <c r="D1112" s="9" t="s">
        <v>27</v>
      </c>
      <c r="E1112" s="9" t="s">
        <v>13</v>
      </c>
      <c r="F1112" s="9" t="str">
        <f t="shared" si="17"/>
        <v>Delivered</v>
      </c>
      <c r="G1112" s="9" t="b">
        <v>0</v>
      </c>
      <c r="H1112" s="9" t="s">
        <v>33</v>
      </c>
      <c r="I1112" s="8">
        <v>2647</v>
      </c>
      <c r="J1112" s="10">
        <v>464.46</v>
      </c>
      <c r="K1112" s="10">
        <v>72.33</v>
      </c>
      <c r="L1112" s="10">
        <v>0</v>
      </c>
      <c r="M1112" s="10">
        <v>536.79</v>
      </c>
      <c r="N1112" s="8">
        <v>9</v>
      </c>
      <c r="O1112" s="6">
        <v>2.1</v>
      </c>
    </row>
    <row r="1113" spans="1:15" x14ac:dyDescent="0.25">
      <c r="A1113" s="8">
        <v>99285</v>
      </c>
      <c r="B1113" s="9" t="s">
        <v>41</v>
      </c>
      <c r="C1113" s="9" t="s">
        <v>46</v>
      </c>
      <c r="D1113" s="9" t="s">
        <v>45</v>
      </c>
      <c r="E1113" s="9" t="s">
        <v>17</v>
      </c>
      <c r="F1113" s="9" t="str">
        <f t="shared" si="17"/>
        <v>Not Delivered</v>
      </c>
      <c r="G1113" s="9" t="b">
        <v>0</v>
      </c>
      <c r="H1113" s="9" t="s">
        <v>33</v>
      </c>
      <c r="I1113" s="8">
        <v>3252</v>
      </c>
      <c r="J1113" s="10">
        <v>1050.51</v>
      </c>
      <c r="K1113" s="10">
        <v>100.31</v>
      </c>
      <c r="L1113" s="10">
        <v>0</v>
      </c>
      <c r="M1113" s="10">
        <v>1150.82</v>
      </c>
      <c r="N1113" s="8">
        <v>2</v>
      </c>
      <c r="O1113" s="6">
        <v>4.8</v>
      </c>
    </row>
    <row r="1114" spans="1:15" x14ac:dyDescent="0.25">
      <c r="A1114" s="8">
        <v>10679</v>
      </c>
      <c r="B1114" s="9" t="s">
        <v>41</v>
      </c>
      <c r="C1114" s="9" t="s">
        <v>42</v>
      </c>
      <c r="D1114" s="9" t="s">
        <v>45</v>
      </c>
      <c r="E1114" s="9" t="s">
        <v>13</v>
      </c>
      <c r="F1114" s="9" t="str">
        <f t="shared" si="17"/>
        <v>Delivered</v>
      </c>
      <c r="G1114" s="9" t="b">
        <v>0</v>
      </c>
      <c r="H1114" s="9" t="s">
        <v>22</v>
      </c>
      <c r="I1114" s="8">
        <v>3587</v>
      </c>
      <c r="J1114" s="10">
        <v>1390.73</v>
      </c>
      <c r="K1114" s="10">
        <v>0</v>
      </c>
      <c r="L1114" s="10">
        <v>0</v>
      </c>
      <c r="M1114" s="10">
        <v>1390.73</v>
      </c>
      <c r="N1114" s="8">
        <v>11</v>
      </c>
      <c r="O1114" s="6">
        <v>4.7</v>
      </c>
    </row>
    <row r="1115" spans="1:15" x14ac:dyDescent="0.25">
      <c r="A1115" s="8">
        <v>63334</v>
      </c>
      <c r="B1115" s="9" t="s">
        <v>0</v>
      </c>
      <c r="C1115" s="9" t="s">
        <v>43</v>
      </c>
      <c r="D1115" s="9" t="s">
        <v>45</v>
      </c>
      <c r="E1115" s="9" t="s">
        <v>17</v>
      </c>
      <c r="F1115" s="9" t="str">
        <f t="shared" si="17"/>
        <v>Not Delivered</v>
      </c>
      <c r="G1115" s="9" t="b">
        <v>1</v>
      </c>
      <c r="H1115" s="9" t="s">
        <v>22</v>
      </c>
      <c r="I1115" s="8">
        <v>8793</v>
      </c>
      <c r="J1115" s="10">
        <v>1507.22</v>
      </c>
      <c r="K1115" s="10">
        <v>0</v>
      </c>
      <c r="L1115" s="10">
        <v>60.66</v>
      </c>
      <c r="M1115" s="10">
        <v>1567.88</v>
      </c>
      <c r="N1115" s="8">
        <v>9</v>
      </c>
      <c r="O1115" s="6">
        <v>4.0999999999999996</v>
      </c>
    </row>
    <row r="1116" spans="1:15" x14ac:dyDescent="0.25">
      <c r="A1116" s="8">
        <v>72580</v>
      </c>
      <c r="B1116" s="9" t="s">
        <v>10</v>
      </c>
      <c r="C1116" s="9" t="s">
        <v>15</v>
      </c>
      <c r="D1116" s="9" t="s">
        <v>7</v>
      </c>
      <c r="E1116" s="9" t="s">
        <v>32</v>
      </c>
      <c r="F1116" s="9" t="str">
        <f t="shared" si="17"/>
        <v>Not Delivered</v>
      </c>
      <c r="G1116" s="9" t="b">
        <v>0</v>
      </c>
      <c r="H1116" s="9" t="s">
        <v>18</v>
      </c>
      <c r="I1116" s="8">
        <v>4267</v>
      </c>
      <c r="J1116" s="10">
        <v>499.55</v>
      </c>
      <c r="K1116" s="10">
        <v>75.39</v>
      </c>
      <c r="L1116" s="10">
        <v>0</v>
      </c>
      <c r="M1116" s="10">
        <v>574.94000000000005</v>
      </c>
      <c r="N1116" s="8">
        <v>3</v>
      </c>
      <c r="O1116" s="6">
        <v>2.6</v>
      </c>
    </row>
    <row r="1117" spans="1:15" x14ac:dyDescent="0.25">
      <c r="A1117" s="8">
        <v>47649</v>
      </c>
      <c r="B1117" s="9" t="s">
        <v>0</v>
      </c>
      <c r="C1117" s="9" t="s">
        <v>53</v>
      </c>
      <c r="D1117" s="9" t="s">
        <v>50</v>
      </c>
      <c r="E1117" s="9" t="s">
        <v>3</v>
      </c>
      <c r="F1117" s="9" t="str">
        <f t="shared" si="17"/>
        <v>Not Delivered</v>
      </c>
      <c r="G1117" s="9" t="b">
        <v>0</v>
      </c>
      <c r="H1117" s="9" t="s">
        <v>14</v>
      </c>
      <c r="I1117" s="8">
        <v>6262</v>
      </c>
      <c r="J1117" s="10">
        <v>687.37</v>
      </c>
      <c r="K1117" s="10">
        <v>97.38</v>
      </c>
      <c r="L1117" s="10">
        <v>0</v>
      </c>
      <c r="M1117" s="10">
        <v>784.75</v>
      </c>
      <c r="N1117" s="8">
        <v>13</v>
      </c>
      <c r="O1117" s="6">
        <v>1.9</v>
      </c>
    </row>
    <row r="1118" spans="1:15" x14ac:dyDescent="0.25">
      <c r="A1118" s="8">
        <v>47409</v>
      </c>
      <c r="B1118" s="9" t="s">
        <v>10</v>
      </c>
      <c r="C1118" s="9" t="s">
        <v>11</v>
      </c>
      <c r="D1118" s="9" t="s">
        <v>16</v>
      </c>
      <c r="E1118" s="9" t="s">
        <v>21</v>
      </c>
      <c r="F1118" s="9" t="str">
        <f t="shared" si="17"/>
        <v>Not Delivered</v>
      </c>
      <c r="G1118" s="9" t="b">
        <v>0</v>
      </c>
      <c r="H1118" s="9" t="s">
        <v>9</v>
      </c>
      <c r="I1118" s="8">
        <v>1969</v>
      </c>
      <c r="J1118" s="10">
        <v>375.47</v>
      </c>
      <c r="K1118" s="10">
        <v>50.03</v>
      </c>
      <c r="L1118" s="10">
        <v>0</v>
      </c>
      <c r="M1118" s="10">
        <v>425.5</v>
      </c>
      <c r="N1118" s="8">
        <v>14</v>
      </c>
      <c r="O1118" s="6">
        <v>2.8</v>
      </c>
    </row>
    <row r="1119" spans="1:15" x14ac:dyDescent="0.25">
      <c r="A1119" s="8">
        <v>21725</v>
      </c>
      <c r="B1119" s="9" t="s">
        <v>39</v>
      </c>
      <c r="C1119" s="9" t="s">
        <v>57</v>
      </c>
      <c r="D1119" s="9" t="s">
        <v>50</v>
      </c>
      <c r="E1119" s="9" t="s">
        <v>17</v>
      </c>
      <c r="F1119" s="9" t="str">
        <f t="shared" si="17"/>
        <v>Not Delivered</v>
      </c>
      <c r="G1119" s="9" t="b">
        <v>0</v>
      </c>
      <c r="H1119" s="9" t="s">
        <v>14</v>
      </c>
      <c r="I1119" s="8">
        <v>4804</v>
      </c>
      <c r="J1119" s="10">
        <v>1162.3599999999999</v>
      </c>
      <c r="K1119" s="10">
        <v>146.87</v>
      </c>
      <c r="L1119" s="10">
        <v>0</v>
      </c>
      <c r="M1119" s="10">
        <v>1309.23</v>
      </c>
      <c r="N1119" s="8">
        <v>11</v>
      </c>
      <c r="O1119" s="6">
        <v>4.9000000000000004</v>
      </c>
    </row>
    <row r="1120" spans="1:15" x14ac:dyDescent="0.25">
      <c r="A1120" s="8">
        <v>80143</v>
      </c>
      <c r="B1120" s="9" t="s">
        <v>0</v>
      </c>
      <c r="C1120" s="9" t="s">
        <v>53</v>
      </c>
      <c r="D1120" s="9" t="s">
        <v>16</v>
      </c>
      <c r="E1120" s="9" t="s">
        <v>13</v>
      </c>
      <c r="F1120" s="9" t="str">
        <f t="shared" si="17"/>
        <v>Delivered</v>
      </c>
      <c r="G1120" s="9" t="b">
        <v>0</v>
      </c>
      <c r="H1120" s="9" t="s">
        <v>18</v>
      </c>
      <c r="I1120" s="8">
        <v>1611</v>
      </c>
      <c r="J1120" s="10">
        <v>494.2</v>
      </c>
      <c r="K1120" s="10">
        <v>78.75</v>
      </c>
      <c r="L1120" s="10">
        <v>0</v>
      </c>
      <c r="M1120" s="10">
        <v>572.95000000000005</v>
      </c>
      <c r="N1120" s="8">
        <v>14</v>
      </c>
      <c r="O1120" s="6">
        <v>2.2999999999999998</v>
      </c>
    </row>
    <row r="1121" spans="1:15" x14ac:dyDescent="0.25">
      <c r="A1121" s="8">
        <v>32946</v>
      </c>
      <c r="B1121" s="9" t="s">
        <v>41</v>
      </c>
      <c r="C1121" s="9" t="s">
        <v>46</v>
      </c>
      <c r="D1121" s="9" t="s">
        <v>7</v>
      </c>
      <c r="E1121" s="9" t="s">
        <v>13</v>
      </c>
      <c r="F1121" s="9" t="str">
        <f t="shared" si="17"/>
        <v>Delivered</v>
      </c>
      <c r="G1121" s="9" t="b">
        <v>0</v>
      </c>
      <c r="H1121" s="9" t="s">
        <v>22</v>
      </c>
      <c r="I1121" s="8">
        <v>7846</v>
      </c>
      <c r="J1121" s="10">
        <v>2054.44</v>
      </c>
      <c r="K1121" s="10">
        <v>94.01</v>
      </c>
      <c r="L1121" s="10">
        <v>0</v>
      </c>
      <c r="M1121" s="10">
        <v>2148.4499999999998</v>
      </c>
      <c r="N1121" s="8">
        <v>2</v>
      </c>
    </row>
    <row r="1122" spans="1:15" x14ac:dyDescent="0.25">
      <c r="A1122" s="8">
        <v>33040</v>
      </c>
      <c r="B1122" s="9" t="s">
        <v>39</v>
      </c>
      <c r="C1122" s="9" t="s">
        <v>55</v>
      </c>
      <c r="D1122" s="9" t="s">
        <v>19</v>
      </c>
      <c r="E1122" s="9" t="s">
        <v>13</v>
      </c>
      <c r="F1122" s="9" t="str">
        <f t="shared" si="17"/>
        <v>Delivered</v>
      </c>
      <c r="G1122" s="9" t="b">
        <v>0</v>
      </c>
      <c r="H1122" s="9" t="s">
        <v>18</v>
      </c>
      <c r="I1122" s="8">
        <v>1595</v>
      </c>
      <c r="J1122" s="10">
        <v>747.22</v>
      </c>
      <c r="K1122" s="10">
        <v>54.6</v>
      </c>
      <c r="L1122" s="10">
        <v>0</v>
      </c>
      <c r="M1122" s="10">
        <v>801.82</v>
      </c>
      <c r="N1122" s="8">
        <v>12</v>
      </c>
      <c r="O1122" s="6">
        <v>3.8</v>
      </c>
    </row>
    <row r="1123" spans="1:15" x14ac:dyDescent="0.25">
      <c r="A1123" s="8">
        <v>62034</v>
      </c>
      <c r="B1123" s="9" t="s">
        <v>41</v>
      </c>
      <c r="C1123" s="9" t="s">
        <v>42</v>
      </c>
      <c r="D1123" s="9" t="s">
        <v>50</v>
      </c>
      <c r="E1123" s="9" t="s">
        <v>17</v>
      </c>
      <c r="F1123" s="9" t="str">
        <f t="shared" si="17"/>
        <v>Not Delivered</v>
      </c>
      <c r="G1123" s="9" t="b">
        <v>0</v>
      </c>
      <c r="H1123" s="9" t="s">
        <v>9</v>
      </c>
      <c r="I1123" s="8">
        <v>9116</v>
      </c>
      <c r="J1123" s="10">
        <v>430.5</v>
      </c>
      <c r="K1123" s="10">
        <v>29.21</v>
      </c>
      <c r="L1123" s="10">
        <v>0</v>
      </c>
      <c r="M1123" s="10">
        <v>459.71</v>
      </c>
      <c r="N1123" s="8">
        <v>5</v>
      </c>
      <c r="O1123" s="6">
        <v>2.8</v>
      </c>
    </row>
    <row r="1124" spans="1:15" x14ac:dyDescent="0.25">
      <c r="A1124" s="8">
        <v>34420</v>
      </c>
      <c r="B1124" s="9" t="s">
        <v>23</v>
      </c>
      <c r="C1124" s="9" t="s">
        <v>48</v>
      </c>
      <c r="D1124" s="9" t="s">
        <v>50</v>
      </c>
      <c r="E1124" s="9" t="s">
        <v>21</v>
      </c>
      <c r="F1124" s="9" t="str">
        <f t="shared" si="17"/>
        <v>Not Delivered</v>
      </c>
      <c r="G1124" s="9" t="b">
        <v>0</v>
      </c>
      <c r="H1124" s="9" t="s">
        <v>28</v>
      </c>
      <c r="I1124" s="8">
        <v>5742</v>
      </c>
      <c r="J1124" s="10">
        <v>360.87</v>
      </c>
      <c r="K1124" s="10">
        <v>98.29</v>
      </c>
      <c r="L1124" s="10">
        <v>0</v>
      </c>
      <c r="M1124" s="10">
        <v>459.16</v>
      </c>
      <c r="N1124" s="8">
        <v>14</v>
      </c>
      <c r="O1124" s="6">
        <v>1.6</v>
      </c>
    </row>
    <row r="1125" spans="1:15" x14ac:dyDescent="0.25">
      <c r="A1125" s="8">
        <v>14910</v>
      </c>
      <c r="B1125" s="9" t="s">
        <v>41</v>
      </c>
      <c r="C1125" s="9" t="s">
        <v>47</v>
      </c>
      <c r="D1125" s="9" t="s">
        <v>25</v>
      </c>
      <c r="E1125" s="9" t="s">
        <v>32</v>
      </c>
      <c r="F1125" s="9" t="str">
        <f t="shared" si="17"/>
        <v>Not Delivered</v>
      </c>
      <c r="G1125" s="9" t="b">
        <v>0</v>
      </c>
      <c r="H1125" s="9" t="s">
        <v>14</v>
      </c>
      <c r="I1125" s="8">
        <v>1151</v>
      </c>
      <c r="J1125" s="10">
        <v>1264.17</v>
      </c>
      <c r="K1125" s="10">
        <v>104.66</v>
      </c>
      <c r="L1125" s="10">
        <v>0</v>
      </c>
      <c r="M1125" s="10">
        <v>1368.83</v>
      </c>
      <c r="N1125" s="8">
        <v>9</v>
      </c>
      <c r="O1125" s="6">
        <v>2.2000000000000002</v>
      </c>
    </row>
    <row r="1126" spans="1:15" x14ac:dyDescent="0.25">
      <c r="A1126" s="8">
        <v>49110</v>
      </c>
      <c r="B1126" s="9" t="s">
        <v>5</v>
      </c>
      <c r="C1126" s="9" t="s">
        <v>31</v>
      </c>
      <c r="D1126" s="9" t="s">
        <v>45</v>
      </c>
      <c r="E1126" s="9" t="s">
        <v>32</v>
      </c>
      <c r="F1126" s="9" t="str">
        <f t="shared" si="17"/>
        <v>Not Delivered</v>
      </c>
      <c r="G1126" s="9" t="b">
        <v>0</v>
      </c>
      <c r="H1126" s="9" t="s">
        <v>9</v>
      </c>
      <c r="I1126" s="8">
        <v>2758</v>
      </c>
      <c r="J1126" s="10">
        <v>1836.23</v>
      </c>
      <c r="K1126" s="10">
        <v>135.34</v>
      </c>
      <c r="L1126" s="10">
        <v>0</v>
      </c>
      <c r="M1126" s="10">
        <v>1971.57</v>
      </c>
      <c r="N1126" s="8">
        <v>12</v>
      </c>
      <c r="O1126" s="6">
        <v>1.7</v>
      </c>
    </row>
    <row r="1127" spans="1:15" x14ac:dyDescent="0.25">
      <c r="A1127" s="8">
        <v>53914</v>
      </c>
      <c r="B1127" s="9" t="s">
        <v>10</v>
      </c>
      <c r="C1127" s="9" t="s">
        <v>11</v>
      </c>
      <c r="D1127" s="9" t="s">
        <v>7</v>
      </c>
      <c r="E1127" s="9" t="s">
        <v>17</v>
      </c>
      <c r="F1127" s="9" t="str">
        <f t="shared" si="17"/>
        <v>Not Delivered</v>
      </c>
      <c r="G1127" s="9" t="b">
        <v>0</v>
      </c>
      <c r="H1127" s="9" t="s">
        <v>22</v>
      </c>
      <c r="I1127" s="8">
        <v>5662</v>
      </c>
      <c r="J1127" s="10">
        <v>478.07</v>
      </c>
      <c r="K1127" s="10">
        <v>97.86</v>
      </c>
      <c r="L1127" s="10">
        <v>0</v>
      </c>
      <c r="M1127" s="10">
        <v>575.92999999999995</v>
      </c>
      <c r="N1127" s="8">
        <v>5</v>
      </c>
      <c r="O1127" s="6">
        <v>4.7</v>
      </c>
    </row>
    <row r="1128" spans="1:15" x14ac:dyDescent="0.25">
      <c r="A1128" s="8">
        <v>69552</v>
      </c>
      <c r="B1128" s="9" t="s">
        <v>39</v>
      </c>
      <c r="C1128" s="9" t="s">
        <v>58</v>
      </c>
      <c r="D1128" s="9" t="s">
        <v>35</v>
      </c>
      <c r="E1128" s="9" t="s">
        <v>21</v>
      </c>
      <c r="F1128" s="9" t="str">
        <f t="shared" si="17"/>
        <v>Not Delivered</v>
      </c>
      <c r="G1128" s="9" t="b">
        <v>1</v>
      </c>
      <c r="H1128" s="9" t="s">
        <v>9</v>
      </c>
      <c r="I1128" s="8">
        <v>9901</v>
      </c>
      <c r="J1128" s="10">
        <v>642.76</v>
      </c>
      <c r="L1128" s="10">
        <v>101.62</v>
      </c>
      <c r="M1128" s="10">
        <v>799.18</v>
      </c>
      <c r="N1128" s="8">
        <v>7</v>
      </c>
      <c r="O1128" s="6">
        <v>4.8</v>
      </c>
    </row>
    <row r="1129" spans="1:15" x14ac:dyDescent="0.25">
      <c r="A1129" s="8">
        <v>78723</v>
      </c>
      <c r="B1129" s="9" t="s">
        <v>10</v>
      </c>
      <c r="C1129" s="9" t="s">
        <v>15</v>
      </c>
      <c r="D1129" s="9" t="s">
        <v>7</v>
      </c>
      <c r="E1129" s="9" t="s">
        <v>21</v>
      </c>
      <c r="F1129" s="9" t="str">
        <f t="shared" si="17"/>
        <v>Not Delivered</v>
      </c>
      <c r="G1129" s="9" t="b">
        <v>1</v>
      </c>
      <c r="H1129" s="9" t="s">
        <v>14</v>
      </c>
      <c r="I1129" s="8">
        <v>9092</v>
      </c>
      <c r="J1129" s="10">
        <v>734.13</v>
      </c>
      <c r="K1129" s="10">
        <v>0</v>
      </c>
      <c r="L1129" s="10">
        <v>49.36</v>
      </c>
      <c r="M1129" s="10">
        <v>783.49</v>
      </c>
      <c r="N1129" s="8">
        <v>13</v>
      </c>
    </row>
    <row r="1130" spans="1:15" x14ac:dyDescent="0.25">
      <c r="A1130" s="8">
        <v>27589</v>
      </c>
      <c r="B1130" s="9" t="s">
        <v>5</v>
      </c>
      <c r="C1130" s="9" t="s">
        <v>59</v>
      </c>
      <c r="D1130" s="9" t="s">
        <v>38</v>
      </c>
      <c r="E1130" s="9" t="s">
        <v>32</v>
      </c>
      <c r="F1130" s="9" t="str">
        <f t="shared" si="17"/>
        <v>Not Delivered</v>
      </c>
      <c r="G1130" s="9" t="b">
        <v>1</v>
      </c>
      <c r="H1130" s="9" t="s">
        <v>22</v>
      </c>
      <c r="I1130" s="8">
        <v>9261</v>
      </c>
      <c r="J1130" s="10">
        <v>2321.7399999999998</v>
      </c>
      <c r="K1130" s="10">
        <v>149.29</v>
      </c>
      <c r="M1130" s="10">
        <v>2743.69</v>
      </c>
      <c r="N1130" s="8">
        <v>8</v>
      </c>
      <c r="O1130" s="6">
        <v>4.5</v>
      </c>
    </row>
    <row r="1131" spans="1:15" x14ac:dyDescent="0.25">
      <c r="A1131" s="8">
        <v>71344</v>
      </c>
      <c r="B1131" s="9" t="s">
        <v>10</v>
      </c>
      <c r="C1131" s="9" t="s">
        <v>26</v>
      </c>
      <c r="D1131" s="9" t="s">
        <v>16</v>
      </c>
      <c r="E1131" s="9" t="s">
        <v>17</v>
      </c>
      <c r="F1131" s="9" t="str">
        <f t="shared" si="17"/>
        <v>Not Delivered</v>
      </c>
      <c r="G1131" s="9" t="b">
        <v>0</v>
      </c>
      <c r="H1131" s="9" t="s">
        <v>9</v>
      </c>
      <c r="I1131" s="8">
        <v>5470</v>
      </c>
      <c r="J1131" s="10">
        <v>445.18</v>
      </c>
      <c r="K1131" s="10">
        <v>68.14</v>
      </c>
      <c r="L1131" s="10">
        <v>0</v>
      </c>
      <c r="M1131" s="10">
        <v>513.32000000000005</v>
      </c>
      <c r="N1131" s="8">
        <v>9</v>
      </c>
      <c r="O1131" s="6">
        <v>4</v>
      </c>
    </row>
    <row r="1132" spans="1:15" x14ac:dyDescent="0.25">
      <c r="A1132" s="8">
        <v>35272</v>
      </c>
      <c r="B1132" s="9" t="s">
        <v>41</v>
      </c>
      <c r="C1132" s="9" t="s">
        <v>61</v>
      </c>
      <c r="D1132" s="9" t="s">
        <v>2</v>
      </c>
      <c r="E1132" s="9" t="s">
        <v>8</v>
      </c>
      <c r="F1132" s="9" t="str">
        <f t="shared" si="17"/>
        <v>Not Delivered</v>
      </c>
      <c r="G1132" s="9" t="b">
        <v>1</v>
      </c>
      <c r="H1132" s="9" t="s">
        <v>14</v>
      </c>
      <c r="I1132" s="8">
        <v>2845</v>
      </c>
      <c r="J1132" s="10">
        <v>313.98</v>
      </c>
      <c r="K1132" s="10">
        <v>87.12</v>
      </c>
      <c r="L1132" s="10">
        <v>30.63</v>
      </c>
      <c r="M1132" s="10">
        <v>431.73</v>
      </c>
      <c r="N1132" s="8">
        <v>7</v>
      </c>
      <c r="O1132" s="6">
        <v>4.4000000000000004</v>
      </c>
    </row>
    <row r="1133" spans="1:15" x14ac:dyDescent="0.25">
      <c r="A1133" s="8">
        <v>53343</v>
      </c>
      <c r="B1133" s="9" t="s">
        <v>10</v>
      </c>
      <c r="C1133" s="9" t="s">
        <v>15</v>
      </c>
      <c r="D1133" s="9" t="s">
        <v>7</v>
      </c>
      <c r="E1133" s="9" t="s">
        <v>32</v>
      </c>
      <c r="F1133" s="9" t="str">
        <f t="shared" si="17"/>
        <v>Not Delivered</v>
      </c>
      <c r="G1133" s="9" t="b">
        <v>0</v>
      </c>
      <c r="H1133" s="9" t="s">
        <v>33</v>
      </c>
      <c r="I1133" s="8">
        <v>3662</v>
      </c>
      <c r="J1133" s="10">
        <v>969.73</v>
      </c>
      <c r="K1133" s="10">
        <v>126.99</v>
      </c>
      <c r="L1133" s="10">
        <v>0</v>
      </c>
      <c r="M1133" s="10">
        <v>1096.72</v>
      </c>
      <c r="N1133" s="8">
        <v>12</v>
      </c>
      <c r="O1133" s="6">
        <v>1.6</v>
      </c>
    </row>
    <row r="1134" spans="1:15" x14ac:dyDescent="0.25">
      <c r="A1134" s="8">
        <v>70150</v>
      </c>
      <c r="B1134" s="9" t="s">
        <v>23</v>
      </c>
      <c r="C1134" s="9" t="s">
        <v>60</v>
      </c>
      <c r="D1134" s="9" t="s">
        <v>19</v>
      </c>
      <c r="E1134" s="9" t="s">
        <v>8</v>
      </c>
      <c r="F1134" s="9" t="str">
        <f t="shared" si="17"/>
        <v>Not Delivered</v>
      </c>
      <c r="G1134" s="9" t="b">
        <v>1</v>
      </c>
      <c r="H1134" s="9" t="s">
        <v>28</v>
      </c>
      <c r="I1134" s="8">
        <v>5215</v>
      </c>
      <c r="J1134" s="10">
        <v>224.74</v>
      </c>
      <c r="K1134" s="10">
        <v>70.14</v>
      </c>
      <c r="L1134" s="10">
        <v>77</v>
      </c>
      <c r="M1134" s="10">
        <v>371.88</v>
      </c>
      <c r="N1134" s="8">
        <v>2</v>
      </c>
      <c r="O1134" s="6">
        <v>2.2999999999999998</v>
      </c>
    </row>
    <row r="1135" spans="1:15" x14ac:dyDescent="0.25">
      <c r="A1135" s="8">
        <v>34405</v>
      </c>
      <c r="B1135" s="9" t="s">
        <v>23</v>
      </c>
      <c r="C1135" s="9" t="s">
        <v>49</v>
      </c>
      <c r="E1135" s="9" t="s">
        <v>17</v>
      </c>
      <c r="F1135" s="9" t="str">
        <f t="shared" si="17"/>
        <v>Not Delivered</v>
      </c>
      <c r="G1135" s="9" t="b">
        <v>1</v>
      </c>
      <c r="H1135" s="9" t="s">
        <v>9</v>
      </c>
      <c r="I1135" s="8">
        <v>1230</v>
      </c>
      <c r="J1135" s="10">
        <v>615.37</v>
      </c>
      <c r="K1135" s="10">
        <v>73.3</v>
      </c>
      <c r="L1135" s="10">
        <v>102.73</v>
      </c>
      <c r="M1135" s="10">
        <v>791.4</v>
      </c>
      <c r="N1135" s="8">
        <v>8</v>
      </c>
    </row>
    <row r="1136" spans="1:15" x14ac:dyDescent="0.25">
      <c r="A1136" s="8">
        <v>54185</v>
      </c>
      <c r="B1136" s="9" t="s">
        <v>0</v>
      </c>
      <c r="C1136" s="9" t="s">
        <v>53</v>
      </c>
      <c r="D1136" s="9" t="s">
        <v>7</v>
      </c>
      <c r="E1136" s="9" t="s">
        <v>21</v>
      </c>
      <c r="F1136" s="9" t="str">
        <f t="shared" si="17"/>
        <v>Not Delivered</v>
      </c>
      <c r="G1136" s="9" t="b">
        <v>1</v>
      </c>
      <c r="H1136" s="9" t="s">
        <v>18</v>
      </c>
      <c r="I1136" s="8">
        <v>5833</v>
      </c>
      <c r="J1136" s="10">
        <v>777.69</v>
      </c>
      <c r="K1136" s="10">
        <v>89.92</v>
      </c>
      <c r="L1136" s="10">
        <v>238.53</v>
      </c>
      <c r="M1136" s="10">
        <v>1106.1400000000001</v>
      </c>
      <c r="N1136" s="8">
        <v>2</v>
      </c>
    </row>
    <row r="1137" spans="1:15" x14ac:dyDescent="0.25">
      <c r="A1137" s="8">
        <v>84420</v>
      </c>
      <c r="B1137" s="9" t="s">
        <v>0</v>
      </c>
      <c r="C1137" s="9" t="s">
        <v>43</v>
      </c>
      <c r="D1137" s="9" t="s">
        <v>19</v>
      </c>
      <c r="E1137" s="9" t="s">
        <v>32</v>
      </c>
      <c r="F1137" s="9" t="str">
        <f t="shared" si="17"/>
        <v>Not Delivered</v>
      </c>
      <c r="G1137" s="9" t="b">
        <v>1</v>
      </c>
      <c r="H1137" s="9" t="s">
        <v>4</v>
      </c>
      <c r="I1137" s="8">
        <v>4164</v>
      </c>
      <c r="J1137" s="10">
        <v>350.81</v>
      </c>
      <c r="K1137" s="10">
        <v>81.75</v>
      </c>
      <c r="L1137" s="10">
        <v>261.10000000000002</v>
      </c>
      <c r="M1137" s="10">
        <v>693.66</v>
      </c>
      <c r="N1137" s="8">
        <v>6</v>
      </c>
      <c r="O1137" s="6">
        <v>2.2999999999999998</v>
      </c>
    </row>
    <row r="1138" spans="1:15" x14ac:dyDescent="0.25">
      <c r="A1138" s="8">
        <v>33002</v>
      </c>
      <c r="B1138" s="9" t="s">
        <v>41</v>
      </c>
      <c r="C1138" s="9" t="s">
        <v>61</v>
      </c>
      <c r="D1138" s="9" t="s">
        <v>35</v>
      </c>
      <c r="E1138" s="9" t="s">
        <v>13</v>
      </c>
      <c r="F1138" s="9" t="str">
        <f t="shared" si="17"/>
        <v>Delivered</v>
      </c>
      <c r="G1138" s="9" t="b">
        <v>1</v>
      </c>
      <c r="H1138" s="9" t="s">
        <v>33</v>
      </c>
      <c r="I1138" s="8">
        <v>7643</v>
      </c>
      <c r="J1138" s="10">
        <v>1351.55</v>
      </c>
      <c r="K1138" s="10">
        <v>144.49</v>
      </c>
      <c r="L1138" s="10">
        <v>34.5</v>
      </c>
      <c r="M1138" s="10">
        <v>1530.54</v>
      </c>
      <c r="N1138" s="8">
        <v>7</v>
      </c>
      <c r="O1138" s="6">
        <v>4.4000000000000004</v>
      </c>
    </row>
    <row r="1139" spans="1:15" x14ac:dyDescent="0.25">
      <c r="A1139" s="8">
        <v>66059</v>
      </c>
      <c r="B1139" s="9" t="s">
        <v>5</v>
      </c>
      <c r="C1139" s="9" t="s">
        <v>44</v>
      </c>
      <c r="D1139" s="9" t="s">
        <v>27</v>
      </c>
      <c r="E1139" s="9" t="s">
        <v>13</v>
      </c>
      <c r="F1139" s="9" t="str">
        <f t="shared" si="17"/>
        <v>Delivered</v>
      </c>
      <c r="G1139" s="9" t="b">
        <v>1</v>
      </c>
      <c r="H1139" s="9" t="s">
        <v>4</v>
      </c>
      <c r="I1139" s="8">
        <v>9442</v>
      </c>
      <c r="J1139" s="10">
        <v>2375.66</v>
      </c>
      <c r="L1139" s="10">
        <v>281.39</v>
      </c>
      <c r="M1139" s="10">
        <v>2729.99</v>
      </c>
      <c r="N1139" s="8">
        <v>1</v>
      </c>
      <c r="O1139" s="6">
        <v>2.1</v>
      </c>
    </row>
    <row r="1140" spans="1:15" x14ac:dyDescent="0.25">
      <c r="A1140" s="8">
        <v>52982</v>
      </c>
      <c r="B1140" s="9" t="s">
        <v>23</v>
      </c>
      <c r="C1140" s="9" t="s">
        <v>24</v>
      </c>
      <c r="D1140" s="9" t="s">
        <v>2</v>
      </c>
      <c r="E1140" s="9" t="s">
        <v>32</v>
      </c>
      <c r="F1140" s="9" t="str">
        <f t="shared" si="17"/>
        <v>Not Delivered</v>
      </c>
      <c r="G1140" s="9" t="b">
        <v>1</v>
      </c>
      <c r="H1140" s="9" t="s">
        <v>14</v>
      </c>
      <c r="I1140" s="8">
        <v>2421</v>
      </c>
      <c r="J1140" s="10">
        <v>655.47</v>
      </c>
      <c r="K1140" s="10">
        <v>0</v>
      </c>
      <c r="L1140" s="10">
        <v>84.75</v>
      </c>
      <c r="M1140" s="10">
        <v>740.22</v>
      </c>
      <c r="N1140" s="8">
        <v>13</v>
      </c>
    </row>
    <row r="1141" spans="1:15" x14ac:dyDescent="0.25">
      <c r="A1141" s="8">
        <v>62538</v>
      </c>
      <c r="B1141" s="9" t="s">
        <v>0</v>
      </c>
      <c r="C1141" s="9" t="s">
        <v>51</v>
      </c>
      <c r="D1141" s="9" t="s">
        <v>7</v>
      </c>
      <c r="E1141" s="9" t="s">
        <v>13</v>
      </c>
      <c r="F1141" s="9" t="str">
        <f t="shared" si="17"/>
        <v>Delivered</v>
      </c>
      <c r="G1141" s="9" t="b">
        <v>1</v>
      </c>
      <c r="H1141" s="9" t="s">
        <v>4</v>
      </c>
      <c r="I1141" s="8">
        <v>2562</v>
      </c>
      <c r="J1141" s="10">
        <v>763.31</v>
      </c>
      <c r="K1141" s="10">
        <v>65.75</v>
      </c>
      <c r="L1141" s="10">
        <v>96.81</v>
      </c>
      <c r="M1141" s="10">
        <v>925.87</v>
      </c>
      <c r="N1141" s="8">
        <v>3</v>
      </c>
      <c r="O1141" s="6">
        <v>4.2</v>
      </c>
    </row>
    <row r="1142" spans="1:15" x14ac:dyDescent="0.25">
      <c r="A1142" s="8">
        <v>34219</v>
      </c>
      <c r="B1142" s="9" t="s">
        <v>23</v>
      </c>
      <c r="C1142" s="9" t="s">
        <v>60</v>
      </c>
      <c r="D1142" s="9" t="s">
        <v>35</v>
      </c>
      <c r="E1142" s="9" t="s">
        <v>17</v>
      </c>
      <c r="F1142" s="9" t="str">
        <f t="shared" si="17"/>
        <v>Not Delivered</v>
      </c>
      <c r="G1142" s="9" t="b">
        <v>0</v>
      </c>
      <c r="H1142" s="9" t="s">
        <v>9</v>
      </c>
      <c r="I1142" s="8">
        <v>3303</v>
      </c>
      <c r="J1142" s="10">
        <v>1568.03</v>
      </c>
      <c r="K1142" s="10">
        <v>112.53</v>
      </c>
      <c r="L1142" s="10">
        <v>0</v>
      </c>
      <c r="M1142" s="10">
        <v>1680.56</v>
      </c>
      <c r="N1142" s="8">
        <v>10</v>
      </c>
      <c r="O1142" s="6">
        <v>4.0999999999999996</v>
      </c>
    </row>
    <row r="1143" spans="1:15" x14ac:dyDescent="0.25">
      <c r="A1143" s="8">
        <v>72580</v>
      </c>
      <c r="B1143" s="9" t="s">
        <v>5</v>
      </c>
      <c r="C1143" s="9" t="s">
        <v>31</v>
      </c>
      <c r="D1143" s="9" t="s">
        <v>7</v>
      </c>
      <c r="E1143" s="9" t="s">
        <v>17</v>
      </c>
      <c r="F1143" s="9" t="str">
        <f t="shared" si="17"/>
        <v>Not Delivered</v>
      </c>
      <c r="G1143" s="9" t="b">
        <v>0</v>
      </c>
      <c r="H1143" s="9" t="s">
        <v>4</v>
      </c>
      <c r="I1143" s="8">
        <v>6301</v>
      </c>
      <c r="J1143" s="10">
        <v>2205.66</v>
      </c>
      <c r="K1143" s="10">
        <v>54.65</v>
      </c>
      <c r="L1143" s="10">
        <v>0</v>
      </c>
      <c r="M1143" s="10">
        <v>2260.31</v>
      </c>
      <c r="N1143" s="8">
        <v>13</v>
      </c>
      <c r="O1143" s="6">
        <v>3.1</v>
      </c>
    </row>
    <row r="1144" spans="1:15" x14ac:dyDescent="0.25">
      <c r="A1144" s="8">
        <v>42512</v>
      </c>
      <c r="B1144" s="9" t="s">
        <v>10</v>
      </c>
      <c r="C1144" s="9" t="s">
        <v>29</v>
      </c>
      <c r="D1144" s="9" t="s">
        <v>7</v>
      </c>
      <c r="E1144" s="9" t="s">
        <v>21</v>
      </c>
      <c r="F1144" s="9" t="str">
        <f t="shared" si="17"/>
        <v>Not Delivered</v>
      </c>
      <c r="G1144" s="9" t="b">
        <v>1</v>
      </c>
      <c r="H1144" s="9" t="s">
        <v>14</v>
      </c>
      <c r="I1144" s="8">
        <v>1111</v>
      </c>
      <c r="J1144" s="10">
        <v>275.04000000000002</v>
      </c>
      <c r="K1144" s="10">
        <v>99.11</v>
      </c>
      <c r="L1144" s="10">
        <v>219.66</v>
      </c>
      <c r="M1144" s="10">
        <v>593.80999999999995</v>
      </c>
      <c r="N1144" s="8">
        <v>7</v>
      </c>
      <c r="O1144" s="6">
        <v>3.1</v>
      </c>
    </row>
    <row r="1145" spans="1:15" x14ac:dyDescent="0.25">
      <c r="A1145" s="8">
        <v>44181</v>
      </c>
      <c r="B1145" s="9" t="s">
        <v>0</v>
      </c>
      <c r="C1145" s="9" t="s">
        <v>1</v>
      </c>
      <c r="D1145" s="9" t="s">
        <v>12</v>
      </c>
      <c r="E1145" s="9" t="s">
        <v>3</v>
      </c>
      <c r="F1145" s="9" t="str">
        <f t="shared" si="17"/>
        <v>Not Delivered</v>
      </c>
      <c r="G1145" s="9" t="b">
        <v>1</v>
      </c>
      <c r="H1145" s="9" t="s">
        <v>9</v>
      </c>
      <c r="I1145" s="8">
        <v>7284</v>
      </c>
      <c r="J1145" s="10">
        <v>663.86</v>
      </c>
      <c r="K1145" s="10">
        <v>140.29</v>
      </c>
      <c r="L1145" s="10">
        <v>165.64</v>
      </c>
      <c r="M1145" s="10">
        <v>969.79</v>
      </c>
      <c r="N1145" s="8">
        <v>6</v>
      </c>
      <c r="O1145" s="6">
        <v>3.7</v>
      </c>
    </row>
    <row r="1146" spans="1:15" x14ac:dyDescent="0.25">
      <c r="A1146" s="8">
        <v>40870</v>
      </c>
      <c r="B1146" s="9" t="s">
        <v>0</v>
      </c>
      <c r="C1146" s="9" t="s">
        <v>43</v>
      </c>
      <c r="D1146" s="9" t="s">
        <v>50</v>
      </c>
      <c r="E1146" s="9" t="s">
        <v>21</v>
      </c>
      <c r="F1146" s="9" t="str">
        <f t="shared" si="17"/>
        <v>Not Delivered</v>
      </c>
      <c r="G1146" s="9" t="b">
        <v>1</v>
      </c>
      <c r="H1146" s="9" t="s">
        <v>4</v>
      </c>
      <c r="I1146" s="8">
        <v>8319</v>
      </c>
      <c r="J1146" s="10">
        <v>473.87</v>
      </c>
      <c r="K1146" s="10">
        <v>41.45</v>
      </c>
      <c r="L1146" s="10">
        <v>61.28</v>
      </c>
      <c r="M1146" s="10">
        <v>576.6</v>
      </c>
      <c r="N1146" s="8">
        <v>2</v>
      </c>
      <c r="O1146" s="6">
        <v>3.9</v>
      </c>
    </row>
    <row r="1147" spans="1:15" x14ac:dyDescent="0.25">
      <c r="A1147" s="8">
        <v>44995</v>
      </c>
      <c r="B1147" s="9" t="s">
        <v>23</v>
      </c>
      <c r="C1147" s="9" t="s">
        <v>24</v>
      </c>
      <c r="D1147" s="9" t="s">
        <v>50</v>
      </c>
      <c r="E1147" s="9" t="s">
        <v>32</v>
      </c>
      <c r="F1147" s="9" t="str">
        <f t="shared" si="17"/>
        <v>Not Delivered</v>
      </c>
      <c r="G1147" s="9" t="b">
        <v>0</v>
      </c>
      <c r="H1147" s="9" t="s">
        <v>33</v>
      </c>
      <c r="I1147" s="8">
        <v>6400</v>
      </c>
      <c r="J1147" s="10">
        <v>864.41</v>
      </c>
      <c r="K1147" s="10">
        <v>80.11</v>
      </c>
      <c r="L1147" s="10">
        <v>0</v>
      </c>
      <c r="M1147" s="10">
        <v>944.52</v>
      </c>
      <c r="N1147" s="8">
        <v>11</v>
      </c>
      <c r="O1147" s="6">
        <v>3.1</v>
      </c>
    </row>
    <row r="1148" spans="1:15" x14ac:dyDescent="0.25">
      <c r="A1148" s="8">
        <v>49576</v>
      </c>
      <c r="B1148" s="9" t="s">
        <v>39</v>
      </c>
      <c r="C1148" s="9" t="s">
        <v>52</v>
      </c>
      <c r="D1148" s="9" t="s">
        <v>7</v>
      </c>
      <c r="E1148" s="9" t="s">
        <v>8</v>
      </c>
      <c r="F1148" s="9" t="str">
        <f t="shared" si="17"/>
        <v>Not Delivered</v>
      </c>
      <c r="G1148" s="9" t="b">
        <v>1</v>
      </c>
      <c r="H1148" s="9" t="s">
        <v>4</v>
      </c>
      <c r="I1148" s="8">
        <v>1187</v>
      </c>
      <c r="J1148" s="10">
        <v>1018.91</v>
      </c>
      <c r="K1148" s="10">
        <v>143.46</v>
      </c>
      <c r="L1148" s="10">
        <v>244.78</v>
      </c>
      <c r="M1148" s="10">
        <v>1407.15</v>
      </c>
      <c r="N1148" s="8">
        <v>13</v>
      </c>
      <c r="O1148" s="6">
        <v>1.7</v>
      </c>
    </row>
    <row r="1149" spans="1:15" x14ac:dyDescent="0.25">
      <c r="A1149" s="8">
        <v>44282</v>
      </c>
      <c r="B1149" s="9" t="s">
        <v>23</v>
      </c>
      <c r="C1149" s="9" t="s">
        <v>24</v>
      </c>
      <c r="D1149" s="9" t="s">
        <v>2</v>
      </c>
      <c r="E1149" s="9" t="s">
        <v>3</v>
      </c>
      <c r="F1149" s="9" t="str">
        <f t="shared" si="17"/>
        <v>Not Delivered</v>
      </c>
      <c r="G1149" s="9" t="b">
        <v>0</v>
      </c>
      <c r="H1149" s="9" t="s">
        <v>9</v>
      </c>
      <c r="I1149" s="8">
        <v>6890</v>
      </c>
      <c r="J1149" s="10">
        <v>1280.78</v>
      </c>
      <c r="K1149" s="10">
        <v>0</v>
      </c>
      <c r="L1149" s="10">
        <v>0</v>
      </c>
      <c r="M1149" s="10">
        <v>1280.78</v>
      </c>
      <c r="N1149" s="8">
        <v>8</v>
      </c>
      <c r="O1149" s="6">
        <v>1.8</v>
      </c>
    </row>
    <row r="1150" spans="1:15" x14ac:dyDescent="0.25">
      <c r="A1150" s="8">
        <v>40972</v>
      </c>
      <c r="B1150" s="9" t="s">
        <v>23</v>
      </c>
      <c r="C1150" s="9" t="s">
        <v>54</v>
      </c>
      <c r="D1150" s="9" t="s">
        <v>35</v>
      </c>
      <c r="E1150" s="9" t="s">
        <v>32</v>
      </c>
      <c r="F1150" s="9" t="str">
        <f t="shared" si="17"/>
        <v>Not Delivered</v>
      </c>
      <c r="G1150" s="9" t="b">
        <v>0</v>
      </c>
      <c r="H1150" s="9" t="s">
        <v>33</v>
      </c>
      <c r="I1150" s="8">
        <v>2017</v>
      </c>
      <c r="J1150" s="10">
        <v>1920.74</v>
      </c>
      <c r="K1150" s="10">
        <v>61.78</v>
      </c>
      <c r="L1150" s="10">
        <v>0</v>
      </c>
      <c r="M1150" s="10">
        <v>1982.52</v>
      </c>
      <c r="N1150" s="8">
        <v>11</v>
      </c>
      <c r="O1150" s="6">
        <v>4.7</v>
      </c>
    </row>
    <row r="1151" spans="1:15" x14ac:dyDescent="0.25">
      <c r="A1151" s="8">
        <v>97528</v>
      </c>
      <c r="B1151" s="9" t="s">
        <v>10</v>
      </c>
      <c r="C1151" s="9" t="s">
        <v>20</v>
      </c>
      <c r="D1151" s="9" t="s">
        <v>35</v>
      </c>
      <c r="E1151" s="9" t="s">
        <v>3</v>
      </c>
      <c r="F1151" s="9" t="str">
        <f t="shared" si="17"/>
        <v>Not Delivered</v>
      </c>
      <c r="G1151" s="9" t="b">
        <v>0</v>
      </c>
      <c r="H1151" s="9" t="s">
        <v>22</v>
      </c>
      <c r="I1151" s="8">
        <v>2936</v>
      </c>
      <c r="J1151" s="10">
        <v>1566.81</v>
      </c>
      <c r="K1151" s="10">
        <v>59.65</v>
      </c>
      <c r="L1151" s="10">
        <v>0</v>
      </c>
      <c r="M1151" s="10">
        <v>1626.46</v>
      </c>
      <c r="N1151" s="8">
        <v>13</v>
      </c>
      <c r="O1151" s="6">
        <v>1.3</v>
      </c>
    </row>
    <row r="1152" spans="1:15" x14ac:dyDescent="0.25">
      <c r="A1152" s="8">
        <v>71000</v>
      </c>
      <c r="B1152" s="9" t="s">
        <v>5</v>
      </c>
      <c r="C1152" s="9" t="s">
        <v>59</v>
      </c>
      <c r="D1152" s="9" t="s">
        <v>30</v>
      </c>
      <c r="E1152" s="9" t="s">
        <v>8</v>
      </c>
      <c r="F1152" s="9" t="str">
        <f t="shared" si="17"/>
        <v>Not Delivered</v>
      </c>
      <c r="G1152" s="9" t="b">
        <v>0</v>
      </c>
      <c r="H1152" s="9" t="s">
        <v>33</v>
      </c>
      <c r="I1152" s="8">
        <v>6026</v>
      </c>
      <c r="J1152" s="10">
        <v>490.32</v>
      </c>
      <c r="K1152" s="10">
        <v>42.03</v>
      </c>
      <c r="L1152" s="10">
        <v>0</v>
      </c>
      <c r="M1152" s="10">
        <v>532.35</v>
      </c>
      <c r="N1152" s="8">
        <v>14</v>
      </c>
    </row>
    <row r="1153" spans="1:15" x14ac:dyDescent="0.25">
      <c r="A1153" s="8">
        <v>30934</v>
      </c>
      <c r="B1153" s="9" t="s">
        <v>23</v>
      </c>
      <c r="C1153" s="9" t="s">
        <v>49</v>
      </c>
      <c r="D1153" s="9" t="s">
        <v>19</v>
      </c>
      <c r="E1153" s="9" t="s">
        <v>17</v>
      </c>
      <c r="F1153" s="9" t="str">
        <f t="shared" si="17"/>
        <v>Not Delivered</v>
      </c>
      <c r="G1153" s="9" t="b">
        <v>1</v>
      </c>
      <c r="H1153" s="9" t="s">
        <v>28</v>
      </c>
      <c r="I1153" s="8">
        <v>7642</v>
      </c>
      <c r="J1153" s="10">
        <v>1025.04</v>
      </c>
      <c r="K1153" s="10">
        <v>148.43</v>
      </c>
      <c r="L1153" s="10">
        <v>69.88</v>
      </c>
      <c r="M1153" s="10">
        <v>1243.3499999999999</v>
      </c>
      <c r="N1153" s="8">
        <v>9</v>
      </c>
      <c r="O1153" s="6">
        <v>4.4000000000000004</v>
      </c>
    </row>
    <row r="1154" spans="1:15" x14ac:dyDescent="0.25">
      <c r="A1154" s="8">
        <v>99925</v>
      </c>
      <c r="B1154" s="9" t="s">
        <v>0</v>
      </c>
      <c r="C1154" s="9" t="s">
        <v>51</v>
      </c>
      <c r="D1154" s="9" t="s">
        <v>35</v>
      </c>
      <c r="E1154" s="9" t="s">
        <v>32</v>
      </c>
      <c r="F1154" s="9" t="str">
        <f t="shared" si="17"/>
        <v>Not Delivered</v>
      </c>
      <c r="G1154" s="9" t="b">
        <v>1</v>
      </c>
      <c r="H1154" s="9" t="s">
        <v>4</v>
      </c>
      <c r="I1154" s="8">
        <v>9233</v>
      </c>
      <c r="J1154" s="10">
        <v>1017.2</v>
      </c>
      <c r="K1154" s="10">
        <v>106.29</v>
      </c>
      <c r="L1154" s="10">
        <v>153.94999999999999</v>
      </c>
      <c r="M1154" s="10">
        <v>1277.44</v>
      </c>
      <c r="N1154" s="8">
        <v>12</v>
      </c>
      <c r="O1154" s="6">
        <v>3.1</v>
      </c>
    </row>
    <row r="1155" spans="1:15" x14ac:dyDescent="0.25">
      <c r="A1155" s="8">
        <v>50760</v>
      </c>
      <c r="B1155" s="9" t="s">
        <v>0</v>
      </c>
      <c r="C1155" s="9" t="s">
        <v>53</v>
      </c>
      <c r="D1155" s="9" t="s">
        <v>16</v>
      </c>
      <c r="E1155" s="9" t="s">
        <v>13</v>
      </c>
      <c r="F1155" s="9" t="str">
        <f t="shared" ref="F1155:F1218" si="18">IF(OR(
E1155="Failed Delivery",
E1155="Cancelled",
E1155="Pending",
E1155="Rescheduled",
E1155="In Transit"
),"Not Delivered","Delivered")</f>
        <v>Delivered</v>
      </c>
      <c r="G1155" s="9" t="b">
        <v>1</v>
      </c>
      <c r="H1155" s="9" t="s">
        <v>9</v>
      </c>
      <c r="I1155" s="8">
        <v>2923</v>
      </c>
      <c r="J1155" s="10">
        <v>1197.5999999999999</v>
      </c>
      <c r="K1155" s="10">
        <v>72.63</v>
      </c>
      <c r="L1155" s="10">
        <v>278.74</v>
      </c>
      <c r="M1155" s="10">
        <v>1548.97</v>
      </c>
      <c r="N1155" s="8">
        <v>5</v>
      </c>
    </row>
    <row r="1156" spans="1:15" x14ac:dyDescent="0.25">
      <c r="A1156" s="8">
        <v>93717</v>
      </c>
      <c r="B1156" s="9" t="s">
        <v>41</v>
      </c>
      <c r="C1156" s="9" t="s">
        <v>42</v>
      </c>
      <c r="D1156" s="9" t="s">
        <v>38</v>
      </c>
      <c r="E1156" s="9" t="s">
        <v>21</v>
      </c>
      <c r="F1156" s="9" t="str">
        <f t="shared" si="18"/>
        <v>Not Delivered</v>
      </c>
      <c r="G1156" s="9" t="b">
        <v>0</v>
      </c>
      <c r="H1156" s="9" t="s">
        <v>22</v>
      </c>
      <c r="I1156" s="8">
        <v>5833</v>
      </c>
      <c r="J1156" s="10">
        <v>2266.2399999999998</v>
      </c>
      <c r="K1156" s="10">
        <v>63.61</v>
      </c>
      <c r="L1156" s="10">
        <v>0</v>
      </c>
      <c r="M1156" s="10">
        <v>2329.85</v>
      </c>
      <c r="N1156" s="8">
        <v>1</v>
      </c>
    </row>
    <row r="1157" spans="1:15" x14ac:dyDescent="0.25">
      <c r="A1157" s="8">
        <v>58174</v>
      </c>
      <c r="B1157" s="9" t="s">
        <v>10</v>
      </c>
      <c r="C1157" s="9" t="s">
        <v>29</v>
      </c>
      <c r="D1157" s="9" t="s">
        <v>19</v>
      </c>
      <c r="E1157" s="9" t="s">
        <v>3</v>
      </c>
      <c r="F1157" s="9" t="str">
        <f t="shared" si="18"/>
        <v>Not Delivered</v>
      </c>
      <c r="G1157" s="9" t="b">
        <v>1</v>
      </c>
      <c r="H1157" s="9" t="s">
        <v>14</v>
      </c>
      <c r="I1157" s="8">
        <v>4618</v>
      </c>
      <c r="J1157" s="10">
        <v>1853.8</v>
      </c>
      <c r="K1157" s="10">
        <v>145.93</v>
      </c>
      <c r="L1157" s="10">
        <v>171.05</v>
      </c>
      <c r="M1157" s="10">
        <v>2170.7800000000002</v>
      </c>
      <c r="N1157" s="8">
        <v>8</v>
      </c>
      <c r="O1157" s="6">
        <v>4.0999999999999996</v>
      </c>
    </row>
    <row r="1158" spans="1:15" x14ac:dyDescent="0.25">
      <c r="A1158" s="8">
        <v>38721</v>
      </c>
      <c r="B1158" s="9" t="s">
        <v>23</v>
      </c>
      <c r="C1158" s="9" t="s">
        <v>48</v>
      </c>
      <c r="D1158" s="9" t="s">
        <v>7</v>
      </c>
      <c r="E1158" s="9" t="s">
        <v>3</v>
      </c>
      <c r="F1158" s="9" t="str">
        <f t="shared" si="18"/>
        <v>Not Delivered</v>
      </c>
      <c r="G1158" s="9" t="b">
        <v>0</v>
      </c>
      <c r="H1158" s="9" t="s">
        <v>4</v>
      </c>
      <c r="I1158" s="8">
        <v>3188</v>
      </c>
      <c r="J1158" s="10">
        <v>1344.18</v>
      </c>
      <c r="K1158" s="10">
        <v>74.86</v>
      </c>
      <c r="L1158" s="10">
        <v>0</v>
      </c>
      <c r="M1158" s="10">
        <v>1419.04</v>
      </c>
      <c r="N1158" s="8">
        <v>2</v>
      </c>
      <c r="O1158" s="6">
        <v>4.8</v>
      </c>
    </row>
    <row r="1159" spans="1:15" x14ac:dyDescent="0.25">
      <c r="A1159" s="8">
        <v>72676</v>
      </c>
      <c r="B1159" s="9" t="s">
        <v>0</v>
      </c>
      <c r="C1159" s="9" t="s">
        <v>43</v>
      </c>
      <c r="D1159" s="9" t="s">
        <v>25</v>
      </c>
      <c r="E1159" s="9" t="s">
        <v>8</v>
      </c>
      <c r="F1159" s="9" t="str">
        <f t="shared" si="18"/>
        <v>Not Delivered</v>
      </c>
      <c r="G1159" s="9" t="b">
        <v>0</v>
      </c>
      <c r="H1159" s="9" t="s">
        <v>4</v>
      </c>
      <c r="I1159" s="8">
        <v>3509</v>
      </c>
      <c r="J1159" s="10">
        <v>1708.16</v>
      </c>
      <c r="K1159" s="10">
        <v>0</v>
      </c>
      <c r="L1159" s="10">
        <v>0</v>
      </c>
      <c r="M1159" s="10">
        <v>1708.16</v>
      </c>
      <c r="N1159" s="8">
        <v>3</v>
      </c>
      <c r="O1159" s="6">
        <v>4</v>
      </c>
    </row>
    <row r="1160" spans="1:15" x14ac:dyDescent="0.25">
      <c r="A1160" s="8">
        <v>69634</v>
      </c>
      <c r="B1160" s="9" t="s">
        <v>41</v>
      </c>
      <c r="C1160" s="9" t="s">
        <v>61</v>
      </c>
      <c r="D1160" s="9" t="s">
        <v>7</v>
      </c>
      <c r="E1160" s="9" t="s">
        <v>17</v>
      </c>
      <c r="F1160" s="9" t="str">
        <f t="shared" si="18"/>
        <v>Not Delivered</v>
      </c>
      <c r="G1160" s="9" t="b">
        <v>1</v>
      </c>
      <c r="H1160" s="9" t="s">
        <v>14</v>
      </c>
      <c r="I1160" s="8">
        <v>7121</v>
      </c>
      <c r="J1160" s="10">
        <v>1453.33</v>
      </c>
      <c r="K1160" s="10">
        <v>109.84</v>
      </c>
      <c r="L1160" s="10">
        <v>194.82</v>
      </c>
      <c r="M1160" s="10">
        <v>1757.99</v>
      </c>
      <c r="N1160" s="8">
        <v>2</v>
      </c>
      <c r="O1160" s="6">
        <v>3.4</v>
      </c>
    </row>
    <row r="1161" spans="1:15" x14ac:dyDescent="0.25">
      <c r="A1161" s="8">
        <v>64505</v>
      </c>
      <c r="B1161" s="9" t="s">
        <v>0</v>
      </c>
      <c r="C1161" s="9" t="s">
        <v>51</v>
      </c>
      <c r="D1161" s="9" t="s">
        <v>7</v>
      </c>
      <c r="E1161" s="9" t="s">
        <v>8</v>
      </c>
      <c r="F1161" s="9" t="str">
        <f t="shared" si="18"/>
        <v>Not Delivered</v>
      </c>
      <c r="G1161" s="9" t="b">
        <v>0</v>
      </c>
      <c r="H1161" s="9" t="s">
        <v>22</v>
      </c>
      <c r="I1161" s="8">
        <v>9998</v>
      </c>
      <c r="J1161" s="10">
        <v>1594.14</v>
      </c>
      <c r="K1161" s="10">
        <v>54.1</v>
      </c>
      <c r="L1161" s="10">
        <v>0</v>
      </c>
      <c r="M1161" s="10">
        <v>1648.24</v>
      </c>
      <c r="N1161" s="8">
        <v>2</v>
      </c>
      <c r="O1161" s="6">
        <v>2.7</v>
      </c>
    </row>
    <row r="1162" spans="1:15" x14ac:dyDescent="0.25">
      <c r="A1162" s="8">
        <v>71712</v>
      </c>
      <c r="B1162" s="9" t="s">
        <v>39</v>
      </c>
      <c r="C1162" s="9" t="s">
        <v>52</v>
      </c>
      <c r="D1162" s="9" t="s">
        <v>38</v>
      </c>
      <c r="E1162" s="9" t="s">
        <v>3</v>
      </c>
      <c r="F1162" s="9" t="str">
        <f t="shared" si="18"/>
        <v>Not Delivered</v>
      </c>
      <c r="G1162" s="9" t="b">
        <v>0</v>
      </c>
      <c r="H1162" s="9" t="s">
        <v>9</v>
      </c>
      <c r="I1162" s="8">
        <v>9806</v>
      </c>
      <c r="J1162" s="10">
        <v>398.98</v>
      </c>
      <c r="K1162" s="10">
        <v>32.729999999999997</v>
      </c>
      <c r="L1162" s="10">
        <v>0</v>
      </c>
      <c r="M1162" s="10">
        <v>431.71</v>
      </c>
      <c r="N1162" s="8">
        <v>4</v>
      </c>
      <c r="O1162" s="6">
        <v>3.7</v>
      </c>
    </row>
    <row r="1163" spans="1:15" x14ac:dyDescent="0.25">
      <c r="A1163" s="8">
        <v>97044</v>
      </c>
      <c r="B1163" s="9" t="s">
        <v>5</v>
      </c>
      <c r="C1163" s="9" t="s">
        <v>31</v>
      </c>
      <c r="D1163" s="9" t="s">
        <v>27</v>
      </c>
      <c r="E1163" s="9" t="s">
        <v>13</v>
      </c>
      <c r="F1163" s="9" t="str">
        <f t="shared" si="18"/>
        <v>Delivered</v>
      </c>
      <c r="G1163" s="9" t="b">
        <v>0</v>
      </c>
      <c r="H1163" s="9" t="s">
        <v>33</v>
      </c>
      <c r="I1163" s="8">
        <v>4578</v>
      </c>
      <c r="J1163" s="10">
        <v>441.94</v>
      </c>
      <c r="K1163" s="10">
        <v>82.75</v>
      </c>
      <c r="L1163" s="10">
        <v>0</v>
      </c>
      <c r="M1163" s="10">
        <v>524.69000000000005</v>
      </c>
      <c r="N1163" s="8">
        <v>5</v>
      </c>
      <c r="O1163" s="6">
        <v>2.2999999999999998</v>
      </c>
    </row>
    <row r="1164" spans="1:15" x14ac:dyDescent="0.25">
      <c r="A1164" s="8">
        <v>42435</v>
      </c>
      <c r="B1164" s="9" t="s">
        <v>5</v>
      </c>
      <c r="C1164" s="9" t="s">
        <v>6</v>
      </c>
      <c r="D1164" s="9" t="s">
        <v>38</v>
      </c>
      <c r="E1164" s="9" t="s">
        <v>3</v>
      </c>
      <c r="F1164" s="9" t="str">
        <f t="shared" si="18"/>
        <v>Not Delivered</v>
      </c>
      <c r="G1164" s="9" t="b">
        <v>1</v>
      </c>
      <c r="H1164" s="9" t="s">
        <v>18</v>
      </c>
      <c r="I1164" s="8">
        <v>2341</v>
      </c>
      <c r="J1164" s="10">
        <v>432.6</v>
      </c>
      <c r="K1164" s="10">
        <v>85.45</v>
      </c>
      <c r="L1164" s="10">
        <v>183.21</v>
      </c>
      <c r="M1164" s="10">
        <v>701.26</v>
      </c>
      <c r="N1164" s="8">
        <v>7</v>
      </c>
      <c r="O1164" s="6">
        <v>1.4</v>
      </c>
    </row>
    <row r="1165" spans="1:15" x14ac:dyDescent="0.25">
      <c r="A1165" s="8">
        <v>78879</v>
      </c>
      <c r="B1165" s="9" t="s">
        <v>41</v>
      </c>
      <c r="C1165" s="9" t="s">
        <v>42</v>
      </c>
      <c r="D1165" s="9" t="s">
        <v>12</v>
      </c>
      <c r="E1165" s="9" t="s">
        <v>17</v>
      </c>
      <c r="F1165" s="9" t="str">
        <f t="shared" si="18"/>
        <v>Not Delivered</v>
      </c>
      <c r="G1165" s="9" t="b">
        <v>1</v>
      </c>
      <c r="H1165" s="9" t="s">
        <v>14</v>
      </c>
      <c r="I1165" s="8">
        <v>8319</v>
      </c>
      <c r="J1165" s="10">
        <v>1634.58</v>
      </c>
      <c r="K1165" s="10">
        <v>116.76</v>
      </c>
      <c r="L1165" s="10">
        <v>39.76</v>
      </c>
      <c r="M1165" s="10">
        <v>1791.1</v>
      </c>
      <c r="N1165" s="8">
        <v>13</v>
      </c>
      <c r="O1165" s="6">
        <v>1.4</v>
      </c>
    </row>
    <row r="1166" spans="1:15" x14ac:dyDescent="0.25">
      <c r="A1166" s="8">
        <v>79228</v>
      </c>
      <c r="B1166" s="9" t="s">
        <v>23</v>
      </c>
      <c r="C1166" s="9" t="s">
        <v>49</v>
      </c>
      <c r="D1166" s="9" t="s">
        <v>45</v>
      </c>
      <c r="E1166" s="9" t="s">
        <v>3</v>
      </c>
      <c r="F1166" s="9" t="str">
        <f t="shared" si="18"/>
        <v>Not Delivered</v>
      </c>
      <c r="G1166" s="9" t="b">
        <v>0</v>
      </c>
      <c r="H1166" s="9" t="s">
        <v>18</v>
      </c>
      <c r="I1166" s="8">
        <v>6927</v>
      </c>
      <c r="J1166" s="10">
        <v>1803.35</v>
      </c>
      <c r="K1166" s="10">
        <v>110.38</v>
      </c>
      <c r="L1166" s="10">
        <v>0</v>
      </c>
      <c r="M1166" s="10">
        <v>1913.73</v>
      </c>
      <c r="N1166" s="8">
        <v>12</v>
      </c>
      <c r="O1166" s="6">
        <v>2.4</v>
      </c>
    </row>
    <row r="1167" spans="1:15" x14ac:dyDescent="0.25">
      <c r="A1167" s="8">
        <v>20237</v>
      </c>
      <c r="B1167" s="9" t="s">
        <v>41</v>
      </c>
      <c r="C1167" s="9" t="s">
        <v>47</v>
      </c>
      <c r="D1167" s="9" t="s">
        <v>7</v>
      </c>
      <c r="E1167" s="9" t="s">
        <v>17</v>
      </c>
      <c r="F1167" s="9" t="str">
        <f t="shared" si="18"/>
        <v>Not Delivered</v>
      </c>
      <c r="G1167" s="9" t="b">
        <v>0</v>
      </c>
      <c r="H1167" s="9" t="s">
        <v>22</v>
      </c>
      <c r="I1167" s="8">
        <v>2838</v>
      </c>
      <c r="J1167" s="10">
        <v>2368.4299999999998</v>
      </c>
      <c r="K1167" s="10">
        <v>112.81</v>
      </c>
      <c r="L1167" s="10">
        <v>0</v>
      </c>
      <c r="M1167" s="10">
        <v>2481.2399999999998</v>
      </c>
      <c r="N1167" s="8">
        <v>11</v>
      </c>
      <c r="O1167" s="6">
        <v>1.9</v>
      </c>
    </row>
    <row r="1168" spans="1:15" x14ac:dyDescent="0.25">
      <c r="A1168" s="8">
        <v>18094</v>
      </c>
      <c r="B1168" s="9" t="s">
        <v>10</v>
      </c>
      <c r="C1168" s="9" t="s">
        <v>26</v>
      </c>
      <c r="D1168" s="9" t="s">
        <v>27</v>
      </c>
      <c r="E1168" s="9" t="s">
        <v>13</v>
      </c>
      <c r="F1168" s="9" t="str">
        <f t="shared" si="18"/>
        <v>Delivered</v>
      </c>
      <c r="G1168" s="9" t="b">
        <v>0</v>
      </c>
      <c r="H1168" s="9" t="s">
        <v>33</v>
      </c>
      <c r="I1168" s="8">
        <v>9972</v>
      </c>
      <c r="J1168" s="10">
        <v>655.33000000000004</v>
      </c>
      <c r="K1168" s="10">
        <v>52.84</v>
      </c>
      <c r="L1168" s="10">
        <v>0</v>
      </c>
      <c r="M1168" s="10">
        <v>708.17</v>
      </c>
      <c r="N1168" s="8">
        <v>14</v>
      </c>
      <c r="O1168" s="6">
        <v>2.4</v>
      </c>
    </row>
    <row r="1169" spans="1:15" x14ac:dyDescent="0.25">
      <c r="A1169" s="8">
        <v>76255</v>
      </c>
      <c r="B1169" s="9" t="s">
        <v>23</v>
      </c>
      <c r="C1169" s="9" t="s">
        <v>49</v>
      </c>
      <c r="D1169" s="9" t="s">
        <v>7</v>
      </c>
      <c r="E1169" s="9" t="s">
        <v>32</v>
      </c>
      <c r="F1169" s="9" t="str">
        <f t="shared" si="18"/>
        <v>Not Delivered</v>
      </c>
      <c r="G1169" s="9" t="b">
        <v>0</v>
      </c>
      <c r="H1169" s="9" t="s">
        <v>18</v>
      </c>
      <c r="I1169" s="8">
        <v>4312</v>
      </c>
      <c r="J1169" s="10">
        <v>1421.12</v>
      </c>
      <c r="K1169" s="10">
        <v>0</v>
      </c>
      <c r="L1169" s="10">
        <v>0</v>
      </c>
      <c r="M1169" s="10">
        <v>1421.12</v>
      </c>
      <c r="N1169" s="8">
        <v>12</v>
      </c>
      <c r="O1169" s="6">
        <v>2.1</v>
      </c>
    </row>
    <row r="1170" spans="1:15" x14ac:dyDescent="0.25">
      <c r="A1170" s="8">
        <v>85065</v>
      </c>
      <c r="B1170" s="9" t="s">
        <v>41</v>
      </c>
      <c r="C1170" s="9" t="s">
        <v>61</v>
      </c>
      <c r="D1170" s="9" t="s">
        <v>19</v>
      </c>
      <c r="E1170" s="9" t="s">
        <v>13</v>
      </c>
      <c r="F1170" s="9" t="str">
        <f t="shared" si="18"/>
        <v>Delivered</v>
      </c>
      <c r="G1170" s="9" t="b">
        <v>1</v>
      </c>
      <c r="H1170" s="9" t="s">
        <v>14</v>
      </c>
      <c r="I1170" s="8">
        <v>9792</v>
      </c>
      <c r="J1170" s="10">
        <v>1929.55</v>
      </c>
      <c r="K1170" s="10">
        <v>128.1</v>
      </c>
      <c r="L1170" s="10">
        <v>278.5</v>
      </c>
      <c r="M1170" s="10">
        <v>2336.15</v>
      </c>
      <c r="N1170" s="8">
        <v>6</v>
      </c>
      <c r="O1170" s="6">
        <v>3.2</v>
      </c>
    </row>
    <row r="1171" spans="1:15" x14ac:dyDescent="0.25">
      <c r="A1171" s="8">
        <v>29641</v>
      </c>
      <c r="B1171" s="9" t="s">
        <v>10</v>
      </c>
      <c r="C1171" s="9" t="s">
        <v>26</v>
      </c>
      <c r="D1171" s="9" t="s">
        <v>16</v>
      </c>
      <c r="E1171" s="9" t="s">
        <v>32</v>
      </c>
      <c r="F1171" s="9" t="str">
        <f t="shared" si="18"/>
        <v>Not Delivered</v>
      </c>
      <c r="G1171" s="9" t="b">
        <v>0</v>
      </c>
      <c r="H1171" s="9" t="s">
        <v>33</v>
      </c>
      <c r="I1171" s="8">
        <v>3695</v>
      </c>
      <c r="J1171" s="10">
        <v>1836.93</v>
      </c>
      <c r="K1171" s="10">
        <v>0</v>
      </c>
      <c r="L1171" s="10">
        <v>0</v>
      </c>
      <c r="M1171" s="10">
        <v>1836.93</v>
      </c>
      <c r="N1171" s="8">
        <v>6</v>
      </c>
      <c r="O1171" s="6">
        <v>3.6</v>
      </c>
    </row>
    <row r="1172" spans="1:15" x14ac:dyDescent="0.25">
      <c r="A1172" s="8">
        <v>53007</v>
      </c>
      <c r="B1172" s="9" t="s">
        <v>0</v>
      </c>
      <c r="C1172" s="9" t="s">
        <v>37</v>
      </c>
      <c r="D1172" s="9" t="s">
        <v>30</v>
      </c>
      <c r="E1172" s="9" t="s">
        <v>8</v>
      </c>
      <c r="F1172" s="9" t="str">
        <f t="shared" si="18"/>
        <v>Not Delivered</v>
      </c>
      <c r="G1172" s="9" t="b">
        <v>1</v>
      </c>
      <c r="H1172" s="9" t="s">
        <v>22</v>
      </c>
      <c r="I1172" s="8">
        <v>9525</v>
      </c>
      <c r="J1172" s="10">
        <v>728.48</v>
      </c>
      <c r="K1172" s="10">
        <v>139.58000000000001</v>
      </c>
      <c r="L1172" s="10">
        <v>66.14</v>
      </c>
      <c r="M1172" s="10">
        <v>934.2</v>
      </c>
      <c r="N1172" s="8">
        <v>2</v>
      </c>
      <c r="O1172" s="6">
        <v>2.2000000000000002</v>
      </c>
    </row>
    <row r="1173" spans="1:15" x14ac:dyDescent="0.25">
      <c r="A1173" s="8">
        <v>67912</v>
      </c>
      <c r="B1173" s="9" t="s">
        <v>41</v>
      </c>
      <c r="C1173" s="9" t="s">
        <v>61</v>
      </c>
      <c r="D1173" s="9" t="s">
        <v>16</v>
      </c>
      <c r="E1173" s="9" t="s">
        <v>13</v>
      </c>
      <c r="F1173" s="9" t="str">
        <f t="shared" si="18"/>
        <v>Delivered</v>
      </c>
      <c r="G1173" s="9" t="b">
        <v>1</v>
      </c>
      <c r="H1173" s="9" t="s">
        <v>28</v>
      </c>
      <c r="I1173" s="8">
        <v>2904</v>
      </c>
      <c r="J1173" s="10">
        <v>1964.9</v>
      </c>
      <c r="K1173" s="10">
        <v>89.8</v>
      </c>
      <c r="L1173" s="10">
        <v>54.67</v>
      </c>
      <c r="M1173" s="10">
        <v>2109.37</v>
      </c>
      <c r="N1173" s="8">
        <v>12</v>
      </c>
      <c r="O1173" s="6">
        <v>4.5</v>
      </c>
    </row>
    <row r="1174" spans="1:15" x14ac:dyDescent="0.25">
      <c r="A1174" s="8">
        <v>99167</v>
      </c>
      <c r="B1174" s="9" t="s">
        <v>0</v>
      </c>
      <c r="C1174" s="9" t="s">
        <v>51</v>
      </c>
      <c r="D1174" s="9" t="s">
        <v>25</v>
      </c>
      <c r="E1174" s="9" t="s">
        <v>32</v>
      </c>
      <c r="F1174" s="9" t="str">
        <f t="shared" si="18"/>
        <v>Not Delivered</v>
      </c>
      <c r="G1174" s="9" t="b">
        <v>1</v>
      </c>
      <c r="H1174" s="9" t="s">
        <v>18</v>
      </c>
      <c r="I1174" s="8">
        <v>4365</v>
      </c>
      <c r="J1174" s="10">
        <v>1029.17</v>
      </c>
      <c r="K1174" s="10">
        <v>142.13</v>
      </c>
      <c r="L1174" s="10">
        <v>161.34</v>
      </c>
      <c r="M1174" s="10">
        <v>1332.64</v>
      </c>
      <c r="N1174" s="8">
        <v>2</v>
      </c>
      <c r="O1174" s="6">
        <v>1.9</v>
      </c>
    </row>
    <row r="1175" spans="1:15" x14ac:dyDescent="0.25">
      <c r="A1175" s="8">
        <v>86434</v>
      </c>
      <c r="B1175" s="9" t="s">
        <v>23</v>
      </c>
      <c r="C1175" s="9" t="s">
        <v>48</v>
      </c>
      <c r="D1175" s="9" t="s">
        <v>7</v>
      </c>
      <c r="E1175" s="9" t="s">
        <v>17</v>
      </c>
      <c r="F1175" s="9" t="str">
        <f t="shared" si="18"/>
        <v>Not Delivered</v>
      </c>
      <c r="G1175" s="9" t="b">
        <v>1</v>
      </c>
      <c r="H1175" s="9" t="s">
        <v>33</v>
      </c>
      <c r="I1175" s="8">
        <v>9008</v>
      </c>
      <c r="J1175" s="10">
        <v>2979.13</v>
      </c>
      <c r="K1175" s="10">
        <v>0</v>
      </c>
      <c r="L1175" s="10">
        <v>62.27</v>
      </c>
      <c r="M1175" s="10">
        <v>3041.4</v>
      </c>
      <c r="N1175" s="8">
        <v>4</v>
      </c>
      <c r="O1175" s="6">
        <v>4.2</v>
      </c>
    </row>
    <row r="1176" spans="1:15" x14ac:dyDescent="0.25">
      <c r="A1176" s="8">
        <v>21919</v>
      </c>
      <c r="B1176" s="9" t="s">
        <v>23</v>
      </c>
      <c r="C1176" s="9" t="s">
        <v>60</v>
      </c>
      <c r="D1176" s="9" t="s">
        <v>16</v>
      </c>
      <c r="E1176" s="9" t="s">
        <v>8</v>
      </c>
      <c r="F1176" s="9" t="str">
        <f t="shared" si="18"/>
        <v>Not Delivered</v>
      </c>
      <c r="G1176" s="9" t="b">
        <v>1</v>
      </c>
      <c r="H1176" s="9" t="s">
        <v>33</v>
      </c>
      <c r="I1176" s="8">
        <v>9361</v>
      </c>
      <c r="J1176" s="10">
        <v>2593.96</v>
      </c>
      <c r="K1176" s="10">
        <v>93.89</v>
      </c>
      <c r="L1176" s="10">
        <v>177.91</v>
      </c>
      <c r="M1176" s="10">
        <v>2865.76</v>
      </c>
      <c r="N1176" s="8">
        <v>9</v>
      </c>
      <c r="O1176" s="6">
        <v>3.5</v>
      </c>
    </row>
    <row r="1177" spans="1:15" x14ac:dyDescent="0.25">
      <c r="A1177" s="8">
        <v>68390</v>
      </c>
      <c r="B1177" s="9" t="s">
        <v>0</v>
      </c>
      <c r="C1177" s="9" t="s">
        <v>51</v>
      </c>
      <c r="D1177" s="9" t="s">
        <v>35</v>
      </c>
      <c r="E1177" s="9" t="s">
        <v>21</v>
      </c>
      <c r="F1177" s="9" t="str">
        <f t="shared" si="18"/>
        <v>Not Delivered</v>
      </c>
      <c r="G1177" s="9" t="b">
        <v>0</v>
      </c>
      <c r="H1177" s="9" t="s">
        <v>33</v>
      </c>
      <c r="I1177" s="8">
        <v>1911</v>
      </c>
      <c r="J1177" s="10">
        <v>1475.65</v>
      </c>
      <c r="K1177" s="10">
        <v>0</v>
      </c>
      <c r="L1177" s="10">
        <v>0</v>
      </c>
      <c r="M1177" s="10">
        <v>1475.65</v>
      </c>
      <c r="N1177" s="8">
        <v>6</v>
      </c>
      <c r="O1177" s="6">
        <v>4.7</v>
      </c>
    </row>
    <row r="1178" spans="1:15" x14ac:dyDescent="0.25">
      <c r="A1178" s="8">
        <v>69432</v>
      </c>
      <c r="B1178" s="9" t="s">
        <v>5</v>
      </c>
      <c r="C1178" s="9" t="s">
        <v>31</v>
      </c>
      <c r="D1178" s="9" t="s">
        <v>30</v>
      </c>
      <c r="E1178" s="9" t="s">
        <v>13</v>
      </c>
      <c r="F1178" s="9" t="str">
        <f t="shared" si="18"/>
        <v>Delivered</v>
      </c>
      <c r="G1178" s="9" t="b">
        <v>1</v>
      </c>
      <c r="H1178" s="9" t="s">
        <v>4</v>
      </c>
      <c r="I1178" s="8">
        <v>3161</v>
      </c>
      <c r="J1178" s="10">
        <v>509.33</v>
      </c>
      <c r="K1178" s="10">
        <v>148.63</v>
      </c>
      <c r="L1178" s="10">
        <v>54.83</v>
      </c>
      <c r="M1178" s="10">
        <v>712.79</v>
      </c>
      <c r="N1178" s="8">
        <v>13</v>
      </c>
      <c r="O1178" s="6">
        <v>3.8</v>
      </c>
    </row>
    <row r="1179" spans="1:15" x14ac:dyDescent="0.25">
      <c r="A1179" s="8">
        <v>77272</v>
      </c>
      <c r="B1179" s="9" t="s">
        <v>41</v>
      </c>
      <c r="C1179" s="9" t="s">
        <v>46</v>
      </c>
      <c r="D1179" s="9" t="s">
        <v>2</v>
      </c>
      <c r="E1179" s="9" t="s">
        <v>3</v>
      </c>
      <c r="F1179" s="9" t="str">
        <f t="shared" si="18"/>
        <v>Not Delivered</v>
      </c>
      <c r="G1179" s="9" t="b">
        <v>1</v>
      </c>
      <c r="H1179" s="9" t="s">
        <v>9</v>
      </c>
      <c r="I1179" s="8">
        <v>7806</v>
      </c>
      <c r="J1179" s="10">
        <v>1884.23</v>
      </c>
      <c r="K1179" s="10">
        <v>114.5</v>
      </c>
      <c r="L1179" s="10">
        <v>190.37</v>
      </c>
      <c r="M1179" s="10">
        <v>2189.1</v>
      </c>
      <c r="N1179" s="8">
        <v>14</v>
      </c>
    </row>
    <row r="1180" spans="1:15" x14ac:dyDescent="0.25">
      <c r="A1180" s="8">
        <v>69873</v>
      </c>
      <c r="B1180" s="9" t="s">
        <v>41</v>
      </c>
      <c r="C1180" s="9" t="s">
        <v>42</v>
      </c>
      <c r="D1180" s="9" t="s">
        <v>38</v>
      </c>
      <c r="E1180" s="9" t="s">
        <v>32</v>
      </c>
      <c r="F1180" s="9" t="str">
        <f t="shared" si="18"/>
        <v>Not Delivered</v>
      </c>
      <c r="G1180" s="9" t="b">
        <v>1</v>
      </c>
      <c r="H1180" s="9" t="s">
        <v>4</v>
      </c>
      <c r="I1180" s="8">
        <v>1945</v>
      </c>
      <c r="J1180" s="10">
        <v>442.25</v>
      </c>
      <c r="K1180" s="10">
        <v>99.68</v>
      </c>
      <c r="L1180" s="10">
        <v>233.85</v>
      </c>
      <c r="M1180" s="10">
        <v>775.78</v>
      </c>
      <c r="N1180" s="8">
        <v>1</v>
      </c>
      <c r="O1180" s="6">
        <v>2.9</v>
      </c>
    </row>
    <row r="1181" spans="1:15" x14ac:dyDescent="0.25">
      <c r="A1181" s="8">
        <v>83242</v>
      </c>
      <c r="B1181" s="9" t="s">
        <v>0</v>
      </c>
      <c r="C1181" s="9" t="s">
        <v>51</v>
      </c>
      <c r="D1181" s="9" t="s">
        <v>2</v>
      </c>
      <c r="E1181" s="9" t="s">
        <v>3</v>
      </c>
      <c r="F1181" s="9" t="str">
        <f t="shared" si="18"/>
        <v>Not Delivered</v>
      </c>
      <c r="G1181" s="9" t="b">
        <v>0</v>
      </c>
      <c r="H1181" s="9" t="s">
        <v>9</v>
      </c>
      <c r="I1181" s="8">
        <v>8575</v>
      </c>
      <c r="J1181" s="10">
        <v>257.93</v>
      </c>
      <c r="K1181" s="10">
        <v>78.92</v>
      </c>
      <c r="L1181" s="10">
        <v>0</v>
      </c>
      <c r="M1181" s="10">
        <v>336.85</v>
      </c>
      <c r="N1181" s="8">
        <v>12</v>
      </c>
    </row>
    <row r="1182" spans="1:15" x14ac:dyDescent="0.25">
      <c r="A1182" s="8">
        <v>98181</v>
      </c>
      <c r="B1182" s="9" t="s">
        <v>0</v>
      </c>
      <c r="C1182" s="9" t="s">
        <v>53</v>
      </c>
      <c r="D1182" s="9" t="s">
        <v>35</v>
      </c>
      <c r="E1182" s="9" t="s">
        <v>32</v>
      </c>
      <c r="F1182" s="9" t="str">
        <f t="shared" si="18"/>
        <v>Not Delivered</v>
      </c>
      <c r="G1182" s="9" t="b">
        <v>0</v>
      </c>
      <c r="H1182" s="9" t="s">
        <v>18</v>
      </c>
      <c r="I1182" s="8">
        <v>6049</v>
      </c>
      <c r="J1182" s="10">
        <v>1777.24</v>
      </c>
      <c r="K1182" s="10">
        <v>0</v>
      </c>
      <c r="L1182" s="10">
        <v>0</v>
      </c>
      <c r="M1182" s="10">
        <v>1777.24</v>
      </c>
      <c r="N1182" s="8">
        <v>5</v>
      </c>
      <c r="O1182" s="6">
        <v>3.7</v>
      </c>
    </row>
    <row r="1183" spans="1:15" x14ac:dyDescent="0.25">
      <c r="A1183" s="8">
        <v>12853</v>
      </c>
      <c r="B1183" s="9" t="s">
        <v>41</v>
      </c>
      <c r="C1183" s="9" t="s">
        <v>42</v>
      </c>
      <c r="D1183" s="9" t="s">
        <v>2</v>
      </c>
      <c r="E1183" s="9" t="s">
        <v>17</v>
      </c>
      <c r="F1183" s="9" t="str">
        <f t="shared" si="18"/>
        <v>Not Delivered</v>
      </c>
      <c r="G1183" s="9" t="b">
        <v>0</v>
      </c>
      <c r="H1183" s="9" t="s">
        <v>22</v>
      </c>
      <c r="I1183" s="8">
        <v>7487</v>
      </c>
      <c r="J1183" s="10">
        <v>617.30999999999995</v>
      </c>
      <c r="K1183" s="10">
        <v>118.13</v>
      </c>
      <c r="L1183" s="10">
        <v>0</v>
      </c>
      <c r="M1183" s="10">
        <v>735.44</v>
      </c>
      <c r="N1183" s="8">
        <v>14</v>
      </c>
    </row>
    <row r="1184" spans="1:15" x14ac:dyDescent="0.25">
      <c r="A1184" s="8">
        <v>43352</v>
      </c>
      <c r="B1184" s="9" t="s">
        <v>10</v>
      </c>
      <c r="C1184" s="9" t="s">
        <v>15</v>
      </c>
      <c r="D1184" s="9" t="s">
        <v>7</v>
      </c>
      <c r="E1184" s="9" t="s">
        <v>32</v>
      </c>
      <c r="F1184" s="9" t="str">
        <f t="shared" si="18"/>
        <v>Not Delivered</v>
      </c>
      <c r="G1184" s="9" t="b">
        <v>1</v>
      </c>
      <c r="H1184" s="9" t="s">
        <v>4</v>
      </c>
      <c r="I1184" s="8">
        <v>1049</v>
      </c>
      <c r="J1184" s="10">
        <v>327.39999999999998</v>
      </c>
      <c r="K1184" s="10">
        <v>98.3</v>
      </c>
      <c r="L1184" s="10">
        <v>259.56</v>
      </c>
      <c r="M1184" s="10">
        <v>685.26</v>
      </c>
      <c r="N1184" s="8">
        <v>12</v>
      </c>
      <c r="O1184" s="6">
        <v>4.9000000000000004</v>
      </c>
    </row>
    <row r="1185" spans="1:15" x14ac:dyDescent="0.25">
      <c r="A1185" s="8">
        <v>38560</v>
      </c>
      <c r="B1185" s="9" t="s">
        <v>0</v>
      </c>
      <c r="C1185" s="9" t="s">
        <v>37</v>
      </c>
      <c r="D1185" s="9" t="s">
        <v>16</v>
      </c>
      <c r="E1185" s="9" t="s">
        <v>3</v>
      </c>
      <c r="F1185" s="9" t="str">
        <f t="shared" si="18"/>
        <v>Not Delivered</v>
      </c>
      <c r="G1185" s="9" t="b">
        <v>0</v>
      </c>
      <c r="H1185" s="9" t="s">
        <v>22</v>
      </c>
      <c r="I1185" s="8">
        <v>2196</v>
      </c>
      <c r="J1185" s="10">
        <v>1352.3</v>
      </c>
      <c r="K1185" s="10">
        <v>59.42</v>
      </c>
      <c r="L1185" s="10">
        <v>0</v>
      </c>
      <c r="M1185" s="10">
        <v>1411.72</v>
      </c>
      <c r="N1185" s="8">
        <v>10</v>
      </c>
      <c r="O1185" s="6">
        <v>3.7</v>
      </c>
    </row>
    <row r="1186" spans="1:15" x14ac:dyDescent="0.25">
      <c r="A1186" s="8">
        <v>15936</v>
      </c>
      <c r="B1186" s="9" t="s">
        <v>39</v>
      </c>
      <c r="C1186" s="9" t="s">
        <v>40</v>
      </c>
      <c r="D1186" s="9" t="s">
        <v>50</v>
      </c>
      <c r="E1186" s="9" t="s">
        <v>3</v>
      </c>
      <c r="F1186" s="9" t="str">
        <f t="shared" si="18"/>
        <v>Not Delivered</v>
      </c>
      <c r="G1186" s="9" t="b">
        <v>0</v>
      </c>
      <c r="H1186" s="9" t="s">
        <v>4</v>
      </c>
      <c r="I1186" s="8">
        <v>7941</v>
      </c>
      <c r="J1186" s="10">
        <v>1283.1199999999999</v>
      </c>
      <c r="K1186" s="10">
        <v>0</v>
      </c>
      <c r="L1186" s="10">
        <v>0</v>
      </c>
      <c r="M1186" s="10">
        <v>1283.1199999999999</v>
      </c>
      <c r="N1186" s="8">
        <v>6</v>
      </c>
      <c r="O1186" s="6">
        <v>2.7</v>
      </c>
    </row>
    <row r="1187" spans="1:15" x14ac:dyDescent="0.25">
      <c r="A1187" s="8">
        <v>55158</v>
      </c>
      <c r="B1187" s="9" t="s">
        <v>23</v>
      </c>
      <c r="C1187" s="9" t="s">
        <v>49</v>
      </c>
      <c r="E1187" s="9" t="s">
        <v>17</v>
      </c>
      <c r="F1187" s="9" t="str">
        <f t="shared" si="18"/>
        <v>Not Delivered</v>
      </c>
      <c r="G1187" s="9" t="b">
        <v>1</v>
      </c>
      <c r="H1187" s="9" t="s">
        <v>18</v>
      </c>
      <c r="I1187" s="8">
        <v>2044</v>
      </c>
      <c r="J1187" s="10">
        <v>1294.07</v>
      </c>
      <c r="K1187" s="10">
        <v>0</v>
      </c>
      <c r="L1187" s="10">
        <v>145.16999999999999</v>
      </c>
      <c r="M1187" s="10">
        <v>1439.24</v>
      </c>
      <c r="N1187" s="8">
        <v>2</v>
      </c>
      <c r="O1187" s="6">
        <v>1.1000000000000001</v>
      </c>
    </row>
    <row r="1188" spans="1:15" x14ac:dyDescent="0.25">
      <c r="A1188" s="8">
        <v>80931</v>
      </c>
      <c r="B1188" s="9" t="s">
        <v>5</v>
      </c>
      <c r="C1188" s="9" t="s">
        <v>31</v>
      </c>
      <c r="D1188" s="9" t="s">
        <v>2</v>
      </c>
      <c r="E1188" s="9" t="s">
        <v>21</v>
      </c>
      <c r="F1188" s="9" t="str">
        <f t="shared" si="18"/>
        <v>Not Delivered</v>
      </c>
      <c r="G1188" s="9" t="b">
        <v>1</v>
      </c>
      <c r="H1188" s="9" t="s">
        <v>33</v>
      </c>
      <c r="I1188" s="8">
        <v>1987</v>
      </c>
      <c r="J1188" s="10">
        <v>1058.24</v>
      </c>
      <c r="K1188" s="10">
        <v>0</v>
      </c>
      <c r="L1188" s="10">
        <v>33.17</v>
      </c>
      <c r="M1188" s="10">
        <v>1091.4100000000001</v>
      </c>
      <c r="N1188" s="8">
        <v>5</v>
      </c>
    </row>
    <row r="1189" spans="1:15" x14ac:dyDescent="0.25">
      <c r="A1189" s="8">
        <v>19046</v>
      </c>
      <c r="B1189" s="9" t="s">
        <v>5</v>
      </c>
      <c r="C1189" s="9" t="s">
        <v>36</v>
      </c>
      <c r="D1189" s="9" t="s">
        <v>2</v>
      </c>
      <c r="E1189" s="9" t="s">
        <v>32</v>
      </c>
      <c r="F1189" s="9" t="str">
        <f t="shared" si="18"/>
        <v>Not Delivered</v>
      </c>
      <c r="G1189" s="9" t="b">
        <v>1</v>
      </c>
      <c r="H1189" s="9" t="s">
        <v>9</v>
      </c>
      <c r="I1189" s="8">
        <v>8734</v>
      </c>
      <c r="J1189" s="10">
        <v>633.51</v>
      </c>
      <c r="K1189" s="10">
        <v>68.180000000000007</v>
      </c>
      <c r="L1189" s="10">
        <v>109.7</v>
      </c>
      <c r="M1189" s="10">
        <v>811.39</v>
      </c>
      <c r="N1189" s="8">
        <v>11</v>
      </c>
      <c r="O1189" s="6">
        <v>3.4</v>
      </c>
    </row>
    <row r="1190" spans="1:15" x14ac:dyDescent="0.25">
      <c r="A1190" s="8">
        <v>14159</v>
      </c>
      <c r="B1190" s="9" t="s">
        <v>0</v>
      </c>
      <c r="C1190" s="9" t="s">
        <v>53</v>
      </c>
      <c r="D1190" s="9" t="s">
        <v>27</v>
      </c>
      <c r="E1190" s="9" t="s">
        <v>32</v>
      </c>
      <c r="F1190" s="9" t="str">
        <f t="shared" si="18"/>
        <v>Not Delivered</v>
      </c>
      <c r="G1190" s="9" t="b">
        <v>1</v>
      </c>
      <c r="H1190" s="9" t="s">
        <v>18</v>
      </c>
      <c r="I1190" s="8">
        <v>5703</v>
      </c>
      <c r="J1190" s="10">
        <v>987.09</v>
      </c>
      <c r="K1190" s="10">
        <v>94.51</v>
      </c>
      <c r="L1190" s="10">
        <v>45.18</v>
      </c>
      <c r="M1190" s="10">
        <v>1126.78</v>
      </c>
      <c r="N1190" s="8">
        <v>5</v>
      </c>
      <c r="O1190" s="6">
        <v>1.4</v>
      </c>
    </row>
    <row r="1191" spans="1:15" x14ac:dyDescent="0.25">
      <c r="A1191" s="8">
        <v>63591</v>
      </c>
      <c r="B1191" s="9" t="s">
        <v>41</v>
      </c>
      <c r="C1191" s="9" t="s">
        <v>46</v>
      </c>
      <c r="D1191" s="9" t="s">
        <v>16</v>
      </c>
      <c r="E1191" s="9" t="s">
        <v>3</v>
      </c>
      <c r="F1191" s="9" t="str">
        <f t="shared" si="18"/>
        <v>Not Delivered</v>
      </c>
      <c r="G1191" s="9" t="b">
        <v>0</v>
      </c>
      <c r="H1191" s="9" t="s">
        <v>4</v>
      </c>
      <c r="I1191" s="8">
        <v>3948</v>
      </c>
      <c r="J1191" s="10">
        <v>2280.5100000000002</v>
      </c>
      <c r="K1191" s="10">
        <v>110.35</v>
      </c>
      <c r="L1191" s="10">
        <v>0</v>
      </c>
      <c r="M1191" s="10">
        <v>2390.86</v>
      </c>
      <c r="N1191" s="8">
        <v>8</v>
      </c>
      <c r="O1191" s="6">
        <v>3.2</v>
      </c>
    </row>
    <row r="1192" spans="1:15" x14ac:dyDescent="0.25">
      <c r="A1192" s="8">
        <v>27750</v>
      </c>
      <c r="B1192" s="9" t="s">
        <v>0</v>
      </c>
      <c r="C1192" s="9" t="s">
        <v>43</v>
      </c>
      <c r="D1192" s="9" t="s">
        <v>35</v>
      </c>
      <c r="E1192" s="9" t="s">
        <v>17</v>
      </c>
      <c r="F1192" s="9" t="str">
        <f t="shared" si="18"/>
        <v>Not Delivered</v>
      </c>
      <c r="G1192" s="9" t="b">
        <v>1</v>
      </c>
      <c r="H1192" s="9" t="s">
        <v>9</v>
      </c>
      <c r="I1192" s="8">
        <v>7887</v>
      </c>
      <c r="J1192" s="10">
        <v>258.01</v>
      </c>
      <c r="K1192" s="10">
        <v>43.47</v>
      </c>
      <c r="L1192" s="10">
        <v>98.02</v>
      </c>
      <c r="M1192" s="10">
        <v>399.5</v>
      </c>
      <c r="N1192" s="8">
        <v>8</v>
      </c>
      <c r="O1192" s="6">
        <v>2.6</v>
      </c>
    </row>
    <row r="1193" spans="1:15" x14ac:dyDescent="0.25">
      <c r="A1193" s="8">
        <v>59081</v>
      </c>
      <c r="B1193" s="9" t="s">
        <v>0</v>
      </c>
      <c r="C1193" s="9" t="s">
        <v>43</v>
      </c>
      <c r="D1193" s="9" t="s">
        <v>30</v>
      </c>
      <c r="E1193" s="9" t="s">
        <v>3</v>
      </c>
      <c r="F1193" s="9" t="str">
        <f t="shared" si="18"/>
        <v>Not Delivered</v>
      </c>
      <c r="G1193" s="9" t="b">
        <v>0</v>
      </c>
      <c r="H1193" s="9" t="s">
        <v>14</v>
      </c>
      <c r="I1193" s="8">
        <v>7266</v>
      </c>
      <c r="J1193" s="10">
        <v>312.99</v>
      </c>
      <c r="K1193" s="10">
        <v>63.99</v>
      </c>
      <c r="L1193" s="10">
        <v>0</v>
      </c>
      <c r="M1193" s="10">
        <v>376.98</v>
      </c>
      <c r="N1193" s="8">
        <v>9</v>
      </c>
      <c r="O1193" s="6">
        <v>3.8</v>
      </c>
    </row>
    <row r="1194" spans="1:15" x14ac:dyDescent="0.25">
      <c r="A1194" s="8">
        <v>68790</v>
      </c>
      <c r="B1194" s="9" t="s">
        <v>41</v>
      </c>
      <c r="C1194" s="9" t="s">
        <v>46</v>
      </c>
      <c r="D1194" s="9" t="s">
        <v>45</v>
      </c>
      <c r="E1194" s="9" t="s">
        <v>17</v>
      </c>
      <c r="F1194" s="9" t="str">
        <f t="shared" si="18"/>
        <v>Not Delivered</v>
      </c>
      <c r="G1194" s="9" t="b">
        <v>1</v>
      </c>
      <c r="H1194" s="9" t="s">
        <v>9</v>
      </c>
      <c r="I1194" s="8">
        <v>7184</v>
      </c>
      <c r="J1194" s="10">
        <v>921.64</v>
      </c>
      <c r="K1194" s="10">
        <v>0</v>
      </c>
      <c r="L1194" s="10">
        <v>194.42</v>
      </c>
      <c r="M1194" s="10">
        <v>1116.06</v>
      </c>
      <c r="N1194" s="8">
        <v>7</v>
      </c>
      <c r="O1194" s="6">
        <v>2.5</v>
      </c>
    </row>
    <row r="1195" spans="1:15" x14ac:dyDescent="0.25">
      <c r="A1195" s="8">
        <v>59236</v>
      </c>
      <c r="B1195" s="9" t="s">
        <v>5</v>
      </c>
      <c r="C1195" s="9" t="s">
        <v>56</v>
      </c>
      <c r="E1195" s="9" t="s">
        <v>32</v>
      </c>
      <c r="F1195" s="9" t="str">
        <f t="shared" si="18"/>
        <v>Not Delivered</v>
      </c>
      <c r="G1195" s="9" t="b">
        <v>0</v>
      </c>
      <c r="H1195" s="9" t="s">
        <v>4</v>
      </c>
      <c r="I1195" s="8">
        <v>2314</v>
      </c>
      <c r="J1195" s="10">
        <v>1490.88</v>
      </c>
      <c r="K1195" s="10">
        <v>80.59</v>
      </c>
      <c r="L1195" s="10">
        <v>0</v>
      </c>
      <c r="M1195" s="10">
        <v>1571.47</v>
      </c>
      <c r="N1195" s="8">
        <v>13</v>
      </c>
      <c r="O1195" s="6">
        <v>1.2</v>
      </c>
    </row>
    <row r="1196" spans="1:15" x14ac:dyDescent="0.25">
      <c r="A1196" s="8">
        <v>99486</v>
      </c>
      <c r="B1196" s="9" t="s">
        <v>10</v>
      </c>
      <c r="C1196" s="9" t="s">
        <v>15</v>
      </c>
      <c r="D1196" s="9" t="s">
        <v>25</v>
      </c>
      <c r="E1196" s="9" t="s">
        <v>17</v>
      </c>
      <c r="F1196" s="9" t="str">
        <f t="shared" si="18"/>
        <v>Not Delivered</v>
      </c>
      <c r="G1196" s="9" t="b">
        <v>0</v>
      </c>
      <c r="H1196" s="9" t="s">
        <v>33</v>
      </c>
      <c r="I1196" s="8">
        <v>9835</v>
      </c>
      <c r="J1196" s="10">
        <v>1520.92</v>
      </c>
      <c r="K1196" s="10">
        <v>67.34</v>
      </c>
      <c r="L1196" s="10">
        <v>0</v>
      </c>
      <c r="M1196" s="10">
        <v>1588.26</v>
      </c>
      <c r="N1196" s="8">
        <v>12</v>
      </c>
    </row>
    <row r="1197" spans="1:15" x14ac:dyDescent="0.25">
      <c r="A1197" s="8">
        <v>27431</v>
      </c>
      <c r="B1197" s="9" t="s">
        <v>39</v>
      </c>
      <c r="C1197" s="9" t="s">
        <v>40</v>
      </c>
      <c r="D1197" s="9" t="s">
        <v>30</v>
      </c>
      <c r="E1197" s="9" t="s">
        <v>13</v>
      </c>
      <c r="F1197" s="9" t="str">
        <f t="shared" si="18"/>
        <v>Delivered</v>
      </c>
      <c r="G1197" s="9" t="b">
        <v>0</v>
      </c>
      <c r="H1197" s="9" t="s">
        <v>22</v>
      </c>
      <c r="I1197" s="8">
        <v>6697</v>
      </c>
      <c r="J1197" s="10">
        <v>579.51</v>
      </c>
      <c r="K1197" s="10">
        <v>132.37</v>
      </c>
      <c r="L1197" s="10">
        <v>0</v>
      </c>
      <c r="M1197" s="10">
        <v>711.88</v>
      </c>
      <c r="N1197" s="8">
        <v>12</v>
      </c>
      <c r="O1197" s="6">
        <v>4.4000000000000004</v>
      </c>
    </row>
    <row r="1198" spans="1:15" x14ac:dyDescent="0.25">
      <c r="A1198" s="8">
        <v>25549</v>
      </c>
      <c r="B1198" s="9" t="s">
        <v>0</v>
      </c>
      <c r="C1198" s="9" t="s">
        <v>1</v>
      </c>
      <c r="D1198" s="9" t="s">
        <v>2</v>
      </c>
      <c r="E1198" s="9" t="s">
        <v>8</v>
      </c>
      <c r="F1198" s="9" t="str">
        <f t="shared" si="18"/>
        <v>Not Delivered</v>
      </c>
      <c r="G1198" s="9" t="b">
        <v>1</v>
      </c>
      <c r="H1198" s="9" t="s">
        <v>18</v>
      </c>
      <c r="I1198" s="8">
        <v>3924</v>
      </c>
      <c r="J1198" s="10">
        <v>1652.59</v>
      </c>
      <c r="K1198" s="10">
        <v>0</v>
      </c>
      <c r="L1198" s="10">
        <v>85.62</v>
      </c>
      <c r="M1198" s="10">
        <v>1738.21</v>
      </c>
      <c r="N1198" s="8">
        <v>2</v>
      </c>
      <c r="O1198" s="6">
        <v>3</v>
      </c>
    </row>
    <row r="1199" spans="1:15" x14ac:dyDescent="0.25">
      <c r="A1199" s="8">
        <v>80419</v>
      </c>
      <c r="B1199" s="9" t="s">
        <v>5</v>
      </c>
      <c r="C1199" s="9" t="s">
        <v>6</v>
      </c>
      <c r="D1199" s="9" t="s">
        <v>35</v>
      </c>
      <c r="E1199" s="9" t="s">
        <v>32</v>
      </c>
      <c r="F1199" s="9" t="str">
        <f t="shared" si="18"/>
        <v>Not Delivered</v>
      </c>
      <c r="G1199" s="9" t="b">
        <v>1</v>
      </c>
      <c r="H1199" s="9" t="s">
        <v>9</v>
      </c>
      <c r="I1199" s="8">
        <v>7439</v>
      </c>
      <c r="J1199" s="10">
        <v>2320.8000000000002</v>
      </c>
      <c r="K1199" s="10">
        <v>0</v>
      </c>
      <c r="L1199" s="10">
        <v>100.47</v>
      </c>
      <c r="M1199" s="10">
        <v>2421.27</v>
      </c>
      <c r="N1199" s="8">
        <v>4</v>
      </c>
      <c r="O1199" s="6">
        <v>4.7</v>
      </c>
    </row>
    <row r="1200" spans="1:15" x14ac:dyDescent="0.25">
      <c r="A1200" s="8">
        <v>79316</v>
      </c>
      <c r="B1200" s="9" t="s">
        <v>23</v>
      </c>
      <c r="C1200" s="9" t="s">
        <v>49</v>
      </c>
      <c r="D1200" s="9" t="s">
        <v>27</v>
      </c>
      <c r="E1200" s="9" t="s">
        <v>13</v>
      </c>
      <c r="F1200" s="9" t="str">
        <f t="shared" si="18"/>
        <v>Delivered</v>
      </c>
      <c r="G1200" s="9" t="b">
        <v>1</v>
      </c>
      <c r="H1200" s="9" t="s">
        <v>28</v>
      </c>
      <c r="I1200" s="8">
        <v>3086</v>
      </c>
      <c r="J1200" s="10">
        <v>2765.11</v>
      </c>
      <c r="K1200" s="10">
        <v>65.59</v>
      </c>
      <c r="M1200" s="10">
        <v>3018.89</v>
      </c>
      <c r="N1200" s="8">
        <v>7</v>
      </c>
      <c r="O1200" s="6">
        <v>3.8</v>
      </c>
    </row>
    <row r="1201" spans="1:15" x14ac:dyDescent="0.25">
      <c r="A1201" s="8">
        <v>39188</v>
      </c>
      <c r="B1201" s="9" t="s">
        <v>0</v>
      </c>
      <c r="C1201" s="9" t="s">
        <v>51</v>
      </c>
      <c r="D1201" s="9" t="s">
        <v>45</v>
      </c>
      <c r="E1201" s="9" t="s">
        <v>13</v>
      </c>
      <c r="F1201" s="9" t="str">
        <f t="shared" si="18"/>
        <v>Delivered</v>
      </c>
      <c r="G1201" s="9" t="b">
        <v>0</v>
      </c>
      <c r="H1201" s="9" t="s">
        <v>18</v>
      </c>
      <c r="I1201" s="8">
        <v>1056</v>
      </c>
      <c r="J1201" s="10">
        <v>825.19</v>
      </c>
      <c r="K1201" s="10">
        <v>0</v>
      </c>
      <c r="L1201" s="10">
        <v>0</v>
      </c>
      <c r="M1201" s="10">
        <v>825.19</v>
      </c>
      <c r="N1201" s="8">
        <v>7</v>
      </c>
      <c r="O1201" s="6">
        <v>4.5999999999999996</v>
      </c>
    </row>
    <row r="1202" spans="1:15" x14ac:dyDescent="0.25">
      <c r="A1202" s="8">
        <v>12979</v>
      </c>
      <c r="B1202" s="9" t="s">
        <v>5</v>
      </c>
      <c r="C1202" s="9" t="s">
        <v>31</v>
      </c>
      <c r="D1202" s="9" t="s">
        <v>27</v>
      </c>
      <c r="E1202" s="9" t="s">
        <v>17</v>
      </c>
      <c r="F1202" s="9" t="str">
        <f t="shared" si="18"/>
        <v>Not Delivered</v>
      </c>
      <c r="G1202" s="9" t="b">
        <v>0</v>
      </c>
      <c r="H1202" s="9" t="s">
        <v>4</v>
      </c>
      <c r="I1202" s="8">
        <v>5888</v>
      </c>
      <c r="J1202" s="10">
        <v>1792.8</v>
      </c>
      <c r="L1202" s="10">
        <v>0</v>
      </c>
      <c r="M1202" s="10">
        <v>1792.8</v>
      </c>
      <c r="N1202" s="8">
        <v>3</v>
      </c>
      <c r="O1202" s="6">
        <v>1.9</v>
      </c>
    </row>
    <row r="1203" spans="1:15" x14ac:dyDescent="0.25">
      <c r="A1203" s="8">
        <v>70686</v>
      </c>
      <c r="B1203" s="9" t="s">
        <v>23</v>
      </c>
      <c r="C1203" s="9" t="s">
        <v>54</v>
      </c>
      <c r="D1203" s="9" t="s">
        <v>30</v>
      </c>
      <c r="E1203" s="9" t="s">
        <v>13</v>
      </c>
      <c r="F1203" s="9" t="str">
        <f t="shared" si="18"/>
        <v>Delivered</v>
      </c>
      <c r="G1203" s="9" t="b">
        <v>1</v>
      </c>
      <c r="H1203" s="9" t="s">
        <v>33</v>
      </c>
      <c r="I1203" s="8">
        <v>9920</v>
      </c>
      <c r="J1203" s="10">
        <v>339.53</v>
      </c>
      <c r="K1203" s="10">
        <v>65.27</v>
      </c>
      <c r="L1203" s="10">
        <v>195.53</v>
      </c>
      <c r="M1203" s="10">
        <v>600.33000000000004</v>
      </c>
      <c r="N1203" s="8">
        <v>12</v>
      </c>
      <c r="O1203" s="6">
        <v>2.6</v>
      </c>
    </row>
    <row r="1204" spans="1:15" x14ac:dyDescent="0.25">
      <c r="A1204" s="8">
        <v>65591</v>
      </c>
      <c r="B1204" s="9" t="s">
        <v>41</v>
      </c>
      <c r="C1204" s="9" t="s">
        <v>61</v>
      </c>
      <c r="E1204" s="9" t="s">
        <v>3</v>
      </c>
      <c r="F1204" s="9" t="str">
        <f t="shared" si="18"/>
        <v>Not Delivered</v>
      </c>
      <c r="G1204" s="9" t="b">
        <v>1</v>
      </c>
      <c r="H1204" s="9" t="s">
        <v>9</v>
      </c>
      <c r="I1204" s="8">
        <v>9715</v>
      </c>
      <c r="J1204" s="10">
        <v>538.67999999999995</v>
      </c>
      <c r="K1204" s="10">
        <v>0</v>
      </c>
      <c r="L1204" s="10">
        <v>38.869999999999997</v>
      </c>
      <c r="M1204" s="10">
        <v>577.54999999999995</v>
      </c>
      <c r="N1204" s="8">
        <v>8</v>
      </c>
      <c r="O1204" s="6">
        <v>3.1</v>
      </c>
    </row>
    <row r="1205" spans="1:15" x14ac:dyDescent="0.25">
      <c r="A1205" s="8">
        <v>59712</v>
      </c>
      <c r="B1205" s="9" t="s">
        <v>5</v>
      </c>
      <c r="C1205" s="9" t="s">
        <v>6</v>
      </c>
      <c r="D1205" s="9" t="s">
        <v>2</v>
      </c>
      <c r="E1205" s="9" t="s">
        <v>17</v>
      </c>
      <c r="F1205" s="9" t="str">
        <f t="shared" si="18"/>
        <v>Not Delivered</v>
      </c>
      <c r="G1205" s="9" t="b">
        <v>1</v>
      </c>
      <c r="H1205" s="9" t="s">
        <v>22</v>
      </c>
      <c r="I1205" s="8">
        <v>4762</v>
      </c>
      <c r="J1205" s="10">
        <v>725.88</v>
      </c>
      <c r="K1205" s="10">
        <v>68.45</v>
      </c>
      <c r="L1205" s="10">
        <v>71.8</v>
      </c>
      <c r="M1205" s="10">
        <v>866.13</v>
      </c>
      <c r="N1205" s="8">
        <v>6</v>
      </c>
      <c r="O1205" s="6">
        <v>1.6</v>
      </c>
    </row>
    <row r="1206" spans="1:15" x14ac:dyDescent="0.25">
      <c r="A1206" s="8">
        <v>42441</v>
      </c>
      <c r="B1206" s="9" t="s">
        <v>41</v>
      </c>
      <c r="C1206" s="9" t="s">
        <v>46</v>
      </c>
      <c r="D1206" s="9" t="s">
        <v>19</v>
      </c>
      <c r="E1206" s="9" t="s">
        <v>8</v>
      </c>
      <c r="F1206" s="9" t="str">
        <f t="shared" si="18"/>
        <v>Not Delivered</v>
      </c>
      <c r="G1206" s="9" t="b">
        <v>1</v>
      </c>
      <c r="H1206" s="9" t="s">
        <v>4</v>
      </c>
      <c r="I1206" s="8">
        <v>8546</v>
      </c>
      <c r="J1206" s="10">
        <v>1990.81</v>
      </c>
      <c r="K1206" s="10">
        <v>54.38</v>
      </c>
      <c r="L1206" s="10">
        <v>67.069999999999993</v>
      </c>
      <c r="M1206" s="10">
        <v>2112.2600000000002</v>
      </c>
      <c r="N1206" s="8">
        <v>5</v>
      </c>
      <c r="O1206" s="6">
        <v>2.4</v>
      </c>
    </row>
    <row r="1207" spans="1:15" x14ac:dyDescent="0.25">
      <c r="A1207" s="8">
        <v>55371</v>
      </c>
      <c r="B1207" s="9" t="s">
        <v>39</v>
      </c>
      <c r="C1207" s="9" t="s">
        <v>58</v>
      </c>
      <c r="D1207" s="9" t="s">
        <v>25</v>
      </c>
      <c r="E1207" s="9" t="s">
        <v>3</v>
      </c>
      <c r="F1207" s="9" t="str">
        <f t="shared" si="18"/>
        <v>Not Delivered</v>
      </c>
      <c r="G1207" s="9" t="b">
        <v>1</v>
      </c>
      <c r="H1207" s="9" t="s">
        <v>4</v>
      </c>
      <c r="I1207" s="8">
        <v>3541</v>
      </c>
      <c r="J1207" s="10">
        <v>297.39999999999998</v>
      </c>
      <c r="K1207" s="10">
        <v>46.89</v>
      </c>
      <c r="L1207" s="10">
        <v>59.2</v>
      </c>
      <c r="M1207" s="10">
        <v>403.49</v>
      </c>
      <c r="N1207" s="8">
        <v>4</v>
      </c>
      <c r="O1207" s="6">
        <v>3.9</v>
      </c>
    </row>
    <row r="1208" spans="1:15" x14ac:dyDescent="0.25">
      <c r="A1208" s="8">
        <v>46129</v>
      </c>
      <c r="B1208" s="9" t="s">
        <v>23</v>
      </c>
      <c r="C1208" s="9" t="s">
        <v>34</v>
      </c>
      <c r="D1208" s="9" t="s">
        <v>12</v>
      </c>
      <c r="E1208" s="9" t="s">
        <v>3</v>
      </c>
      <c r="F1208" s="9" t="str">
        <f t="shared" si="18"/>
        <v>Not Delivered</v>
      </c>
      <c r="G1208" s="9" t="b">
        <v>0</v>
      </c>
      <c r="H1208" s="9" t="s">
        <v>18</v>
      </c>
      <c r="I1208" s="8">
        <v>4088</v>
      </c>
      <c r="J1208" s="10">
        <v>1656.39</v>
      </c>
      <c r="K1208" s="10">
        <v>64.34</v>
      </c>
      <c r="L1208" s="10">
        <v>0</v>
      </c>
      <c r="M1208" s="10">
        <v>1720.73</v>
      </c>
      <c r="N1208" s="8">
        <v>1</v>
      </c>
    </row>
    <row r="1209" spans="1:15" x14ac:dyDescent="0.25">
      <c r="A1209" s="8">
        <v>24790</v>
      </c>
      <c r="B1209" s="9" t="s">
        <v>41</v>
      </c>
      <c r="C1209" s="9" t="s">
        <v>47</v>
      </c>
      <c r="D1209" s="9" t="s">
        <v>12</v>
      </c>
      <c r="E1209" s="9" t="s">
        <v>8</v>
      </c>
      <c r="F1209" s="9" t="str">
        <f t="shared" si="18"/>
        <v>Not Delivered</v>
      </c>
      <c r="G1209" s="9" t="b">
        <v>0</v>
      </c>
      <c r="H1209" s="9" t="s">
        <v>28</v>
      </c>
      <c r="I1209" s="8">
        <v>1527</v>
      </c>
      <c r="J1209" s="10">
        <v>1660.89</v>
      </c>
      <c r="K1209" s="10">
        <v>0</v>
      </c>
      <c r="L1209" s="10">
        <v>0</v>
      </c>
      <c r="M1209" s="10">
        <v>1660.89</v>
      </c>
      <c r="N1209" s="8">
        <v>6</v>
      </c>
    </row>
    <row r="1210" spans="1:15" x14ac:dyDescent="0.25">
      <c r="A1210" s="8">
        <v>96533</v>
      </c>
      <c r="B1210" s="9" t="s">
        <v>5</v>
      </c>
      <c r="C1210" s="9" t="s">
        <v>44</v>
      </c>
      <c r="D1210" s="9" t="s">
        <v>27</v>
      </c>
      <c r="E1210" s="9" t="s">
        <v>17</v>
      </c>
      <c r="F1210" s="9" t="str">
        <f t="shared" si="18"/>
        <v>Not Delivered</v>
      </c>
      <c r="G1210" s="9" t="b">
        <v>0</v>
      </c>
      <c r="H1210" s="9" t="s">
        <v>18</v>
      </c>
      <c r="I1210" s="8">
        <v>7868</v>
      </c>
      <c r="J1210" s="10">
        <v>207.87</v>
      </c>
      <c r="K1210" s="10">
        <v>29.38</v>
      </c>
      <c r="L1210" s="10">
        <v>0</v>
      </c>
      <c r="M1210" s="10">
        <v>237.25</v>
      </c>
      <c r="N1210" s="8">
        <v>13</v>
      </c>
      <c r="O1210" s="6">
        <v>4.4000000000000004</v>
      </c>
    </row>
    <row r="1211" spans="1:15" x14ac:dyDescent="0.25">
      <c r="A1211" s="8">
        <v>90599</v>
      </c>
      <c r="B1211" s="9" t="s">
        <v>41</v>
      </c>
      <c r="C1211" s="9" t="s">
        <v>47</v>
      </c>
      <c r="D1211" s="9" t="s">
        <v>2</v>
      </c>
      <c r="E1211" s="9" t="s">
        <v>3</v>
      </c>
      <c r="F1211" s="9" t="str">
        <f t="shared" si="18"/>
        <v>Not Delivered</v>
      </c>
      <c r="G1211" s="9" t="b">
        <v>0</v>
      </c>
      <c r="H1211" s="9" t="s">
        <v>9</v>
      </c>
      <c r="I1211" s="8">
        <v>1256</v>
      </c>
      <c r="J1211" s="10">
        <v>343.55</v>
      </c>
      <c r="K1211" s="10">
        <v>86.8</v>
      </c>
      <c r="L1211" s="10">
        <v>0</v>
      </c>
      <c r="M1211" s="10">
        <v>430.35</v>
      </c>
      <c r="N1211" s="8">
        <v>10</v>
      </c>
      <c r="O1211" s="6">
        <v>2.1</v>
      </c>
    </row>
    <row r="1212" spans="1:15" x14ac:dyDescent="0.25">
      <c r="A1212" s="8">
        <v>41544</v>
      </c>
      <c r="B1212" s="9" t="s">
        <v>0</v>
      </c>
      <c r="C1212" s="9" t="s">
        <v>53</v>
      </c>
      <c r="D1212" s="9" t="s">
        <v>30</v>
      </c>
      <c r="E1212" s="9" t="s">
        <v>13</v>
      </c>
      <c r="F1212" s="9" t="str">
        <f t="shared" si="18"/>
        <v>Delivered</v>
      </c>
      <c r="G1212" s="9" t="b">
        <v>0</v>
      </c>
      <c r="H1212" s="9" t="s">
        <v>28</v>
      </c>
      <c r="I1212" s="8">
        <v>4376</v>
      </c>
      <c r="J1212" s="10">
        <v>1276.75</v>
      </c>
      <c r="K1212" s="10">
        <v>84.51</v>
      </c>
      <c r="L1212" s="10">
        <v>0</v>
      </c>
      <c r="M1212" s="10">
        <v>1361.26</v>
      </c>
      <c r="N1212" s="8">
        <v>8</v>
      </c>
      <c r="O1212" s="6">
        <v>1.6</v>
      </c>
    </row>
    <row r="1213" spans="1:15" x14ac:dyDescent="0.25">
      <c r="A1213" s="8">
        <v>18819</v>
      </c>
      <c r="B1213" s="9" t="s">
        <v>23</v>
      </c>
      <c r="C1213" s="9" t="s">
        <v>49</v>
      </c>
      <c r="D1213" s="9" t="s">
        <v>25</v>
      </c>
      <c r="E1213" s="9" t="s">
        <v>3</v>
      </c>
      <c r="F1213" s="9" t="str">
        <f t="shared" si="18"/>
        <v>Not Delivered</v>
      </c>
      <c r="G1213" s="9" t="b">
        <v>0</v>
      </c>
      <c r="H1213" s="9" t="s">
        <v>14</v>
      </c>
      <c r="I1213" s="8">
        <v>2653</v>
      </c>
      <c r="J1213" s="10">
        <v>1965.72</v>
      </c>
      <c r="K1213" s="10">
        <v>0</v>
      </c>
      <c r="L1213" s="10">
        <v>0</v>
      </c>
      <c r="M1213" s="10">
        <v>1965.72</v>
      </c>
      <c r="N1213" s="8">
        <v>5</v>
      </c>
      <c r="O1213" s="6">
        <v>2.5</v>
      </c>
    </row>
    <row r="1214" spans="1:15" x14ac:dyDescent="0.25">
      <c r="A1214" s="8">
        <v>87849</v>
      </c>
      <c r="B1214" s="9" t="s">
        <v>10</v>
      </c>
      <c r="C1214" s="9" t="s">
        <v>29</v>
      </c>
      <c r="D1214" s="9" t="s">
        <v>16</v>
      </c>
      <c r="E1214" s="9" t="s">
        <v>3</v>
      </c>
      <c r="F1214" s="9" t="str">
        <f t="shared" si="18"/>
        <v>Not Delivered</v>
      </c>
      <c r="G1214" s="9" t="b">
        <v>1</v>
      </c>
      <c r="H1214" s="9" t="s">
        <v>9</v>
      </c>
      <c r="I1214" s="8">
        <v>1550</v>
      </c>
      <c r="J1214" s="10">
        <v>180.85</v>
      </c>
      <c r="K1214" s="10">
        <v>55.78</v>
      </c>
      <c r="L1214" s="10">
        <v>168.75</v>
      </c>
      <c r="M1214" s="10">
        <v>405.38</v>
      </c>
      <c r="N1214" s="8">
        <v>11</v>
      </c>
      <c r="O1214" s="6">
        <v>4.8</v>
      </c>
    </row>
    <row r="1215" spans="1:15" x14ac:dyDescent="0.25">
      <c r="A1215" s="8">
        <v>68515</v>
      </c>
      <c r="B1215" s="9" t="s">
        <v>0</v>
      </c>
      <c r="C1215" s="9" t="s">
        <v>37</v>
      </c>
      <c r="D1215" s="9" t="s">
        <v>19</v>
      </c>
      <c r="E1215" s="9" t="s">
        <v>32</v>
      </c>
      <c r="F1215" s="9" t="str">
        <f t="shared" si="18"/>
        <v>Not Delivered</v>
      </c>
      <c r="G1215" s="9" t="b">
        <v>0</v>
      </c>
      <c r="H1215" s="9" t="s">
        <v>28</v>
      </c>
      <c r="I1215" s="8">
        <v>1797</v>
      </c>
      <c r="J1215" s="10">
        <v>882.42</v>
      </c>
      <c r="K1215" s="10">
        <v>86.36</v>
      </c>
      <c r="L1215" s="10">
        <v>0</v>
      </c>
      <c r="M1215" s="10">
        <v>968.78</v>
      </c>
      <c r="N1215" s="8">
        <v>11</v>
      </c>
      <c r="O1215" s="6">
        <v>3.9</v>
      </c>
    </row>
    <row r="1216" spans="1:15" x14ac:dyDescent="0.25">
      <c r="A1216" s="8">
        <v>42077</v>
      </c>
      <c r="B1216" s="9" t="s">
        <v>0</v>
      </c>
      <c r="C1216" s="9" t="s">
        <v>53</v>
      </c>
      <c r="D1216" s="9" t="s">
        <v>16</v>
      </c>
      <c r="E1216" s="9" t="s">
        <v>13</v>
      </c>
      <c r="F1216" s="9" t="str">
        <f t="shared" si="18"/>
        <v>Delivered</v>
      </c>
      <c r="G1216" s="9" t="b">
        <v>0</v>
      </c>
      <c r="H1216" s="9" t="s">
        <v>22</v>
      </c>
      <c r="I1216" s="8">
        <v>1724</v>
      </c>
      <c r="J1216" s="10">
        <v>1087.8399999999999</v>
      </c>
      <c r="K1216" s="10">
        <v>122.93</v>
      </c>
      <c r="L1216" s="10">
        <v>0</v>
      </c>
      <c r="M1216" s="10">
        <v>1210.77</v>
      </c>
      <c r="N1216" s="8">
        <v>8</v>
      </c>
      <c r="O1216" s="6">
        <v>4.0999999999999996</v>
      </c>
    </row>
    <row r="1217" spans="1:15" x14ac:dyDescent="0.25">
      <c r="A1217" s="8">
        <v>62725</v>
      </c>
      <c r="B1217" s="9" t="s">
        <v>10</v>
      </c>
      <c r="C1217" s="9" t="s">
        <v>29</v>
      </c>
      <c r="D1217" s="9" t="s">
        <v>2</v>
      </c>
      <c r="E1217" s="9" t="s">
        <v>3</v>
      </c>
      <c r="F1217" s="9" t="str">
        <f t="shared" si="18"/>
        <v>Not Delivered</v>
      </c>
      <c r="G1217" s="9" t="b">
        <v>0</v>
      </c>
      <c r="H1217" s="9" t="s">
        <v>4</v>
      </c>
      <c r="I1217" s="8">
        <v>8191</v>
      </c>
      <c r="J1217" s="10">
        <v>846.38</v>
      </c>
      <c r="K1217" s="10">
        <v>104.28</v>
      </c>
      <c r="L1217" s="10">
        <v>0</v>
      </c>
      <c r="M1217" s="10">
        <v>950.66</v>
      </c>
      <c r="N1217" s="8">
        <v>5</v>
      </c>
      <c r="O1217" s="6">
        <v>4.8</v>
      </c>
    </row>
    <row r="1218" spans="1:15" x14ac:dyDescent="0.25">
      <c r="A1218" s="8">
        <v>40715</v>
      </c>
      <c r="B1218" s="9" t="s">
        <v>23</v>
      </c>
      <c r="C1218" s="9" t="s">
        <v>24</v>
      </c>
      <c r="D1218" s="9" t="s">
        <v>19</v>
      </c>
      <c r="E1218" s="9" t="s">
        <v>3</v>
      </c>
      <c r="F1218" s="9" t="str">
        <f t="shared" si="18"/>
        <v>Not Delivered</v>
      </c>
      <c r="G1218" s="9" t="b">
        <v>0</v>
      </c>
      <c r="H1218" s="9" t="s">
        <v>18</v>
      </c>
      <c r="I1218" s="8">
        <v>9843</v>
      </c>
      <c r="J1218" s="10">
        <v>1112.4000000000001</v>
      </c>
      <c r="K1218" s="10">
        <v>115.97</v>
      </c>
      <c r="L1218" s="10">
        <v>0</v>
      </c>
      <c r="M1218" s="10">
        <v>1228.3699999999999</v>
      </c>
      <c r="N1218" s="8">
        <v>3</v>
      </c>
      <c r="O1218" s="6">
        <v>1.1000000000000001</v>
      </c>
    </row>
    <row r="1219" spans="1:15" x14ac:dyDescent="0.25">
      <c r="A1219" s="8">
        <v>38477</v>
      </c>
      <c r="B1219" s="9" t="s">
        <v>0</v>
      </c>
      <c r="C1219" s="9" t="s">
        <v>53</v>
      </c>
      <c r="D1219" s="9" t="s">
        <v>45</v>
      </c>
      <c r="E1219" s="9" t="s">
        <v>32</v>
      </c>
      <c r="F1219" s="9" t="str">
        <f t="shared" ref="F1219:F1282" si="19">IF(OR(
E1219="Failed Delivery",
E1219="Cancelled",
E1219="Pending",
E1219="Rescheduled",
E1219="In Transit"
),"Not Delivered","Delivered")</f>
        <v>Not Delivered</v>
      </c>
      <c r="G1219" s="9" t="b">
        <v>1</v>
      </c>
      <c r="H1219" s="9" t="s">
        <v>14</v>
      </c>
      <c r="I1219" s="8">
        <v>1924</v>
      </c>
      <c r="J1219" s="10">
        <v>600.98</v>
      </c>
      <c r="K1219" s="10">
        <v>106.34</v>
      </c>
      <c r="L1219" s="10">
        <v>236.26</v>
      </c>
      <c r="M1219" s="10">
        <v>943.58</v>
      </c>
      <c r="N1219" s="8">
        <v>13</v>
      </c>
      <c r="O1219" s="6">
        <v>2.6</v>
      </c>
    </row>
    <row r="1220" spans="1:15" x14ac:dyDescent="0.25">
      <c r="A1220" s="8">
        <v>28367</v>
      </c>
      <c r="B1220" s="9" t="s">
        <v>0</v>
      </c>
      <c r="C1220" s="9" t="s">
        <v>53</v>
      </c>
      <c r="D1220" s="9" t="s">
        <v>25</v>
      </c>
      <c r="E1220" s="9" t="s">
        <v>13</v>
      </c>
      <c r="F1220" s="9" t="str">
        <f t="shared" si="19"/>
        <v>Delivered</v>
      </c>
      <c r="G1220" s="9" t="b">
        <v>1</v>
      </c>
      <c r="H1220" s="9" t="s">
        <v>14</v>
      </c>
      <c r="I1220" s="8">
        <v>9255</v>
      </c>
      <c r="J1220" s="10">
        <v>1408.32</v>
      </c>
      <c r="K1220" s="10">
        <v>111.04</v>
      </c>
      <c r="L1220" s="10">
        <v>44.67</v>
      </c>
      <c r="M1220" s="10">
        <v>1564.03</v>
      </c>
      <c r="N1220" s="8">
        <v>2</v>
      </c>
    </row>
    <row r="1221" spans="1:15" x14ac:dyDescent="0.25">
      <c r="A1221" s="8">
        <v>47914</v>
      </c>
      <c r="B1221" s="9" t="s">
        <v>5</v>
      </c>
      <c r="C1221" s="9" t="s">
        <v>56</v>
      </c>
      <c r="D1221" s="9" t="s">
        <v>45</v>
      </c>
      <c r="E1221" s="9" t="s">
        <v>3</v>
      </c>
      <c r="F1221" s="9" t="str">
        <f t="shared" si="19"/>
        <v>Not Delivered</v>
      </c>
      <c r="G1221" s="9" t="b">
        <v>1</v>
      </c>
      <c r="H1221" s="9" t="s">
        <v>33</v>
      </c>
      <c r="I1221" s="8">
        <v>4836</v>
      </c>
      <c r="J1221" s="10">
        <v>2342.59</v>
      </c>
      <c r="K1221" s="10">
        <v>124.36</v>
      </c>
      <c r="L1221" s="10">
        <v>184.07</v>
      </c>
      <c r="M1221" s="10">
        <v>2651.02</v>
      </c>
      <c r="N1221" s="8">
        <v>6</v>
      </c>
      <c r="O1221" s="6">
        <v>2.2999999999999998</v>
      </c>
    </row>
    <row r="1222" spans="1:15" x14ac:dyDescent="0.25">
      <c r="A1222" s="8">
        <v>85511</v>
      </c>
      <c r="B1222" s="9" t="s">
        <v>0</v>
      </c>
      <c r="C1222" s="9" t="s">
        <v>53</v>
      </c>
      <c r="D1222" s="9" t="s">
        <v>7</v>
      </c>
      <c r="E1222" s="9" t="s">
        <v>21</v>
      </c>
      <c r="F1222" s="9" t="str">
        <f t="shared" si="19"/>
        <v>Not Delivered</v>
      </c>
      <c r="G1222" s="9" t="b">
        <v>1</v>
      </c>
      <c r="H1222" s="9" t="s">
        <v>18</v>
      </c>
      <c r="I1222" s="8">
        <v>6224</v>
      </c>
      <c r="J1222" s="10">
        <v>628.07000000000005</v>
      </c>
      <c r="K1222" s="10">
        <v>0</v>
      </c>
      <c r="L1222" s="10">
        <v>58.16</v>
      </c>
      <c r="M1222" s="10">
        <v>686.23</v>
      </c>
      <c r="N1222" s="8">
        <v>2</v>
      </c>
      <c r="O1222" s="6">
        <v>3.5</v>
      </c>
    </row>
    <row r="1223" spans="1:15" x14ac:dyDescent="0.25">
      <c r="A1223" s="8">
        <v>85690</v>
      </c>
      <c r="B1223" s="9" t="s">
        <v>0</v>
      </c>
      <c r="C1223" s="9" t="s">
        <v>37</v>
      </c>
      <c r="D1223" s="9" t="s">
        <v>25</v>
      </c>
      <c r="E1223" s="9" t="s">
        <v>32</v>
      </c>
      <c r="F1223" s="9" t="str">
        <f t="shared" si="19"/>
        <v>Not Delivered</v>
      </c>
      <c r="G1223" s="9" t="b">
        <v>1</v>
      </c>
      <c r="H1223" s="9" t="s">
        <v>9</v>
      </c>
      <c r="I1223" s="8">
        <v>6253</v>
      </c>
      <c r="J1223" s="10">
        <v>1304.77</v>
      </c>
      <c r="K1223" s="10">
        <v>0</v>
      </c>
      <c r="L1223" s="10">
        <v>41.6</v>
      </c>
      <c r="M1223" s="10">
        <v>1346.37</v>
      </c>
      <c r="N1223" s="8">
        <v>3</v>
      </c>
      <c r="O1223" s="6">
        <v>1.4</v>
      </c>
    </row>
    <row r="1224" spans="1:15" x14ac:dyDescent="0.25">
      <c r="A1224" s="8">
        <v>41051</v>
      </c>
      <c r="B1224" s="9" t="s">
        <v>39</v>
      </c>
      <c r="C1224" s="9" t="s">
        <v>58</v>
      </c>
      <c r="D1224" s="9" t="s">
        <v>25</v>
      </c>
      <c r="E1224" s="9" t="s">
        <v>3</v>
      </c>
      <c r="F1224" s="9" t="str">
        <f t="shared" si="19"/>
        <v>Not Delivered</v>
      </c>
      <c r="G1224" s="9" t="b">
        <v>0</v>
      </c>
      <c r="H1224" s="9" t="s">
        <v>22</v>
      </c>
      <c r="I1224" s="8">
        <v>5944</v>
      </c>
      <c r="J1224" s="10">
        <v>757.17</v>
      </c>
      <c r="K1224" s="10">
        <v>108.62</v>
      </c>
      <c r="L1224" s="10">
        <v>0</v>
      </c>
      <c r="M1224" s="10">
        <v>865.79</v>
      </c>
      <c r="N1224" s="8">
        <v>8</v>
      </c>
      <c r="O1224" s="6">
        <v>1.7</v>
      </c>
    </row>
    <row r="1225" spans="1:15" x14ac:dyDescent="0.25">
      <c r="A1225" s="8">
        <v>28777</v>
      </c>
      <c r="B1225" s="9" t="s">
        <v>41</v>
      </c>
      <c r="C1225" s="9" t="s">
        <v>61</v>
      </c>
      <c r="D1225" s="9" t="s">
        <v>12</v>
      </c>
      <c r="E1225" s="9" t="s">
        <v>8</v>
      </c>
      <c r="F1225" s="9" t="str">
        <f t="shared" si="19"/>
        <v>Not Delivered</v>
      </c>
      <c r="G1225" s="9" t="b">
        <v>1</v>
      </c>
      <c r="H1225" s="9" t="s">
        <v>28</v>
      </c>
      <c r="I1225" s="8">
        <v>9540</v>
      </c>
      <c r="J1225" s="10">
        <v>2248.33</v>
      </c>
      <c r="K1225" s="10">
        <v>138.65</v>
      </c>
      <c r="L1225" s="10">
        <v>56.75</v>
      </c>
      <c r="M1225" s="10">
        <v>2443.73</v>
      </c>
      <c r="N1225" s="8">
        <v>5</v>
      </c>
      <c r="O1225" s="6">
        <v>4.7</v>
      </c>
    </row>
    <row r="1226" spans="1:15" x14ac:dyDescent="0.25">
      <c r="A1226" s="8">
        <v>38972</v>
      </c>
      <c r="B1226" s="9" t="s">
        <v>0</v>
      </c>
      <c r="C1226" s="9" t="s">
        <v>51</v>
      </c>
      <c r="D1226" s="9" t="s">
        <v>2</v>
      </c>
      <c r="E1226" s="9" t="s">
        <v>21</v>
      </c>
      <c r="F1226" s="9" t="str">
        <f t="shared" si="19"/>
        <v>Not Delivered</v>
      </c>
      <c r="G1226" s="9" t="b">
        <v>0</v>
      </c>
      <c r="H1226" s="9" t="s">
        <v>9</v>
      </c>
      <c r="I1226" s="8">
        <v>7775</v>
      </c>
      <c r="J1226" s="10">
        <v>632.38</v>
      </c>
      <c r="K1226" s="10">
        <v>128.66</v>
      </c>
      <c r="L1226" s="10">
        <v>0</v>
      </c>
      <c r="M1226" s="10">
        <v>761.04</v>
      </c>
      <c r="N1226" s="8">
        <v>10</v>
      </c>
      <c r="O1226" s="6">
        <v>3</v>
      </c>
    </row>
    <row r="1227" spans="1:15" x14ac:dyDescent="0.25">
      <c r="A1227" s="8">
        <v>49387</v>
      </c>
      <c r="B1227" s="9" t="s">
        <v>23</v>
      </c>
      <c r="C1227" s="9" t="s">
        <v>49</v>
      </c>
      <c r="D1227" s="9" t="s">
        <v>35</v>
      </c>
      <c r="E1227" s="9" t="s">
        <v>32</v>
      </c>
      <c r="F1227" s="9" t="str">
        <f t="shared" si="19"/>
        <v>Not Delivered</v>
      </c>
      <c r="G1227" s="9" t="b">
        <v>0</v>
      </c>
      <c r="H1227" s="9" t="s">
        <v>4</v>
      </c>
      <c r="I1227" s="8">
        <v>5508</v>
      </c>
      <c r="J1227" s="10">
        <v>2576.0700000000002</v>
      </c>
      <c r="K1227" s="10">
        <v>0</v>
      </c>
      <c r="L1227" s="10">
        <v>0</v>
      </c>
      <c r="M1227" s="10">
        <v>2576.0700000000002</v>
      </c>
      <c r="N1227" s="8">
        <v>9</v>
      </c>
      <c r="O1227" s="6">
        <v>1.1000000000000001</v>
      </c>
    </row>
    <row r="1228" spans="1:15" x14ac:dyDescent="0.25">
      <c r="A1228" s="8">
        <v>17989</v>
      </c>
      <c r="B1228" s="9" t="s">
        <v>0</v>
      </c>
      <c r="C1228" s="9" t="s">
        <v>53</v>
      </c>
      <c r="D1228" s="9" t="s">
        <v>38</v>
      </c>
      <c r="E1228" s="9" t="s">
        <v>8</v>
      </c>
      <c r="F1228" s="9" t="str">
        <f t="shared" si="19"/>
        <v>Not Delivered</v>
      </c>
      <c r="G1228" s="9" t="b">
        <v>0</v>
      </c>
      <c r="H1228" s="9" t="s">
        <v>9</v>
      </c>
      <c r="I1228" s="8">
        <v>3869</v>
      </c>
      <c r="J1228" s="10">
        <v>1305.8499999999999</v>
      </c>
      <c r="K1228" s="10">
        <v>0</v>
      </c>
      <c r="L1228" s="10">
        <v>0</v>
      </c>
      <c r="M1228" s="10">
        <v>1305.8499999999999</v>
      </c>
      <c r="N1228" s="8">
        <v>6</v>
      </c>
    </row>
    <row r="1229" spans="1:15" x14ac:dyDescent="0.25">
      <c r="A1229" s="8">
        <v>92050</v>
      </c>
      <c r="B1229" s="9" t="s">
        <v>0</v>
      </c>
      <c r="C1229" s="9" t="s">
        <v>1</v>
      </c>
      <c r="D1229" s="9" t="s">
        <v>25</v>
      </c>
      <c r="E1229" s="9" t="s">
        <v>8</v>
      </c>
      <c r="F1229" s="9" t="str">
        <f t="shared" si="19"/>
        <v>Not Delivered</v>
      </c>
      <c r="G1229" s="9" t="b">
        <v>1</v>
      </c>
      <c r="H1229" s="9" t="s">
        <v>22</v>
      </c>
      <c r="I1229" s="8">
        <v>7999</v>
      </c>
      <c r="J1229" s="10">
        <v>699.32</v>
      </c>
      <c r="K1229" s="10">
        <v>0</v>
      </c>
      <c r="L1229" s="10">
        <v>32.57</v>
      </c>
      <c r="M1229" s="10">
        <v>731.89</v>
      </c>
      <c r="N1229" s="8">
        <v>4</v>
      </c>
      <c r="O1229" s="6">
        <v>2.5</v>
      </c>
    </row>
    <row r="1230" spans="1:15" x14ac:dyDescent="0.25">
      <c r="A1230" s="8">
        <v>82856</v>
      </c>
      <c r="B1230" s="9" t="s">
        <v>10</v>
      </c>
      <c r="C1230" s="9" t="s">
        <v>20</v>
      </c>
      <c r="E1230" s="9" t="s">
        <v>8</v>
      </c>
      <c r="F1230" s="9" t="str">
        <f t="shared" si="19"/>
        <v>Not Delivered</v>
      </c>
      <c r="G1230" s="9" t="b">
        <v>0</v>
      </c>
      <c r="H1230" s="9" t="s">
        <v>33</v>
      </c>
      <c r="I1230" s="8">
        <v>9120</v>
      </c>
      <c r="J1230" s="10">
        <v>737.71</v>
      </c>
      <c r="K1230" s="10">
        <v>135.36000000000001</v>
      </c>
      <c r="L1230" s="10">
        <v>0</v>
      </c>
      <c r="M1230" s="10">
        <v>873.07</v>
      </c>
      <c r="N1230" s="8">
        <v>7</v>
      </c>
      <c r="O1230" s="6">
        <v>1.5</v>
      </c>
    </row>
    <row r="1231" spans="1:15" x14ac:dyDescent="0.25">
      <c r="A1231" s="8">
        <v>16145</v>
      </c>
      <c r="B1231" s="9" t="s">
        <v>41</v>
      </c>
      <c r="C1231" s="9" t="s">
        <v>46</v>
      </c>
      <c r="E1231" s="9" t="s">
        <v>13</v>
      </c>
      <c r="F1231" s="9" t="str">
        <f t="shared" si="19"/>
        <v>Delivered</v>
      </c>
      <c r="G1231" s="9" t="b">
        <v>0</v>
      </c>
      <c r="H1231" s="9" t="s">
        <v>14</v>
      </c>
      <c r="I1231" s="8">
        <v>6642</v>
      </c>
      <c r="J1231" s="10">
        <v>1375.43</v>
      </c>
      <c r="K1231" s="10">
        <v>0</v>
      </c>
      <c r="L1231" s="10">
        <v>0</v>
      </c>
      <c r="M1231" s="10">
        <v>1375.43</v>
      </c>
      <c r="N1231" s="8">
        <v>11</v>
      </c>
    </row>
    <row r="1232" spans="1:15" x14ac:dyDescent="0.25">
      <c r="A1232" s="8">
        <v>94320</v>
      </c>
      <c r="B1232" s="9" t="s">
        <v>41</v>
      </c>
      <c r="C1232" s="9" t="s">
        <v>47</v>
      </c>
      <c r="D1232" s="9" t="s">
        <v>2</v>
      </c>
      <c r="E1232" s="9" t="s">
        <v>32</v>
      </c>
      <c r="F1232" s="9" t="str">
        <f t="shared" si="19"/>
        <v>Not Delivered</v>
      </c>
      <c r="G1232" s="9" t="b">
        <v>1</v>
      </c>
      <c r="H1232" s="9" t="s">
        <v>14</v>
      </c>
      <c r="I1232" s="8">
        <v>7244</v>
      </c>
      <c r="J1232" s="10">
        <v>350.62</v>
      </c>
      <c r="K1232" s="10">
        <v>34.64</v>
      </c>
      <c r="L1232" s="10">
        <v>53.72</v>
      </c>
      <c r="M1232" s="10">
        <v>438.98</v>
      </c>
      <c r="N1232" s="8">
        <v>6</v>
      </c>
    </row>
    <row r="1233" spans="1:15" x14ac:dyDescent="0.25">
      <c r="A1233" s="8">
        <v>78742</v>
      </c>
      <c r="B1233" s="9" t="s">
        <v>5</v>
      </c>
      <c r="C1233" s="9" t="s">
        <v>6</v>
      </c>
      <c r="E1233" s="9" t="s">
        <v>8</v>
      </c>
      <c r="F1233" s="9" t="str">
        <f t="shared" si="19"/>
        <v>Not Delivered</v>
      </c>
      <c r="G1233" s="9" t="b">
        <v>0</v>
      </c>
      <c r="H1233" s="9" t="s">
        <v>14</v>
      </c>
      <c r="I1233" s="8">
        <v>6222</v>
      </c>
      <c r="J1233" s="10">
        <v>222.18</v>
      </c>
      <c r="K1233" s="10">
        <v>26.01</v>
      </c>
      <c r="L1233" s="10">
        <v>0</v>
      </c>
      <c r="M1233" s="10">
        <v>248.19</v>
      </c>
      <c r="N1233" s="8">
        <v>14</v>
      </c>
      <c r="O1233" s="6">
        <v>1.3</v>
      </c>
    </row>
    <row r="1234" spans="1:15" x14ac:dyDescent="0.25">
      <c r="A1234" s="8">
        <v>64568</v>
      </c>
      <c r="B1234" s="9" t="s">
        <v>39</v>
      </c>
      <c r="C1234" s="9" t="s">
        <v>52</v>
      </c>
      <c r="D1234" s="9" t="s">
        <v>7</v>
      </c>
      <c r="E1234" s="9" t="s">
        <v>17</v>
      </c>
      <c r="F1234" s="9" t="str">
        <f t="shared" si="19"/>
        <v>Not Delivered</v>
      </c>
      <c r="G1234" s="9" t="b">
        <v>1</v>
      </c>
      <c r="H1234" s="9" t="s">
        <v>22</v>
      </c>
      <c r="I1234" s="8">
        <v>7688</v>
      </c>
      <c r="J1234" s="10">
        <v>1196.31</v>
      </c>
      <c r="K1234" s="10">
        <v>0</v>
      </c>
      <c r="L1234" s="10">
        <v>42.6</v>
      </c>
      <c r="M1234" s="10">
        <v>1238.9100000000001</v>
      </c>
      <c r="N1234" s="8">
        <v>4</v>
      </c>
      <c r="O1234" s="6">
        <v>4.7</v>
      </c>
    </row>
    <row r="1235" spans="1:15" x14ac:dyDescent="0.25">
      <c r="A1235" s="8">
        <v>29558</v>
      </c>
      <c r="B1235" s="9" t="s">
        <v>5</v>
      </c>
      <c r="C1235" s="9" t="s">
        <v>6</v>
      </c>
      <c r="D1235" s="9" t="s">
        <v>38</v>
      </c>
      <c r="E1235" s="9" t="s">
        <v>3</v>
      </c>
      <c r="F1235" s="9" t="str">
        <f t="shared" si="19"/>
        <v>Not Delivered</v>
      </c>
      <c r="G1235" s="9" t="b">
        <v>1</v>
      </c>
      <c r="H1235" s="9" t="s">
        <v>18</v>
      </c>
      <c r="I1235" s="8">
        <v>5913</v>
      </c>
      <c r="J1235" s="10">
        <v>1195.83</v>
      </c>
      <c r="K1235" s="10">
        <v>71.02</v>
      </c>
      <c r="L1235" s="10">
        <v>198.06</v>
      </c>
      <c r="M1235" s="10">
        <v>1464.91</v>
      </c>
      <c r="N1235" s="8">
        <v>9</v>
      </c>
      <c r="O1235" s="6">
        <v>4.3</v>
      </c>
    </row>
    <row r="1236" spans="1:15" x14ac:dyDescent="0.25">
      <c r="A1236" s="8">
        <v>59343</v>
      </c>
      <c r="B1236" s="9" t="s">
        <v>0</v>
      </c>
      <c r="C1236" s="9" t="s">
        <v>53</v>
      </c>
      <c r="D1236" s="9" t="s">
        <v>19</v>
      </c>
      <c r="E1236" s="9" t="s">
        <v>13</v>
      </c>
      <c r="F1236" s="9" t="str">
        <f t="shared" si="19"/>
        <v>Delivered</v>
      </c>
      <c r="G1236" s="9" t="b">
        <v>1</v>
      </c>
      <c r="H1236" s="9" t="s">
        <v>28</v>
      </c>
      <c r="I1236" s="8">
        <v>4012</v>
      </c>
      <c r="J1236" s="10">
        <v>924.2</v>
      </c>
      <c r="K1236" s="10">
        <v>109.18</v>
      </c>
      <c r="L1236" s="10">
        <v>177.74</v>
      </c>
      <c r="M1236" s="10">
        <v>1211.1199999999999</v>
      </c>
      <c r="N1236" s="8">
        <v>1</v>
      </c>
    </row>
    <row r="1237" spans="1:15" x14ac:dyDescent="0.25">
      <c r="A1237" s="8">
        <v>80507</v>
      </c>
      <c r="B1237" s="9" t="s">
        <v>41</v>
      </c>
      <c r="C1237" s="9" t="s">
        <v>46</v>
      </c>
      <c r="E1237" s="9" t="s">
        <v>13</v>
      </c>
      <c r="F1237" s="9" t="str">
        <f t="shared" si="19"/>
        <v>Delivered</v>
      </c>
      <c r="G1237" s="9" t="b">
        <v>1</v>
      </c>
      <c r="H1237" s="9" t="s">
        <v>18</v>
      </c>
      <c r="I1237" s="8">
        <v>8758</v>
      </c>
      <c r="J1237" s="10">
        <v>1839.93</v>
      </c>
      <c r="K1237" s="10">
        <v>57.58</v>
      </c>
      <c r="L1237" s="10">
        <v>175.63</v>
      </c>
      <c r="M1237" s="10">
        <v>2073.14</v>
      </c>
      <c r="N1237" s="8">
        <v>4</v>
      </c>
      <c r="O1237" s="6">
        <v>3.5</v>
      </c>
    </row>
    <row r="1238" spans="1:15" x14ac:dyDescent="0.25">
      <c r="A1238" s="8">
        <v>41584</v>
      </c>
      <c r="B1238" s="9" t="s">
        <v>39</v>
      </c>
      <c r="C1238" s="9" t="s">
        <v>55</v>
      </c>
      <c r="D1238" s="9" t="s">
        <v>25</v>
      </c>
      <c r="E1238" s="9" t="s">
        <v>8</v>
      </c>
      <c r="F1238" s="9" t="str">
        <f t="shared" si="19"/>
        <v>Not Delivered</v>
      </c>
      <c r="G1238" s="9" t="b">
        <v>0</v>
      </c>
      <c r="H1238" s="9" t="s">
        <v>22</v>
      </c>
      <c r="I1238" s="8">
        <v>4692</v>
      </c>
      <c r="J1238" s="10">
        <v>989.64</v>
      </c>
      <c r="K1238" s="10">
        <v>0</v>
      </c>
      <c r="L1238" s="10">
        <v>0</v>
      </c>
      <c r="M1238" s="10">
        <v>989.64</v>
      </c>
      <c r="N1238" s="8">
        <v>14</v>
      </c>
      <c r="O1238" s="6">
        <v>2</v>
      </c>
    </row>
    <row r="1239" spans="1:15" x14ac:dyDescent="0.25">
      <c r="A1239" s="8">
        <v>49418</v>
      </c>
      <c r="B1239" s="9" t="s">
        <v>10</v>
      </c>
      <c r="C1239" s="9" t="s">
        <v>11</v>
      </c>
      <c r="E1239" s="9" t="s">
        <v>17</v>
      </c>
      <c r="F1239" s="9" t="str">
        <f t="shared" si="19"/>
        <v>Not Delivered</v>
      </c>
      <c r="G1239" s="9" t="b">
        <v>1</v>
      </c>
      <c r="H1239" s="9" t="s">
        <v>22</v>
      </c>
      <c r="I1239" s="8">
        <v>3365</v>
      </c>
      <c r="J1239" s="10">
        <v>1533.16</v>
      </c>
      <c r="K1239" s="10">
        <v>0</v>
      </c>
      <c r="L1239" s="10">
        <v>201.63</v>
      </c>
      <c r="M1239" s="10">
        <v>1734.79</v>
      </c>
      <c r="N1239" s="8">
        <v>12</v>
      </c>
    </row>
    <row r="1240" spans="1:15" x14ac:dyDescent="0.25">
      <c r="A1240" s="8">
        <v>70689</v>
      </c>
      <c r="B1240" s="9" t="s">
        <v>0</v>
      </c>
      <c r="C1240" s="9" t="s">
        <v>37</v>
      </c>
      <c r="D1240" s="9" t="s">
        <v>12</v>
      </c>
      <c r="E1240" s="9" t="s">
        <v>21</v>
      </c>
      <c r="F1240" s="9" t="str">
        <f t="shared" si="19"/>
        <v>Not Delivered</v>
      </c>
      <c r="G1240" s="9" t="b">
        <v>1</v>
      </c>
      <c r="H1240" s="9" t="s">
        <v>33</v>
      </c>
      <c r="I1240" s="8">
        <v>1944</v>
      </c>
      <c r="J1240" s="10">
        <v>169.8</v>
      </c>
      <c r="K1240" s="10">
        <v>80.819999999999993</v>
      </c>
      <c r="L1240" s="10">
        <v>158.81</v>
      </c>
      <c r="M1240" s="10">
        <v>409.43</v>
      </c>
      <c r="N1240" s="8">
        <v>6</v>
      </c>
      <c r="O1240" s="6">
        <v>3.4</v>
      </c>
    </row>
    <row r="1241" spans="1:15" x14ac:dyDescent="0.25">
      <c r="A1241" s="8">
        <v>83713</v>
      </c>
      <c r="B1241" s="9" t="s">
        <v>0</v>
      </c>
      <c r="C1241" s="9" t="s">
        <v>51</v>
      </c>
      <c r="D1241" s="9" t="s">
        <v>38</v>
      </c>
      <c r="E1241" s="9" t="s">
        <v>32</v>
      </c>
      <c r="F1241" s="9" t="str">
        <f t="shared" si="19"/>
        <v>Not Delivered</v>
      </c>
      <c r="G1241" s="9" t="b">
        <v>0</v>
      </c>
      <c r="H1241" s="9" t="s">
        <v>28</v>
      </c>
      <c r="I1241" s="8">
        <v>7761</v>
      </c>
      <c r="J1241" s="10">
        <v>893.8</v>
      </c>
      <c r="K1241" s="10">
        <v>98.04</v>
      </c>
      <c r="L1241" s="10">
        <v>0</v>
      </c>
      <c r="M1241" s="10">
        <v>991.84</v>
      </c>
      <c r="N1241" s="8">
        <v>5</v>
      </c>
      <c r="O1241" s="6">
        <v>2.2999999999999998</v>
      </c>
    </row>
    <row r="1242" spans="1:15" x14ac:dyDescent="0.25">
      <c r="A1242" s="8">
        <v>64592</v>
      </c>
      <c r="B1242" s="9" t="s">
        <v>41</v>
      </c>
      <c r="C1242" s="9" t="s">
        <v>46</v>
      </c>
      <c r="D1242" s="9" t="s">
        <v>16</v>
      </c>
      <c r="E1242" s="9" t="s">
        <v>3</v>
      </c>
      <c r="F1242" s="9" t="str">
        <f t="shared" si="19"/>
        <v>Not Delivered</v>
      </c>
      <c r="G1242" s="9" t="b">
        <v>0</v>
      </c>
      <c r="H1242" s="9" t="s">
        <v>14</v>
      </c>
      <c r="I1242" s="8">
        <v>9683</v>
      </c>
      <c r="J1242" s="10">
        <v>393.94</v>
      </c>
      <c r="K1242" s="10">
        <v>51.47</v>
      </c>
      <c r="L1242" s="10">
        <v>0</v>
      </c>
      <c r="M1242" s="10">
        <v>445.41</v>
      </c>
      <c r="N1242" s="8">
        <v>8</v>
      </c>
      <c r="O1242" s="6">
        <v>4.2</v>
      </c>
    </row>
    <row r="1243" spans="1:15" x14ac:dyDescent="0.25">
      <c r="A1243" s="8">
        <v>27575</v>
      </c>
      <c r="B1243" s="9" t="s">
        <v>39</v>
      </c>
      <c r="C1243" s="9" t="s">
        <v>58</v>
      </c>
      <c r="D1243" s="9" t="s">
        <v>35</v>
      </c>
      <c r="E1243" s="9" t="s">
        <v>3</v>
      </c>
      <c r="F1243" s="9" t="str">
        <f t="shared" si="19"/>
        <v>Not Delivered</v>
      </c>
      <c r="G1243" s="9" t="b">
        <v>0</v>
      </c>
      <c r="H1243" s="9" t="s">
        <v>14</v>
      </c>
      <c r="I1243" s="8">
        <v>7363</v>
      </c>
      <c r="J1243" s="10">
        <v>296.81</v>
      </c>
      <c r="K1243" s="10">
        <v>80.34</v>
      </c>
      <c r="L1243" s="10">
        <v>0</v>
      </c>
      <c r="M1243" s="10">
        <v>377.15</v>
      </c>
      <c r="N1243" s="8">
        <v>7</v>
      </c>
      <c r="O1243" s="6">
        <v>4.5</v>
      </c>
    </row>
    <row r="1244" spans="1:15" x14ac:dyDescent="0.25">
      <c r="A1244" s="8">
        <v>41831</v>
      </c>
      <c r="B1244" s="9" t="s">
        <v>0</v>
      </c>
      <c r="C1244" s="9" t="s">
        <v>53</v>
      </c>
      <c r="D1244" s="9" t="s">
        <v>45</v>
      </c>
      <c r="E1244" s="9" t="s">
        <v>32</v>
      </c>
      <c r="F1244" s="9" t="str">
        <f t="shared" si="19"/>
        <v>Not Delivered</v>
      </c>
      <c r="G1244" s="9" t="b">
        <v>1</v>
      </c>
      <c r="H1244" s="9" t="s">
        <v>33</v>
      </c>
      <c r="I1244" s="8">
        <v>5177</v>
      </c>
      <c r="J1244" s="10">
        <v>809.04</v>
      </c>
      <c r="K1244" s="10">
        <v>0</v>
      </c>
      <c r="L1244" s="10">
        <v>79.650000000000006</v>
      </c>
      <c r="M1244" s="10">
        <v>888.69</v>
      </c>
      <c r="N1244" s="8">
        <v>3</v>
      </c>
      <c r="O1244" s="6">
        <v>1.1000000000000001</v>
      </c>
    </row>
    <row r="1245" spans="1:15" x14ac:dyDescent="0.25">
      <c r="A1245" s="8">
        <v>36651</v>
      </c>
      <c r="B1245" s="9" t="s">
        <v>10</v>
      </c>
      <c r="C1245" s="9" t="s">
        <v>29</v>
      </c>
      <c r="D1245" s="9" t="s">
        <v>19</v>
      </c>
      <c r="E1245" s="9" t="s">
        <v>32</v>
      </c>
      <c r="F1245" s="9" t="str">
        <f t="shared" si="19"/>
        <v>Not Delivered</v>
      </c>
      <c r="G1245" s="9" t="b">
        <v>0</v>
      </c>
      <c r="H1245" s="9" t="s">
        <v>9</v>
      </c>
      <c r="I1245" s="8">
        <v>6411</v>
      </c>
      <c r="J1245" s="10">
        <v>141.19</v>
      </c>
      <c r="K1245" s="10">
        <v>54.42</v>
      </c>
      <c r="L1245" s="10">
        <v>0</v>
      </c>
      <c r="M1245" s="10">
        <v>195.61</v>
      </c>
      <c r="N1245" s="8">
        <v>14</v>
      </c>
      <c r="O1245" s="6">
        <v>3.2</v>
      </c>
    </row>
    <row r="1246" spans="1:15" x14ac:dyDescent="0.25">
      <c r="A1246" s="8">
        <v>94765</v>
      </c>
      <c r="B1246" s="9" t="s">
        <v>41</v>
      </c>
      <c r="C1246" s="9" t="s">
        <v>42</v>
      </c>
      <c r="E1246" s="9" t="s">
        <v>13</v>
      </c>
      <c r="F1246" s="9" t="str">
        <f t="shared" si="19"/>
        <v>Delivered</v>
      </c>
      <c r="G1246" s="9" t="b">
        <v>1</v>
      </c>
      <c r="H1246" s="9" t="s">
        <v>28</v>
      </c>
      <c r="I1246" s="8">
        <v>2295</v>
      </c>
      <c r="J1246" s="10">
        <v>1252.28</v>
      </c>
      <c r="K1246" s="10">
        <v>65.98</v>
      </c>
      <c r="L1246" s="10">
        <v>196.14</v>
      </c>
      <c r="M1246" s="10">
        <v>1514.4</v>
      </c>
      <c r="N1246" s="8">
        <v>2</v>
      </c>
      <c r="O1246" s="6">
        <v>3.8</v>
      </c>
    </row>
    <row r="1247" spans="1:15" x14ac:dyDescent="0.25">
      <c r="A1247" s="8">
        <v>68954</v>
      </c>
      <c r="B1247" s="9" t="s">
        <v>23</v>
      </c>
      <c r="C1247" s="9" t="s">
        <v>34</v>
      </c>
      <c r="E1247" s="9" t="s">
        <v>21</v>
      </c>
      <c r="F1247" s="9" t="str">
        <f t="shared" si="19"/>
        <v>Not Delivered</v>
      </c>
      <c r="G1247" s="9" t="b">
        <v>1</v>
      </c>
      <c r="H1247" s="9" t="s">
        <v>4</v>
      </c>
      <c r="I1247" s="8">
        <v>7079</v>
      </c>
      <c r="J1247" s="10">
        <v>2838.51</v>
      </c>
      <c r="K1247" s="10">
        <v>91.63</v>
      </c>
      <c r="L1247" s="10">
        <v>163.15</v>
      </c>
      <c r="M1247" s="10">
        <v>3093.29</v>
      </c>
      <c r="N1247" s="8">
        <v>6</v>
      </c>
      <c r="O1247" s="6">
        <v>3.7</v>
      </c>
    </row>
    <row r="1248" spans="1:15" x14ac:dyDescent="0.25">
      <c r="A1248" s="8">
        <v>22119</v>
      </c>
      <c r="B1248" s="9" t="s">
        <v>41</v>
      </c>
      <c r="C1248" s="9" t="s">
        <v>46</v>
      </c>
      <c r="D1248" s="9" t="s">
        <v>45</v>
      </c>
      <c r="E1248" s="9" t="s">
        <v>13</v>
      </c>
      <c r="F1248" s="9" t="str">
        <f t="shared" si="19"/>
        <v>Delivered</v>
      </c>
      <c r="G1248" s="9" t="b">
        <v>1</v>
      </c>
      <c r="H1248" s="9" t="s">
        <v>9</v>
      </c>
      <c r="I1248" s="8">
        <v>9775</v>
      </c>
      <c r="J1248" s="10">
        <v>1465.2</v>
      </c>
      <c r="K1248" s="10">
        <v>87.34</v>
      </c>
      <c r="L1248" s="10">
        <v>156.53</v>
      </c>
      <c r="M1248" s="10">
        <v>1709.07</v>
      </c>
      <c r="N1248" s="8">
        <v>8</v>
      </c>
    </row>
    <row r="1249" spans="1:15" x14ac:dyDescent="0.25">
      <c r="A1249" s="8">
        <v>34966</v>
      </c>
      <c r="B1249" s="9" t="s">
        <v>23</v>
      </c>
      <c r="C1249" s="9" t="s">
        <v>24</v>
      </c>
      <c r="D1249" s="9" t="s">
        <v>50</v>
      </c>
      <c r="E1249" s="9" t="s">
        <v>21</v>
      </c>
      <c r="F1249" s="9" t="str">
        <f t="shared" si="19"/>
        <v>Not Delivered</v>
      </c>
      <c r="G1249" s="9" t="b">
        <v>0</v>
      </c>
      <c r="H1249" s="9" t="s">
        <v>33</v>
      </c>
      <c r="I1249" s="8">
        <v>1844</v>
      </c>
      <c r="J1249" s="10">
        <v>2842.04</v>
      </c>
      <c r="K1249" s="10">
        <v>141.01</v>
      </c>
      <c r="L1249" s="10">
        <v>0</v>
      </c>
      <c r="M1249" s="10">
        <v>2983.05</v>
      </c>
      <c r="N1249" s="8">
        <v>11</v>
      </c>
      <c r="O1249" s="6">
        <v>4.9000000000000004</v>
      </c>
    </row>
    <row r="1250" spans="1:15" x14ac:dyDescent="0.25">
      <c r="A1250" s="8">
        <v>45187</v>
      </c>
      <c r="B1250" s="9" t="s">
        <v>41</v>
      </c>
      <c r="C1250" s="9" t="s">
        <v>61</v>
      </c>
      <c r="D1250" s="9" t="s">
        <v>25</v>
      </c>
      <c r="E1250" s="9" t="s">
        <v>13</v>
      </c>
      <c r="F1250" s="9" t="str">
        <f t="shared" si="19"/>
        <v>Delivered</v>
      </c>
      <c r="G1250" s="9" t="b">
        <v>1</v>
      </c>
      <c r="H1250" s="9" t="s">
        <v>18</v>
      </c>
      <c r="I1250" s="8">
        <v>7179</v>
      </c>
      <c r="J1250" s="10">
        <v>1836.33</v>
      </c>
      <c r="K1250" s="10">
        <v>146.55000000000001</v>
      </c>
      <c r="L1250" s="10">
        <v>90.67</v>
      </c>
      <c r="M1250" s="10">
        <v>2073.5500000000002</v>
      </c>
      <c r="N1250" s="8">
        <v>4</v>
      </c>
      <c r="O1250" s="6">
        <v>2.9</v>
      </c>
    </row>
    <row r="1251" spans="1:15" x14ac:dyDescent="0.25">
      <c r="A1251" s="8">
        <v>98299</v>
      </c>
      <c r="B1251" s="9" t="s">
        <v>5</v>
      </c>
      <c r="C1251" s="9" t="s">
        <v>44</v>
      </c>
      <c r="D1251" s="9" t="s">
        <v>38</v>
      </c>
      <c r="E1251" s="9" t="s">
        <v>13</v>
      </c>
      <c r="F1251" s="9" t="str">
        <f t="shared" si="19"/>
        <v>Delivered</v>
      </c>
      <c r="G1251" s="9" t="b">
        <v>0</v>
      </c>
      <c r="H1251" s="9" t="s">
        <v>4</v>
      </c>
      <c r="I1251" s="8">
        <v>1647</v>
      </c>
      <c r="J1251" s="10">
        <v>1925.44</v>
      </c>
      <c r="K1251" s="10">
        <v>58.13</v>
      </c>
      <c r="L1251" s="10">
        <v>0</v>
      </c>
      <c r="M1251" s="10">
        <v>1983.57</v>
      </c>
      <c r="N1251" s="8">
        <v>8</v>
      </c>
      <c r="O1251" s="6">
        <v>4.5999999999999996</v>
      </c>
    </row>
    <row r="1252" spans="1:15" x14ac:dyDescent="0.25">
      <c r="A1252" s="8">
        <v>19539</v>
      </c>
      <c r="B1252" s="9" t="s">
        <v>39</v>
      </c>
      <c r="C1252" s="9" t="s">
        <v>58</v>
      </c>
      <c r="D1252" s="9" t="s">
        <v>25</v>
      </c>
      <c r="E1252" s="9" t="s">
        <v>13</v>
      </c>
      <c r="F1252" s="9" t="str">
        <f t="shared" si="19"/>
        <v>Delivered</v>
      </c>
      <c r="G1252" s="9" t="b">
        <v>1</v>
      </c>
      <c r="H1252" s="9" t="s">
        <v>33</v>
      </c>
      <c r="I1252" s="8">
        <v>4082</v>
      </c>
      <c r="J1252" s="10">
        <v>1183.96</v>
      </c>
      <c r="K1252" s="10">
        <v>77.62</v>
      </c>
      <c r="L1252" s="10">
        <v>184.78</v>
      </c>
      <c r="M1252" s="10">
        <v>1446.36</v>
      </c>
      <c r="N1252" s="8">
        <v>1</v>
      </c>
      <c r="O1252" s="6">
        <v>1.9</v>
      </c>
    </row>
    <row r="1253" spans="1:15" x14ac:dyDescent="0.25">
      <c r="A1253" s="8">
        <v>87015</v>
      </c>
      <c r="B1253" s="9" t="s">
        <v>41</v>
      </c>
      <c r="C1253" s="9" t="s">
        <v>42</v>
      </c>
      <c r="D1253" s="9" t="s">
        <v>27</v>
      </c>
      <c r="E1253" s="9" t="s">
        <v>32</v>
      </c>
      <c r="F1253" s="9" t="str">
        <f t="shared" si="19"/>
        <v>Not Delivered</v>
      </c>
      <c r="G1253" s="9" t="b">
        <v>0</v>
      </c>
      <c r="H1253" s="9" t="s">
        <v>18</v>
      </c>
      <c r="I1253" s="8">
        <v>4555</v>
      </c>
      <c r="J1253" s="10">
        <v>1536.13</v>
      </c>
      <c r="K1253" s="10">
        <v>145.66999999999999</v>
      </c>
      <c r="L1253" s="10">
        <v>0</v>
      </c>
      <c r="M1253" s="10">
        <v>1681.8</v>
      </c>
      <c r="N1253" s="8">
        <v>6</v>
      </c>
      <c r="O1253" s="6">
        <v>3.1</v>
      </c>
    </row>
    <row r="1254" spans="1:15" x14ac:dyDescent="0.25">
      <c r="A1254" s="8">
        <v>72835</v>
      </c>
      <c r="B1254" s="9" t="s">
        <v>41</v>
      </c>
      <c r="C1254" s="9" t="s">
        <v>47</v>
      </c>
      <c r="D1254" s="9" t="s">
        <v>25</v>
      </c>
      <c r="E1254" s="9" t="s">
        <v>13</v>
      </c>
      <c r="F1254" s="9" t="str">
        <f t="shared" si="19"/>
        <v>Delivered</v>
      </c>
      <c r="G1254" s="9" t="b">
        <v>1</v>
      </c>
      <c r="H1254" s="9" t="s">
        <v>33</v>
      </c>
      <c r="I1254" s="8">
        <v>4422</v>
      </c>
      <c r="J1254" s="10">
        <v>950.36</v>
      </c>
      <c r="K1254" s="10">
        <v>0</v>
      </c>
      <c r="L1254" s="10">
        <v>124.82</v>
      </c>
      <c r="M1254" s="10">
        <v>1075.18</v>
      </c>
      <c r="N1254" s="8">
        <v>7</v>
      </c>
      <c r="O1254" s="6">
        <v>4.3</v>
      </c>
    </row>
    <row r="1255" spans="1:15" x14ac:dyDescent="0.25">
      <c r="A1255" s="8">
        <v>53642</v>
      </c>
      <c r="B1255" s="9" t="s">
        <v>23</v>
      </c>
      <c r="C1255" s="9" t="s">
        <v>24</v>
      </c>
      <c r="D1255" s="9" t="s">
        <v>7</v>
      </c>
      <c r="E1255" s="9" t="s">
        <v>3</v>
      </c>
      <c r="F1255" s="9" t="str">
        <f t="shared" si="19"/>
        <v>Not Delivered</v>
      </c>
      <c r="G1255" s="9" t="b">
        <v>0</v>
      </c>
      <c r="H1255" s="9" t="s">
        <v>22</v>
      </c>
      <c r="I1255" s="8">
        <v>5967</v>
      </c>
      <c r="J1255" s="10">
        <v>993.89</v>
      </c>
      <c r="K1255" s="10">
        <v>0</v>
      </c>
      <c r="L1255" s="10">
        <v>0</v>
      </c>
      <c r="M1255" s="10">
        <v>993.89</v>
      </c>
      <c r="N1255" s="8">
        <v>2</v>
      </c>
      <c r="O1255" s="6">
        <v>4.0999999999999996</v>
      </c>
    </row>
    <row r="1256" spans="1:15" x14ac:dyDescent="0.25">
      <c r="A1256" s="8">
        <v>12009</v>
      </c>
      <c r="B1256" s="9" t="s">
        <v>39</v>
      </c>
      <c r="C1256" s="9" t="s">
        <v>55</v>
      </c>
      <c r="D1256" s="9" t="s">
        <v>19</v>
      </c>
      <c r="E1256" s="9" t="s">
        <v>8</v>
      </c>
      <c r="F1256" s="9" t="str">
        <f t="shared" si="19"/>
        <v>Not Delivered</v>
      </c>
      <c r="G1256" s="9" t="b">
        <v>0</v>
      </c>
      <c r="H1256" s="9" t="s">
        <v>18</v>
      </c>
      <c r="I1256" s="8">
        <v>4470</v>
      </c>
      <c r="J1256" s="10">
        <v>302.91000000000003</v>
      </c>
      <c r="K1256" s="10">
        <v>58.31</v>
      </c>
      <c r="L1256" s="10">
        <v>0</v>
      </c>
      <c r="M1256" s="10">
        <v>361.22</v>
      </c>
      <c r="N1256" s="8">
        <v>2</v>
      </c>
      <c r="O1256" s="6">
        <v>2.8</v>
      </c>
    </row>
    <row r="1257" spans="1:15" x14ac:dyDescent="0.25">
      <c r="A1257" s="8">
        <v>34906</v>
      </c>
      <c r="B1257" s="9" t="s">
        <v>39</v>
      </c>
      <c r="C1257" s="9" t="s">
        <v>52</v>
      </c>
      <c r="D1257" s="9" t="s">
        <v>35</v>
      </c>
      <c r="E1257" s="9" t="s">
        <v>8</v>
      </c>
      <c r="F1257" s="9" t="str">
        <f t="shared" si="19"/>
        <v>Not Delivered</v>
      </c>
      <c r="G1257" s="9" t="b">
        <v>1</v>
      </c>
      <c r="H1257" s="9" t="s">
        <v>9</v>
      </c>
      <c r="I1257" s="8">
        <v>2922</v>
      </c>
      <c r="J1257" s="10">
        <v>311.32</v>
      </c>
      <c r="K1257" s="10">
        <v>34.64</v>
      </c>
      <c r="L1257" s="10">
        <v>26.31</v>
      </c>
      <c r="M1257" s="10">
        <v>372.27</v>
      </c>
      <c r="N1257" s="8">
        <v>6</v>
      </c>
      <c r="O1257" s="6">
        <v>2.5</v>
      </c>
    </row>
    <row r="1258" spans="1:15" x14ac:dyDescent="0.25">
      <c r="A1258" s="8">
        <v>72773</v>
      </c>
      <c r="B1258" s="9" t="s">
        <v>41</v>
      </c>
      <c r="C1258" s="9" t="s">
        <v>47</v>
      </c>
      <c r="D1258" s="9" t="s">
        <v>50</v>
      </c>
      <c r="E1258" s="9" t="s">
        <v>13</v>
      </c>
      <c r="F1258" s="9" t="str">
        <f t="shared" si="19"/>
        <v>Delivered</v>
      </c>
      <c r="G1258" s="9" t="b">
        <v>0</v>
      </c>
      <c r="H1258" s="9" t="s">
        <v>18</v>
      </c>
      <c r="I1258" s="8">
        <v>4974</v>
      </c>
      <c r="J1258" s="10">
        <v>1683.56</v>
      </c>
      <c r="K1258" s="10">
        <v>89.55</v>
      </c>
      <c r="L1258" s="10">
        <v>0</v>
      </c>
      <c r="M1258" s="10">
        <v>1773.11</v>
      </c>
      <c r="N1258" s="8">
        <v>10</v>
      </c>
      <c r="O1258" s="6">
        <v>1.1000000000000001</v>
      </c>
    </row>
    <row r="1259" spans="1:15" x14ac:dyDescent="0.25">
      <c r="A1259" s="8">
        <v>89220</v>
      </c>
      <c r="B1259" s="9" t="s">
        <v>41</v>
      </c>
      <c r="C1259" s="9" t="s">
        <v>47</v>
      </c>
      <c r="D1259" s="9" t="s">
        <v>12</v>
      </c>
      <c r="E1259" s="9" t="s">
        <v>21</v>
      </c>
      <c r="F1259" s="9" t="str">
        <f t="shared" si="19"/>
        <v>Not Delivered</v>
      </c>
      <c r="G1259" s="9" t="b">
        <v>1</v>
      </c>
      <c r="H1259" s="9" t="s">
        <v>28</v>
      </c>
      <c r="I1259" s="8">
        <v>4350</v>
      </c>
      <c r="J1259" s="10">
        <v>2243.17</v>
      </c>
      <c r="K1259" s="10">
        <v>0</v>
      </c>
      <c r="L1259" s="10">
        <v>159.58000000000001</v>
      </c>
      <c r="M1259" s="10">
        <v>2402.75</v>
      </c>
      <c r="N1259" s="8">
        <v>2</v>
      </c>
    </row>
    <row r="1260" spans="1:15" x14ac:dyDescent="0.25">
      <c r="A1260" s="8">
        <v>61987</v>
      </c>
      <c r="B1260" s="9" t="s">
        <v>0</v>
      </c>
      <c r="C1260" s="9" t="s">
        <v>53</v>
      </c>
      <c r="D1260" s="9" t="s">
        <v>35</v>
      </c>
      <c r="E1260" s="9" t="s">
        <v>17</v>
      </c>
      <c r="F1260" s="9" t="str">
        <f t="shared" si="19"/>
        <v>Not Delivered</v>
      </c>
      <c r="G1260" s="9" t="b">
        <v>0</v>
      </c>
      <c r="H1260" s="9" t="s">
        <v>9</v>
      </c>
      <c r="I1260" s="8">
        <v>4921</v>
      </c>
      <c r="J1260" s="10">
        <v>301.57</v>
      </c>
      <c r="K1260" s="10">
        <v>52.02</v>
      </c>
      <c r="L1260" s="10">
        <v>0</v>
      </c>
      <c r="M1260" s="10">
        <v>353.59</v>
      </c>
      <c r="N1260" s="8">
        <v>6</v>
      </c>
    </row>
    <row r="1261" spans="1:15" x14ac:dyDescent="0.25">
      <c r="A1261" s="8">
        <v>82362</v>
      </c>
      <c r="B1261" s="9" t="s">
        <v>39</v>
      </c>
      <c r="C1261" s="9" t="s">
        <v>55</v>
      </c>
      <c r="D1261" s="9" t="s">
        <v>19</v>
      </c>
      <c r="E1261" s="9" t="s">
        <v>3</v>
      </c>
      <c r="F1261" s="9" t="str">
        <f t="shared" si="19"/>
        <v>Not Delivered</v>
      </c>
      <c r="G1261" s="9" t="b">
        <v>0</v>
      </c>
      <c r="H1261" s="9" t="s">
        <v>28</v>
      </c>
      <c r="I1261" s="8">
        <v>6269</v>
      </c>
      <c r="J1261" s="10">
        <v>168.25</v>
      </c>
      <c r="K1261" s="10">
        <v>56.23</v>
      </c>
      <c r="L1261" s="10">
        <v>0</v>
      </c>
      <c r="M1261" s="10">
        <v>224.48</v>
      </c>
      <c r="N1261" s="8">
        <v>12</v>
      </c>
      <c r="O1261" s="6">
        <v>4.3</v>
      </c>
    </row>
    <row r="1262" spans="1:15" x14ac:dyDescent="0.25">
      <c r="A1262" s="8">
        <v>47101</v>
      </c>
      <c r="B1262" s="9" t="s">
        <v>5</v>
      </c>
      <c r="C1262" s="9" t="s">
        <v>56</v>
      </c>
      <c r="D1262" s="9" t="s">
        <v>19</v>
      </c>
      <c r="E1262" s="9" t="s">
        <v>32</v>
      </c>
      <c r="F1262" s="9" t="str">
        <f t="shared" si="19"/>
        <v>Not Delivered</v>
      </c>
      <c r="G1262" s="9" t="b">
        <v>1</v>
      </c>
      <c r="H1262" s="9" t="s">
        <v>28</v>
      </c>
      <c r="I1262" s="8">
        <v>7236</v>
      </c>
      <c r="J1262" s="10">
        <v>723.01</v>
      </c>
      <c r="K1262" s="10">
        <v>0</v>
      </c>
      <c r="L1262" s="10">
        <v>41.07</v>
      </c>
      <c r="M1262" s="10">
        <v>764.08</v>
      </c>
      <c r="N1262" s="8">
        <v>12</v>
      </c>
      <c r="O1262" s="6">
        <v>1.2</v>
      </c>
    </row>
    <row r="1263" spans="1:15" x14ac:dyDescent="0.25">
      <c r="A1263" s="8">
        <v>71112</v>
      </c>
      <c r="B1263" s="9" t="s">
        <v>23</v>
      </c>
      <c r="C1263" s="9" t="s">
        <v>34</v>
      </c>
      <c r="D1263" s="9" t="s">
        <v>25</v>
      </c>
      <c r="E1263" s="9" t="s">
        <v>8</v>
      </c>
      <c r="F1263" s="9" t="str">
        <f t="shared" si="19"/>
        <v>Not Delivered</v>
      </c>
      <c r="G1263" s="9" t="b">
        <v>0</v>
      </c>
      <c r="H1263" s="9" t="s">
        <v>22</v>
      </c>
      <c r="I1263" s="8">
        <v>9743</v>
      </c>
      <c r="J1263" s="10">
        <v>1060.46</v>
      </c>
      <c r="K1263" s="10">
        <v>113.43</v>
      </c>
      <c r="L1263" s="10">
        <v>0</v>
      </c>
      <c r="M1263" s="10">
        <v>1173.8900000000001</v>
      </c>
      <c r="N1263" s="8">
        <v>1</v>
      </c>
      <c r="O1263" s="6">
        <v>2.2000000000000002</v>
      </c>
    </row>
    <row r="1264" spans="1:15" x14ac:dyDescent="0.25">
      <c r="A1264" s="8">
        <v>95029</v>
      </c>
      <c r="B1264" s="9" t="s">
        <v>0</v>
      </c>
      <c r="C1264" s="9" t="s">
        <v>37</v>
      </c>
      <c r="E1264" s="9" t="s">
        <v>17</v>
      </c>
      <c r="F1264" s="9" t="str">
        <f t="shared" si="19"/>
        <v>Not Delivered</v>
      </c>
      <c r="G1264" s="9" t="b">
        <v>1</v>
      </c>
      <c r="H1264" s="9" t="s">
        <v>18</v>
      </c>
      <c r="I1264" s="8">
        <v>6886</v>
      </c>
      <c r="J1264" s="10">
        <v>1057.55</v>
      </c>
      <c r="K1264" s="10">
        <v>0</v>
      </c>
      <c r="L1264" s="10">
        <v>61.48</v>
      </c>
      <c r="M1264" s="10">
        <v>1119.03</v>
      </c>
      <c r="N1264" s="8">
        <v>8</v>
      </c>
    </row>
    <row r="1265" spans="1:15" x14ac:dyDescent="0.25">
      <c r="A1265" s="8">
        <v>50425</v>
      </c>
      <c r="B1265" s="9" t="s">
        <v>10</v>
      </c>
      <c r="C1265" s="9" t="s">
        <v>15</v>
      </c>
      <c r="D1265" s="9" t="s">
        <v>30</v>
      </c>
      <c r="E1265" s="9" t="s">
        <v>13</v>
      </c>
      <c r="F1265" s="9" t="str">
        <f t="shared" si="19"/>
        <v>Delivered</v>
      </c>
      <c r="G1265" s="9" t="b">
        <v>1</v>
      </c>
      <c r="H1265" s="9" t="s">
        <v>18</v>
      </c>
      <c r="I1265" s="8">
        <v>5285</v>
      </c>
      <c r="J1265" s="10">
        <v>1807.3</v>
      </c>
      <c r="L1265" s="10">
        <v>76.81</v>
      </c>
      <c r="M1265" s="10">
        <v>1884.11</v>
      </c>
      <c r="N1265" s="8">
        <v>11</v>
      </c>
      <c r="O1265" s="6">
        <v>2.1</v>
      </c>
    </row>
    <row r="1266" spans="1:15" x14ac:dyDescent="0.25">
      <c r="A1266" s="8">
        <v>57139</v>
      </c>
      <c r="B1266" s="9" t="s">
        <v>39</v>
      </c>
      <c r="C1266" s="9" t="s">
        <v>40</v>
      </c>
      <c r="D1266" s="9" t="s">
        <v>50</v>
      </c>
      <c r="E1266" s="9" t="s">
        <v>3</v>
      </c>
      <c r="F1266" s="9" t="str">
        <f t="shared" si="19"/>
        <v>Not Delivered</v>
      </c>
      <c r="G1266" s="9" t="b">
        <v>1</v>
      </c>
      <c r="H1266" s="9" t="s">
        <v>4</v>
      </c>
      <c r="I1266" s="8">
        <v>9401</v>
      </c>
      <c r="J1266" s="10">
        <v>1265.45</v>
      </c>
      <c r="K1266" s="10">
        <v>75.63</v>
      </c>
      <c r="L1266" s="10">
        <v>189.79</v>
      </c>
      <c r="M1266" s="10">
        <v>1530.87</v>
      </c>
      <c r="N1266" s="8">
        <v>7</v>
      </c>
    </row>
    <row r="1267" spans="1:15" x14ac:dyDescent="0.25">
      <c r="A1267" s="8">
        <v>75179</v>
      </c>
      <c r="B1267" s="9" t="s">
        <v>39</v>
      </c>
      <c r="C1267" s="9" t="s">
        <v>55</v>
      </c>
      <c r="D1267" s="9" t="s">
        <v>19</v>
      </c>
      <c r="E1267" s="9" t="s">
        <v>32</v>
      </c>
      <c r="F1267" s="9" t="str">
        <f t="shared" si="19"/>
        <v>Not Delivered</v>
      </c>
      <c r="G1267" s="9" t="b">
        <v>1</v>
      </c>
      <c r="H1267" s="9" t="s">
        <v>14</v>
      </c>
      <c r="I1267" s="8">
        <v>8635</v>
      </c>
      <c r="J1267" s="10">
        <v>1454.18</v>
      </c>
      <c r="K1267" s="10">
        <v>127</v>
      </c>
      <c r="L1267" s="10">
        <v>55.63</v>
      </c>
      <c r="M1267" s="10">
        <v>1636.81</v>
      </c>
      <c r="N1267" s="8">
        <v>7</v>
      </c>
      <c r="O1267" s="6">
        <v>4</v>
      </c>
    </row>
    <row r="1268" spans="1:15" x14ac:dyDescent="0.25">
      <c r="A1268" s="8">
        <v>22924</v>
      </c>
      <c r="B1268" s="9" t="s">
        <v>41</v>
      </c>
      <c r="C1268" s="9" t="s">
        <v>61</v>
      </c>
      <c r="D1268" s="9" t="s">
        <v>19</v>
      </c>
      <c r="E1268" s="9" t="s">
        <v>21</v>
      </c>
      <c r="F1268" s="9" t="str">
        <f t="shared" si="19"/>
        <v>Not Delivered</v>
      </c>
      <c r="G1268" s="9" t="b">
        <v>0</v>
      </c>
      <c r="H1268" s="9" t="s">
        <v>14</v>
      </c>
      <c r="I1268" s="8">
        <v>8692</v>
      </c>
      <c r="J1268" s="10">
        <v>2132.4499999999998</v>
      </c>
      <c r="K1268" s="10">
        <v>138.66999999999999</v>
      </c>
      <c r="L1268" s="10">
        <v>0</v>
      </c>
      <c r="M1268" s="10">
        <v>2271.12</v>
      </c>
      <c r="N1268" s="8">
        <v>6</v>
      </c>
      <c r="O1268" s="6">
        <v>3.6</v>
      </c>
    </row>
    <row r="1269" spans="1:15" x14ac:dyDescent="0.25">
      <c r="A1269" s="8">
        <v>51973</v>
      </c>
      <c r="B1269" s="9" t="s">
        <v>10</v>
      </c>
      <c r="C1269" s="9" t="s">
        <v>29</v>
      </c>
      <c r="D1269" s="9" t="s">
        <v>16</v>
      </c>
      <c r="E1269" s="9" t="s">
        <v>21</v>
      </c>
      <c r="F1269" s="9" t="str">
        <f t="shared" si="19"/>
        <v>Not Delivered</v>
      </c>
      <c r="G1269" s="9" t="b">
        <v>1</v>
      </c>
      <c r="H1269" s="9" t="s">
        <v>14</v>
      </c>
      <c r="I1269" s="8">
        <v>4328</v>
      </c>
      <c r="J1269" s="10">
        <v>1071.0899999999999</v>
      </c>
      <c r="K1269" s="10">
        <v>71.64</v>
      </c>
      <c r="L1269" s="10">
        <v>120.64</v>
      </c>
      <c r="M1269" s="10">
        <v>1263.3699999999999</v>
      </c>
      <c r="N1269" s="8">
        <v>12</v>
      </c>
      <c r="O1269" s="6">
        <v>2.2999999999999998</v>
      </c>
    </row>
    <row r="1270" spans="1:15" x14ac:dyDescent="0.25">
      <c r="A1270" s="8">
        <v>58589</v>
      </c>
      <c r="B1270" s="9" t="s">
        <v>23</v>
      </c>
      <c r="C1270" s="9" t="s">
        <v>54</v>
      </c>
      <c r="D1270" s="9" t="s">
        <v>25</v>
      </c>
      <c r="E1270" s="9" t="s">
        <v>13</v>
      </c>
      <c r="F1270" s="9" t="str">
        <f t="shared" si="19"/>
        <v>Delivered</v>
      </c>
      <c r="G1270" s="9" t="b">
        <v>1</v>
      </c>
      <c r="H1270" s="9" t="s">
        <v>4</v>
      </c>
      <c r="I1270" s="8">
        <v>6126</v>
      </c>
      <c r="J1270" s="10">
        <v>1518.5</v>
      </c>
      <c r="K1270" s="10">
        <v>129.5</v>
      </c>
      <c r="L1270" s="10">
        <v>40.409999999999997</v>
      </c>
      <c r="M1270" s="10">
        <v>1688.41</v>
      </c>
      <c r="N1270" s="8">
        <v>1</v>
      </c>
      <c r="O1270" s="6">
        <v>3.5</v>
      </c>
    </row>
    <row r="1271" spans="1:15" x14ac:dyDescent="0.25">
      <c r="A1271" s="8">
        <v>64254</v>
      </c>
      <c r="B1271" s="9" t="s">
        <v>10</v>
      </c>
      <c r="C1271" s="9" t="s">
        <v>20</v>
      </c>
      <c r="E1271" s="9" t="s">
        <v>17</v>
      </c>
      <c r="F1271" s="9" t="str">
        <f t="shared" si="19"/>
        <v>Not Delivered</v>
      </c>
      <c r="G1271" s="9" t="b">
        <v>1</v>
      </c>
      <c r="H1271" s="9" t="s">
        <v>33</v>
      </c>
      <c r="I1271" s="8">
        <v>1749</v>
      </c>
      <c r="J1271" s="10">
        <v>824.7</v>
      </c>
      <c r="K1271" s="10">
        <v>65.95</v>
      </c>
      <c r="L1271" s="10">
        <v>121.53</v>
      </c>
      <c r="M1271" s="10">
        <v>1012.18</v>
      </c>
      <c r="N1271" s="8">
        <v>4</v>
      </c>
      <c r="O1271" s="6">
        <v>4</v>
      </c>
    </row>
    <row r="1272" spans="1:15" x14ac:dyDescent="0.25">
      <c r="A1272" s="8">
        <v>83731</v>
      </c>
      <c r="B1272" s="9" t="s">
        <v>39</v>
      </c>
      <c r="C1272" s="9" t="s">
        <v>57</v>
      </c>
      <c r="D1272" s="9" t="s">
        <v>19</v>
      </c>
      <c r="E1272" s="9" t="s">
        <v>17</v>
      </c>
      <c r="F1272" s="9" t="str">
        <f t="shared" si="19"/>
        <v>Not Delivered</v>
      </c>
      <c r="G1272" s="9" t="b">
        <v>1</v>
      </c>
      <c r="H1272" s="9" t="s">
        <v>22</v>
      </c>
      <c r="I1272" s="8">
        <v>4625</v>
      </c>
      <c r="J1272" s="10">
        <v>502.41</v>
      </c>
      <c r="K1272" s="10">
        <v>0</v>
      </c>
      <c r="L1272" s="10">
        <v>114.18</v>
      </c>
      <c r="M1272" s="10">
        <v>616.59</v>
      </c>
      <c r="N1272" s="8">
        <v>8</v>
      </c>
      <c r="O1272" s="6">
        <v>4.5</v>
      </c>
    </row>
    <row r="1273" spans="1:15" x14ac:dyDescent="0.25">
      <c r="A1273" s="8">
        <v>29126</v>
      </c>
      <c r="B1273" s="9" t="s">
        <v>0</v>
      </c>
      <c r="C1273" s="9" t="s">
        <v>1</v>
      </c>
      <c r="D1273" s="9" t="s">
        <v>30</v>
      </c>
      <c r="E1273" s="9" t="s">
        <v>13</v>
      </c>
      <c r="F1273" s="9" t="str">
        <f t="shared" si="19"/>
        <v>Delivered</v>
      </c>
      <c r="G1273" s="9" t="b">
        <v>1</v>
      </c>
      <c r="H1273" s="9" t="s">
        <v>33</v>
      </c>
      <c r="I1273" s="8">
        <v>1265</v>
      </c>
      <c r="J1273" s="10">
        <v>1602.48</v>
      </c>
      <c r="K1273" s="10">
        <v>67.459999999999994</v>
      </c>
      <c r="L1273" s="10">
        <v>43.12</v>
      </c>
      <c r="M1273" s="10">
        <v>1713.06</v>
      </c>
      <c r="N1273" s="8">
        <v>8</v>
      </c>
      <c r="O1273" s="6">
        <v>3.3</v>
      </c>
    </row>
    <row r="1274" spans="1:15" x14ac:dyDescent="0.25">
      <c r="A1274" s="8">
        <v>44180</v>
      </c>
      <c r="B1274" s="9" t="s">
        <v>5</v>
      </c>
      <c r="C1274" s="9" t="s">
        <v>31</v>
      </c>
      <c r="D1274" s="9" t="s">
        <v>16</v>
      </c>
      <c r="E1274" s="9" t="s">
        <v>3</v>
      </c>
      <c r="F1274" s="9" t="str">
        <f t="shared" si="19"/>
        <v>Not Delivered</v>
      </c>
      <c r="G1274" s="9" t="b">
        <v>1</v>
      </c>
      <c r="H1274" s="9" t="s">
        <v>9</v>
      </c>
      <c r="I1274" s="8">
        <v>7841</v>
      </c>
      <c r="J1274" s="10">
        <v>1495.43</v>
      </c>
      <c r="K1274" s="10">
        <v>0</v>
      </c>
      <c r="L1274" s="10">
        <v>53.26</v>
      </c>
      <c r="M1274" s="10">
        <v>1548.69</v>
      </c>
      <c r="N1274" s="8">
        <v>11</v>
      </c>
      <c r="O1274" s="6">
        <v>1.1000000000000001</v>
      </c>
    </row>
    <row r="1275" spans="1:15" x14ac:dyDescent="0.25">
      <c r="A1275" s="8">
        <v>48691</v>
      </c>
      <c r="B1275" s="9" t="s">
        <v>23</v>
      </c>
      <c r="C1275" s="9" t="s">
        <v>60</v>
      </c>
      <c r="D1275" s="9" t="s">
        <v>25</v>
      </c>
      <c r="E1275" s="9" t="s">
        <v>8</v>
      </c>
      <c r="F1275" s="9" t="str">
        <f t="shared" si="19"/>
        <v>Not Delivered</v>
      </c>
      <c r="G1275" s="9" t="b">
        <v>1</v>
      </c>
      <c r="H1275" s="9" t="s">
        <v>33</v>
      </c>
      <c r="I1275" s="8">
        <v>3497</v>
      </c>
      <c r="J1275" s="10">
        <v>1793.77</v>
      </c>
      <c r="K1275" s="10">
        <v>0</v>
      </c>
      <c r="M1275" s="10">
        <v>1964.76</v>
      </c>
      <c r="N1275" s="8">
        <v>12</v>
      </c>
      <c r="O1275" s="6">
        <v>4.2</v>
      </c>
    </row>
    <row r="1276" spans="1:15" x14ac:dyDescent="0.25">
      <c r="A1276" s="8">
        <v>35715</v>
      </c>
      <c r="B1276" s="9" t="s">
        <v>23</v>
      </c>
      <c r="C1276" s="9" t="s">
        <v>24</v>
      </c>
      <c r="D1276" s="9" t="s">
        <v>38</v>
      </c>
      <c r="E1276" s="9" t="s">
        <v>17</v>
      </c>
      <c r="F1276" s="9" t="str">
        <f t="shared" si="19"/>
        <v>Not Delivered</v>
      </c>
      <c r="G1276" s="9" t="b">
        <v>1</v>
      </c>
      <c r="H1276" s="9" t="s">
        <v>33</v>
      </c>
      <c r="I1276" s="8">
        <v>6404</v>
      </c>
      <c r="J1276" s="10">
        <v>2115.5700000000002</v>
      </c>
      <c r="K1276" s="10">
        <v>149.58000000000001</v>
      </c>
      <c r="L1276" s="10">
        <v>233.84</v>
      </c>
      <c r="M1276" s="10">
        <v>2498.9899999999998</v>
      </c>
      <c r="N1276" s="8">
        <v>12</v>
      </c>
      <c r="O1276" s="6">
        <v>1.9</v>
      </c>
    </row>
    <row r="1277" spans="1:15" x14ac:dyDescent="0.25">
      <c r="A1277" s="8">
        <v>40149</v>
      </c>
      <c r="B1277" s="9" t="s">
        <v>10</v>
      </c>
      <c r="C1277" s="9" t="s">
        <v>26</v>
      </c>
      <c r="D1277" s="9" t="s">
        <v>35</v>
      </c>
      <c r="E1277" s="9" t="s">
        <v>8</v>
      </c>
      <c r="F1277" s="9" t="str">
        <f t="shared" si="19"/>
        <v>Not Delivered</v>
      </c>
      <c r="G1277" s="9" t="b">
        <v>1</v>
      </c>
      <c r="H1277" s="9" t="s">
        <v>22</v>
      </c>
      <c r="I1277" s="8">
        <v>7223</v>
      </c>
      <c r="J1277" s="10">
        <v>1236.29</v>
      </c>
      <c r="K1277" s="10">
        <v>97.25</v>
      </c>
      <c r="L1277" s="10">
        <v>165.86</v>
      </c>
      <c r="M1277" s="10">
        <v>1499.4</v>
      </c>
      <c r="N1277" s="8">
        <v>6</v>
      </c>
      <c r="O1277" s="6">
        <v>3.2</v>
      </c>
    </row>
    <row r="1278" spans="1:15" x14ac:dyDescent="0.25">
      <c r="A1278" s="8">
        <v>84683</v>
      </c>
      <c r="B1278" s="9" t="s">
        <v>10</v>
      </c>
      <c r="C1278" s="9" t="s">
        <v>20</v>
      </c>
      <c r="D1278" s="9" t="s">
        <v>27</v>
      </c>
      <c r="E1278" s="9" t="s">
        <v>3</v>
      </c>
      <c r="F1278" s="9" t="str">
        <f t="shared" si="19"/>
        <v>Not Delivered</v>
      </c>
      <c r="G1278" s="9" t="b">
        <v>0</v>
      </c>
      <c r="H1278" s="9" t="s">
        <v>22</v>
      </c>
      <c r="I1278" s="8">
        <v>5026</v>
      </c>
      <c r="J1278" s="10">
        <v>430.53</v>
      </c>
      <c r="K1278" s="10">
        <v>55.13</v>
      </c>
      <c r="M1278" s="10">
        <v>485.66</v>
      </c>
      <c r="N1278" s="8">
        <v>6</v>
      </c>
      <c r="O1278" s="6">
        <v>1.6</v>
      </c>
    </row>
    <row r="1279" spans="1:15" x14ac:dyDescent="0.25">
      <c r="A1279" s="8">
        <v>75444</v>
      </c>
      <c r="B1279" s="9" t="s">
        <v>41</v>
      </c>
      <c r="C1279" s="9" t="s">
        <v>42</v>
      </c>
      <c r="D1279" s="9" t="s">
        <v>27</v>
      </c>
      <c r="E1279" s="9" t="s">
        <v>32</v>
      </c>
      <c r="F1279" s="9" t="str">
        <f t="shared" si="19"/>
        <v>Not Delivered</v>
      </c>
      <c r="G1279" s="9" t="b">
        <v>1</v>
      </c>
      <c r="H1279" s="9" t="s">
        <v>4</v>
      </c>
      <c r="I1279" s="8">
        <v>6530</v>
      </c>
      <c r="J1279" s="10">
        <v>1092.72</v>
      </c>
      <c r="K1279" s="10">
        <v>110.22</v>
      </c>
      <c r="L1279" s="10">
        <v>192.47</v>
      </c>
      <c r="M1279" s="10">
        <v>1395.41</v>
      </c>
      <c r="N1279" s="8">
        <v>11</v>
      </c>
      <c r="O1279" s="6">
        <v>4</v>
      </c>
    </row>
    <row r="1280" spans="1:15" x14ac:dyDescent="0.25">
      <c r="A1280" s="8">
        <v>43728</v>
      </c>
      <c r="B1280" s="9" t="s">
        <v>10</v>
      </c>
      <c r="C1280" s="9" t="s">
        <v>15</v>
      </c>
      <c r="D1280" s="9" t="s">
        <v>2</v>
      </c>
      <c r="E1280" s="9" t="s">
        <v>32</v>
      </c>
      <c r="F1280" s="9" t="str">
        <f t="shared" si="19"/>
        <v>Not Delivered</v>
      </c>
      <c r="G1280" s="9" t="b">
        <v>0</v>
      </c>
      <c r="H1280" s="9" t="s">
        <v>14</v>
      </c>
      <c r="I1280" s="8">
        <v>9005</v>
      </c>
      <c r="J1280" s="10">
        <v>1844.77</v>
      </c>
      <c r="K1280" s="10">
        <v>64.510000000000005</v>
      </c>
      <c r="L1280" s="10">
        <v>0</v>
      </c>
      <c r="M1280" s="10">
        <v>1909.28</v>
      </c>
      <c r="N1280" s="8">
        <v>9</v>
      </c>
      <c r="O1280" s="6">
        <v>4</v>
      </c>
    </row>
    <row r="1281" spans="1:15" x14ac:dyDescent="0.25">
      <c r="A1281" s="8">
        <v>94108</v>
      </c>
      <c r="B1281" s="9" t="s">
        <v>23</v>
      </c>
      <c r="C1281" s="9" t="s">
        <v>48</v>
      </c>
      <c r="D1281" s="9" t="s">
        <v>7</v>
      </c>
      <c r="E1281" s="9" t="s">
        <v>8</v>
      </c>
      <c r="F1281" s="9" t="str">
        <f t="shared" si="19"/>
        <v>Not Delivered</v>
      </c>
      <c r="G1281" s="9" t="b">
        <v>1</v>
      </c>
      <c r="H1281" s="9" t="s">
        <v>28</v>
      </c>
      <c r="I1281" s="8">
        <v>9037</v>
      </c>
      <c r="J1281" s="10">
        <v>1279.5999999999999</v>
      </c>
      <c r="K1281" s="10">
        <v>138.07</v>
      </c>
      <c r="L1281" s="10">
        <v>39.39</v>
      </c>
      <c r="M1281" s="10">
        <v>1457.06</v>
      </c>
      <c r="N1281" s="8">
        <v>5</v>
      </c>
      <c r="O1281" s="6">
        <v>3.7</v>
      </c>
    </row>
    <row r="1282" spans="1:15" x14ac:dyDescent="0.25">
      <c r="A1282" s="8">
        <v>70401</v>
      </c>
      <c r="B1282" s="9" t="s">
        <v>0</v>
      </c>
      <c r="C1282" s="9" t="s">
        <v>51</v>
      </c>
      <c r="E1282" s="9" t="s">
        <v>32</v>
      </c>
      <c r="F1282" s="9" t="str">
        <f t="shared" si="19"/>
        <v>Not Delivered</v>
      </c>
      <c r="G1282" s="9" t="b">
        <v>0</v>
      </c>
      <c r="H1282" s="9" t="s">
        <v>18</v>
      </c>
      <c r="I1282" s="8">
        <v>3756</v>
      </c>
      <c r="J1282" s="10">
        <v>957.15</v>
      </c>
      <c r="K1282" s="10">
        <v>133.65</v>
      </c>
      <c r="L1282" s="10">
        <v>0</v>
      </c>
      <c r="M1282" s="10">
        <v>1090.8</v>
      </c>
      <c r="N1282" s="8">
        <v>9</v>
      </c>
      <c r="O1282" s="6">
        <v>3.1</v>
      </c>
    </row>
    <row r="1283" spans="1:15" x14ac:dyDescent="0.25">
      <c r="A1283" s="8">
        <v>56160</v>
      </c>
      <c r="B1283" s="9" t="s">
        <v>10</v>
      </c>
      <c r="C1283" s="9" t="s">
        <v>20</v>
      </c>
      <c r="D1283" s="9" t="s">
        <v>19</v>
      </c>
      <c r="E1283" s="9" t="s">
        <v>8</v>
      </c>
      <c r="F1283" s="9" t="str">
        <f t="shared" ref="F1283:F1346" si="20">IF(OR(
E1283="Failed Delivery",
E1283="Cancelled",
E1283="Pending",
E1283="Rescheduled",
E1283="In Transit"
),"Not Delivered","Delivered")</f>
        <v>Not Delivered</v>
      </c>
      <c r="G1283" s="9" t="b">
        <v>0</v>
      </c>
      <c r="H1283" s="9" t="s">
        <v>4</v>
      </c>
      <c r="I1283" s="8">
        <v>3773</v>
      </c>
      <c r="J1283" s="10">
        <v>1406.82</v>
      </c>
      <c r="K1283" s="10">
        <v>72.58</v>
      </c>
      <c r="M1283" s="10">
        <v>1479.4</v>
      </c>
      <c r="N1283" s="8">
        <v>3</v>
      </c>
      <c r="O1283" s="6">
        <v>4.5999999999999996</v>
      </c>
    </row>
    <row r="1284" spans="1:15" x14ac:dyDescent="0.25">
      <c r="A1284" s="8">
        <v>28344</v>
      </c>
      <c r="B1284" s="9" t="s">
        <v>41</v>
      </c>
      <c r="C1284" s="9" t="s">
        <v>47</v>
      </c>
      <c r="D1284" s="9" t="s">
        <v>19</v>
      </c>
      <c r="E1284" s="9" t="s">
        <v>21</v>
      </c>
      <c r="F1284" s="9" t="str">
        <f t="shared" si="20"/>
        <v>Not Delivered</v>
      </c>
      <c r="G1284" s="9" t="b">
        <v>0</v>
      </c>
      <c r="H1284" s="9" t="s">
        <v>22</v>
      </c>
      <c r="I1284" s="8">
        <v>9954</v>
      </c>
      <c r="J1284" s="10">
        <v>1389.45</v>
      </c>
      <c r="K1284" s="10">
        <v>119.49</v>
      </c>
      <c r="L1284" s="10">
        <v>0</v>
      </c>
      <c r="M1284" s="10">
        <v>1508.94</v>
      </c>
      <c r="N1284" s="8">
        <v>4</v>
      </c>
      <c r="O1284" s="6">
        <v>2.2000000000000002</v>
      </c>
    </row>
    <row r="1285" spans="1:15" x14ac:dyDescent="0.25">
      <c r="A1285" s="8">
        <v>74004</v>
      </c>
      <c r="B1285" s="9" t="s">
        <v>5</v>
      </c>
      <c r="C1285" s="9" t="s">
        <v>36</v>
      </c>
      <c r="D1285" s="9" t="s">
        <v>45</v>
      </c>
      <c r="E1285" s="9" t="s">
        <v>17</v>
      </c>
      <c r="F1285" s="9" t="str">
        <f t="shared" si="20"/>
        <v>Not Delivered</v>
      </c>
      <c r="G1285" s="9" t="b">
        <v>1</v>
      </c>
      <c r="H1285" s="9" t="s">
        <v>9</v>
      </c>
      <c r="I1285" s="8">
        <v>4015</v>
      </c>
      <c r="J1285" s="10">
        <v>254.06</v>
      </c>
      <c r="K1285" s="10">
        <v>27.33</v>
      </c>
      <c r="L1285" s="10">
        <v>59.29</v>
      </c>
      <c r="M1285" s="10">
        <v>340.68</v>
      </c>
      <c r="N1285" s="8">
        <v>13</v>
      </c>
      <c r="O1285" s="6">
        <v>1.3</v>
      </c>
    </row>
    <row r="1286" spans="1:15" x14ac:dyDescent="0.25">
      <c r="A1286" s="8">
        <v>81058</v>
      </c>
      <c r="B1286" s="9" t="s">
        <v>10</v>
      </c>
      <c r="C1286" s="9" t="s">
        <v>20</v>
      </c>
      <c r="D1286" s="9" t="s">
        <v>2</v>
      </c>
      <c r="E1286" s="9" t="s">
        <v>21</v>
      </c>
      <c r="F1286" s="9" t="str">
        <f t="shared" si="20"/>
        <v>Not Delivered</v>
      </c>
      <c r="G1286" s="9" t="b">
        <v>0</v>
      </c>
      <c r="H1286" s="9" t="s">
        <v>9</v>
      </c>
      <c r="I1286" s="8">
        <v>1962</v>
      </c>
      <c r="J1286" s="10">
        <v>120.08</v>
      </c>
      <c r="K1286" s="10">
        <v>69.819999999999993</v>
      </c>
      <c r="L1286" s="10">
        <v>0</v>
      </c>
      <c r="M1286" s="10">
        <v>189.9</v>
      </c>
      <c r="N1286" s="8">
        <v>7</v>
      </c>
      <c r="O1286" s="6">
        <v>2.2000000000000002</v>
      </c>
    </row>
    <row r="1287" spans="1:15" x14ac:dyDescent="0.25">
      <c r="A1287" s="8">
        <v>78674</v>
      </c>
      <c r="B1287" s="9" t="s">
        <v>0</v>
      </c>
      <c r="C1287" s="9" t="s">
        <v>43</v>
      </c>
      <c r="D1287" s="9" t="s">
        <v>45</v>
      </c>
      <c r="E1287" s="9" t="s">
        <v>3</v>
      </c>
      <c r="F1287" s="9" t="str">
        <f t="shared" si="20"/>
        <v>Not Delivered</v>
      </c>
      <c r="G1287" s="9" t="b">
        <v>0</v>
      </c>
      <c r="H1287" s="9" t="s">
        <v>14</v>
      </c>
      <c r="I1287" s="8">
        <v>1554</v>
      </c>
      <c r="J1287" s="10">
        <v>1129</v>
      </c>
      <c r="K1287" s="10">
        <v>147.69999999999999</v>
      </c>
      <c r="L1287" s="10">
        <v>0</v>
      </c>
      <c r="M1287" s="10">
        <v>1276.7</v>
      </c>
      <c r="N1287" s="8">
        <v>6</v>
      </c>
      <c r="O1287" s="6">
        <v>2</v>
      </c>
    </row>
    <row r="1288" spans="1:15" x14ac:dyDescent="0.25">
      <c r="A1288" s="8">
        <v>19742</v>
      </c>
      <c r="B1288" s="9" t="s">
        <v>41</v>
      </c>
      <c r="C1288" s="9" t="s">
        <v>47</v>
      </c>
      <c r="D1288" s="9" t="s">
        <v>12</v>
      </c>
      <c r="E1288" s="9" t="s">
        <v>3</v>
      </c>
      <c r="F1288" s="9" t="str">
        <f t="shared" si="20"/>
        <v>Not Delivered</v>
      </c>
      <c r="G1288" s="9" t="b">
        <v>0</v>
      </c>
      <c r="H1288" s="9" t="s">
        <v>33</v>
      </c>
      <c r="I1288" s="8">
        <v>1794</v>
      </c>
      <c r="J1288" s="10">
        <v>1229.94</v>
      </c>
      <c r="K1288" s="10">
        <v>138.06</v>
      </c>
      <c r="L1288" s="10">
        <v>0</v>
      </c>
      <c r="M1288" s="10">
        <v>1368</v>
      </c>
      <c r="N1288" s="8">
        <v>1</v>
      </c>
      <c r="O1288" s="6">
        <v>4.9000000000000004</v>
      </c>
    </row>
    <row r="1289" spans="1:15" x14ac:dyDescent="0.25">
      <c r="A1289" s="8">
        <v>10836</v>
      </c>
      <c r="B1289" s="9" t="s">
        <v>41</v>
      </c>
      <c r="C1289" s="9" t="s">
        <v>47</v>
      </c>
      <c r="D1289" s="9" t="s">
        <v>25</v>
      </c>
      <c r="E1289" s="9" t="s">
        <v>13</v>
      </c>
      <c r="F1289" s="9" t="str">
        <f t="shared" si="20"/>
        <v>Delivered</v>
      </c>
      <c r="G1289" s="9" t="b">
        <v>1</v>
      </c>
      <c r="H1289" s="9" t="s">
        <v>33</v>
      </c>
      <c r="I1289" s="8">
        <v>7756</v>
      </c>
      <c r="J1289" s="10">
        <v>482.52</v>
      </c>
      <c r="K1289" s="10">
        <v>79.319999999999993</v>
      </c>
      <c r="L1289" s="10">
        <v>206.98</v>
      </c>
      <c r="M1289" s="10">
        <v>768.82</v>
      </c>
      <c r="N1289" s="8">
        <v>6</v>
      </c>
      <c r="O1289" s="6">
        <v>4.9000000000000004</v>
      </c>
    </row>
    <row r="1290" spans="1:15" x14ac:dyDescent="0.25">
      <c r="A1290" s="8">
        <v>28021</v>
      </c>
      <c r="B1290" s="9" t="s">
        <v>41</v>
      </c>
      <c r="C1290" s="9" t="s">
        <v>42</v>
      </c>
      <c r="D1290" s="9" t="s">
        <v>7</v>
      </c>
      <c r="E1290" s="9" t="s">
        <v>3</v>
      </c>
      <c r="F1290" s="9" t="str">
        <f t="shared" si="20"/>
        <v>Not Delivered</v>
      </c>
      <c r="G1290" s="9" t="b">
        <v>1</v>
      </c>
      <c r="H1290" s="9" t="s">
        <v>33</v>
      </c>
      <c r="I1290" s="8">
        <v>4791</v>
      </c>
      <c r="J1290" s="10">
        <v>776.42</v>
      </c>
      <c r="K1290" s="10">
        <v>51.03</v>
      </c>
      <c r="L1290" s="10">
        <v>48.39</v>
      </c>
      <c r="M1290" s="10">
        <v>875.84</v>
      </c>
      <c r="N1290" s="8">
        <v>8</v>
      </c>
    </row>
    <row r="1291" spans="1:15" x14ac:dyDescent="0.25">
      <c r="A1291" s="8">
        <v>18908</v>
      </c>
      <c r="B1291" s="9" t="s">
        <v>0</v>
      </c>
      <c r="C1291" s="9" t="s">
        <v>43</v>
      </c>
      <c r="D1291" s="9" t="s">
        <v>45</v>
      </c>
      <c r="E1291" s="9" t="s">
        <v>13</v>
      </c>
      <c r="F1291" s="9" t="str">
        <f t="shared" si="20"/>
        <v>Delivered</v>
      </c>
      <c r="G1291" s="9" t="b">
        <v>1</v>
      </c>
      <c r="H1291" s="9" t="s">
        <v>14</v>
      </c>
      <c r="I1291" s="8">
        <v>3474</v>
      </c>
      <c r="J1291" s="10">
        <v>790.49</v>
      </c>
      <c r="K1291" s="10">
        <v>115.37</v>
      </c>
      <c r="L1291" s="10">
        <v>158.57</v>
      </c>
      <c r="M1291" s="10">
        <v>1064.43</v>
      </c>
      <c r="N1291" s="8">
        <v>12</v>
      </c>
      <c r="O1291" s="6">
        <v>1.7</v>
      </c>
    </row>
    <row r="1292" spans="1:15" x14ac:dyDescent="0.25">
      <c r="A1292" s="8">
        <v>11198</v>
      </c>
      <c r="B1292" s="9" t="s">
        <v>23</v>
      </c>
      <c r="C1292" s="9" t="s">
        <v>60</v>
      </c>
      <c r="D1292" s="9" t="s">
        <v>38</v>
      </c>
      <c r="E1292" s="9" t="s">
        <v>8</v>
      </c>
      <c r="F1292" s="9" t="str">
        <f t="shared" si="20"/>
        <v>Not Delivered</v>
      </c>
      <c r="G1292" s="9" t="b">
        <v>1</v>
      </c>
      <c r="H1292" s="9" t="s">
        <v>28</v>
      </c>
      <c r="I1292" s="8">
        <v>4583</v>
      </c>
      <c r="J1292" s="10">
        <v>977.32</v>
      </c>
      <c r="K1292" s="10">
        <v>60.97</v>
      </c>
      <c r="L1292" s="10">
        <v>29.98</v>
      </c>
      <c r="M1292" s="10">
        <v>1068.27</v>
      </c>
      <c r="N1292" s="8">
        <v>8</v>
      </c>
      <c r="O1292" s="6">
        <v>2.5</v>
      </c>
    </row>
    <row r="1293" spans="1:15" x14ac:dyDescent="0.25">
      <c r="A1293" s="8">
        <v>76287</v>
      </c>
      <c r="B1293" s="9" t="s">
        <v>39</v>
      </c>
      <c r="C1293" s="9" t="s">
        <v>57</v>
      </c>
      <c r="D1293" s="9" t="s">
        <v>12</v>
      </c>
      <c r="E1293" s="9" t="s">
        <v>17</v>
      </c>
      <c r="F1293" s="9" t="str">
        <f t="shared" si="20"/>
        <v>Not Delivered</v>
      </c>
      <c r="G1293" s="9" t="b">
        <v>0</v>
      </c>
      <c r="H1293" s="9" t="s">
        <v>28</v>
      </c>
      <c r="I1293" s="8">
        <v>8471</v>
      </c>
      <c r="J1293" s="10">
        <v>509.23</v>
      </c>
      <c r="K1293" s="10">
        <v>0</v>
      </c>
      <c r="L1293" s="10">
        <v>0</v>
      </c>
      <c r="M1293" s="10">
        <v>509.23</v>
      </c>
      <c r="N1293" s="8">
        <v>4</v>
      </c>
      <c r="O1293" s="6">
        <v>4.2</v>
      </c>
    </row>
    <row r="1294" spans="1:15" x14ac:dyDescent="0.25">
      <c r="A1294" s="8">
        <v>58916</v>
      </c>
      <c r="B1294" s="9" t="s">
        <v>23</v>
      </c>
      <c r="C1294" s="9" t="s">
        <v>24</v>
      </c>
      <c r="D1294" s="9" t="s">
        <v>25</v>
      </c>
      <c r="E1294" s="9" t="s">
        <v>8</v>
      </c>
      <c r="F1294" s="9" t="str">
        <f t="shared" si="20"/>
        <v>Not Delivered</v>
      </c>
      <c r="G1294" s="9" t="b">
        <v>0</v>
      </c>
      <c r="H1294" s="9" t="s">
        <v>18</v>
      </c>
      <c r="I1294" s="8">
        <v>1990</v>
      </c>
      <c r="J1294" s="10">
        <v>2260.02</v>
      </c>
      <c r="K1294" s="10">
        <v>106.28</v>
      </c>
      <c r="L1294" s="10">
        <v>0</v>
      </c>
      <c r="M1294" s="10">
        <v>2366.3000000000002</v>
      </c>
      <c r="N1294" s="8">
        <v>8</v>
      </c>
      <c r="O1294" s="6">
        <v>3.8</v>
      </c>
    </row>
    <row r="1295" spans="1:15" x14ac:dyDescent="0.25">
      <c r="A1295" s="8">
        <v>90980</v>
      </c>
      <c r="B1295" s="9" t="s">
        <v>0</v>
      </c>
      <c r="C1295" s="9" t="s">
        <v>51</v>
      </c>
      <c r="D1295" s="9" t="s">
        <v>16</v>
      </c>
      <c r="E1295" s="9" t="s">
        <v>17</v>
      </c>
      <c r="F1295" s="9" t="str">
        <f t="shared" si="20"/>
        <v>Not Delivered</v>
      </c>
      <c r="G1295" s="9" t="b">
        <v>0</v>
      </c>
      <c r="H1295" s="9" t="s">
        <v>4</v>
      </c>
      <c r="I1295" s="8">
        <v>8916</v>
      </c>
      <c r="J1295" s="10">
        <v>1197.47</v>
      </c>
      <c r="K1295" s="10">
        <v>0</v>
      </c>
      <c r="L1295" s="10">
        <v>0</v>
      </c>
      <c r="M1295" s="10">
        <v>1197.47</v>
      </c>
      <c r="N1295" s="8">
        <v>1</v>
      </c>
      <c r="O1295" s="6">
        <v>3.2</v>
      </c>
    </row>
    <row r="1296" spans="1:15" x14ac:dyDescent="0.25">
      <c r="A1296" s="8">
        <v>96413</v>
      </c>
      <c r="B1296" s="9" t="s">
        <v>5</v>
      </c>
      <c r="C1296" s="9" t="s">
        <v>56</v>
      </c>
      <c r="D1296" s="9" t="s">
        <v>7</v>
      </c>
      <c r="E1296" s="9" t="s">
        <v>8</v>
      </c>
      <c r="F1296" s="9" t="str">
        <f t="shared" si="20"/>
        <v>Not Delivered</v>
      </c>
      <c r="G1296" s="9" t="b">
        <v>1</v>
      </c>
      <c r="H1296" s="9" t="s">
        <v>28</v>
      </c>
      <c r="I1296" s="8">
        <v>8993</v>
      </c>
      <c r="J1296" s="10">
        <v>2218.9</v>
      </c>
      <c r="K1296" s="10">
        <v>97.46</v>
      </c>
      <c r="L1296" s="10">
        <v>56.05</v>
      </c>
      <c r="M1296" s="10">
        <v>2372.41</v>
      </c>
      <c r="N1296" s="8">
        <v>3</v>
      </c>
    </row>
    <row r="1297" spans="1:15" x14ac:dyDescent="0.25">
      <c r="A1297" s="8">
        <v>12061</v>
      </c>
      <c r="B1297" s="9" t="s">
        <v>39</v>
      </c>
      <c r="C1297" s="9" t="s">
        <v>55</v>
      </c>
      <c r="D1297" s="9" t="s">
        <v>7</v>
      </c>
      <c r="E1297" s="9" t="s">
        <v>13</v>
      </c>
      <c r="F1297" s="9" t="str">
        <f t="shared" si="20"/>
        <v>Delivered</v>
      </c>
      <c r="G1297" s="9" t="b">
        <v>1</v>
      </c>
      <c r="H1297" s="9" t="s">
        <v>28</v>
      </c>
      <c r="I1297" s="8">
        <v>1108</v>
      </c>
      <c r="J1297" s="10">
        <v>610.11</v>
      </c>
      <c r="K1297" s="10">
        <v>0</v>
      </c>
      <c r="L1297" s="10">
        <v>79.11</v>
      </c>
      <c r="M1297" s="10">
        <v>689.22</v>
      </c>
      <c r="N1297" s="8">
        <v>2</v>
      </c>
      <c r="O1297" s="6">
        <v>1.9</v>
      </c>
    </row>
    <row r="1298" spans="1:15" x14ac:dyDescent="0.25">
      <c r="A1298" s="8">
        <v>79758</v>
      </c>
      <c r="B1298" s="9" t="s">
        <v>0</v>
      </c>
      <c r="C1298" s="9" t="s">
        <v>37</v>
      </c>
      <c r="D1298" s="9" t="s">
        <v>7</v>
      </c>
      <c r="E1298" s="9" t="s">
        <v>13</v>
      </c>
      <c r="F1298" s="9" t="str">
        <f t="shared" si="20"/>
        <v>Delivered</v>
      </c>
      <c r="G1298" s="9" t="b">
        <v>1</v>
      </c>
      <c r="H1298" s="9" t="s">
        <v>28</v>
      </c>
      <c r="I1298" s="8">
        <v>7739</v>
      </c>
      <c r="J1298" s="10">
        <v>168.47</v>
      </c>
      <c r="K1298" s="10">
        <v>29.5</v>
      </c>
      <c r="L1298" s="10">
        <v>38.11</v>
      </c>
      <c r="M1298" s="10">
        <v>236.08</v>
      </c>
      <c r="N1298" s="8">
        <v>5</v>
      </c>
      <c r="O1298" s="6">
        <v>1</v>
      </c>
    </row>
    <row r="1299" spans="1:15" x14ac:dyDescent="0.25">
      <c r="A1299" s="8">
        <v>11553</v>
      </c>
      <c r="B1299" s="9" t="s">
        <v>39</v>
      </c>
      <c r="C1299" s="9" t="s">
        <v>40</v>
      </c>
      <c r="D1299" s="9" t="s">
        <v>16</v>
      </c>
      <c r="E1299" s="9" t="s">
        <v>21</v>
      </c>
      <c r="F1299" s="9" t="str">
        <f t="shared" si="20"/>
        <v>Not Delivered</v>
      </c>
      <c r="G1299" s="9" t="b">
        <v>0</v>
      </c>
      <c r="H1299" s="9" t="s">
        <v>22</v>
      </c>
      <c r="I1299" s="8">
        <v>1274</v>
      </c>
      <c r="J1299" s="10">
        <v>347.91</v>
      </c>
      <c r="K1299" s="10">
        <v>60.61</v>
      </c>
      <c r="L1299" s="10">
        <v>0</v>
      </c>
      <c r="M1299" s="10">
        <v>408.52</v>
      </c>
      <c r="N1299" s="8">
        <v>4</v>
      </c>
    </row>
    <row r="1300" spans="1:15" x14ac:dyDescent="0.25">
      <c r="A1300" s="8">
        <v>79391</v>
      </c>
      <c r="B1300" s="9" t="s">
        <v>0</v>
      </c>
      <c r="C1300" s="9" t="s">
        <v>43</v>
      </c>
      <c r="D1300" s="9" t="s">
        <v>12</v>
      </c>
      <c r="E1300" s="9" t="s">
        <v>21</v>
      </c>
      <c r="F1300" s="9" t="str">
        <f t="shared" si="20"/>
        <v>Not Delivered</v>
      </c>
      <c r="G1300" s="9" t="b">
        <v>1</v>
      </c>
      <c r="H1300" s="9" t="s">
        <v>28</v>
      </c>
      <c r="I1300" s="8">
        <v>5501</v>
      </c>
      <c r="J1300" s="10">
        <v>1566.84</v>
      </c>
      <c r="K1300" s="10">
        <v>0</v>
      </c>
      <c r="L1300" s="10">
        <v>93.06</v>
      </c>
      <c r="M1300" s="10">
        <v>1659.9</v>
      </c>
      <c r="N1300" s="8">
        <v>2</v>
      </c>
      <c r="O1300" s="6">
        <v>5</v>
      </c>
    </row>
    <row r="1301" spans="1:15" x14ac:dyDescent="0.25">
      <c r="A1301" s="8">
        <v>80220</v>
      </c>
      <c r="B1301" s="9" t="s">
        <v>23</v>
      </c>
      <c r="C1301" s="9" t="s">
        <v>48</v>
      </c>
      <c r="D1301" s="9" t="s">
        <v>16</v>
      </c>
      <c r="E1301" s="9" t="s">
        <v>17</v>
      </c>
      <c r="F1301" s="9" t="str">
        <f t="shared" si="20"/>
        <v>Not Delivered</v>
      </c>
      <c r="G1301" s="9" t="b">
        <v>1</v>
      </c>
      <c r="H1301" s="9" t="s">
        <v>28</v>
      </c>
      <c r="I1301" s="8">
        <v>5697</v>
      </c>
      <c r="J1301" s="10">
        <v>2297.23</v>
      </c>
      <c r="K1301" s="10">
        <v>86.17</v>
      </c>
      <c r="L1301" s="10">
        <v>140.63999999999999</v>
      </c>
      <c r="M1301" s="10">
        <v>2524.04</v>
      </c>
      <c r="N1301" s="8">
        <v>13</v>
      </c>
      <c r="O1301" s="6">
        <v>4.5</v>
      </c>
    </row>
    <row r="1302" spans="1:15" x14ac:dyDescent="0.25">
      <c r="A1302" s="8">
        <v>12246</v>
      </c>
      <c r="B1302" s="9" t="s">
        <v>0</v>
      </c>
      <c r="C1302" s="9" t="s">
        <v>51</v>
      </c>
      <c r="D1302" s="9" t="s">
        <v>27</v>
      </c>
      <c r="E1302" s="9" t="s">
        <v>32</v>
      </c>
      <c r="F1302" s="9" t="str">
        <f t="shared" si="20"/>
        <v>Not Delivered</v>
      </c>
      <c r="G1302" s="9" t="b">
        <v>1</v>
      </c>
      <c r="H1302" s="9" t="s">
        <v>28</v>
      </c>
      <c r="I1302" s="8">
        <v>9228</v>
      </c>
      <c r="J1302" s="10">
        <v>794.78</v>
      </c>
      <c r="K1302" s="10">
        <v>136.69</v>
      </c>
      <c r="L1302" s="10">
        <v>242.23</v>
      </c>
      <c r="M1302" s="10">
        <v>1173.7</v>
      </c>
      <c r="N1302" s="8">
        <v>13</v>
      </c>
      <c r="O1302" s="6">
        <v>2.6</v>
      </c>
    </row>
    <row r="1303" spans="1:15" x14ac:dyDescent="0.25">
      <c r="A1303" s="8">
        <v>98346</v>
      </c>
      <c r="B1303" s="9" t="s">
        <v>41</v>
      </c>
      <c r="C1303" s="9" t="s">
        <v>61</v>
      </c>
      <c r="E1303" s="9" t="s">
        <v>17</v>
      </c>
      <c r="F1303" s="9" t="str">
        <f t="shared" si="20"/>
        <v>Not Delivered</v>
      </c>
      <c r="G1303" s="9" t="b">
        <v>1</v>
      </c>
      <c r="H1303" s="9" t="s">
        <v>33</v>
      </c>
      <c r="I1303" s="8">
        <v>8054</v>
      </c>
      <c r="J1303" s="10">
        <v>1393.69</v>
      </c>
      <c r="K1303" s="10">
        <v>0</v>
      </c>
      <c r="L1303" s="10">
        <v>159.94999999999999</v>
      </c>
      <c r="M1303" s="10">
        <v>1553.64</v>
      </c>
      <c r="N1303" s="8">
        <v>2</v>
      </c>
      <c r="O1303" s="6">
        <v>4.0999999999999996</v>
      </c>
    </row>
    <row r="1304" spans="1:15" x14ac:dyDescent="0.25">
      <c r="A1304" s="8">
        <v>33496</v>
      </c>
      <c r="B1304" s="9" t="s">
        <v>10</v>
      </c>
      <c r="C1304" s="9" t="s">
        <v>20</v>
      </c>
      <c r="D1304" s="9" t="s">
        <v>50</v>
      </c>
      <c r="E1304" s="9" t="s">
        <v>3</v>
      </c>
      <c r="F1304" s="9" t="str">
        <f t="shared" si="20"/>
        <v>Not Delivered</v>
      </c>
      <c r="G1304" s="9" t="b">
        <v>0</v>
      </c>
      <c r="H1304" s="9" t="s">
        <v>18</v>
      </c>
      <c r="I1304" s="8">
        <v>2753</v>
      </c>
      <c r="J1304" s="10">
        <v>633.58000000000004</v>
      </c>
      <c r="K1304" s="10">
        <v>148.66999999999999</v>
      </c>
      <c r="L1304" s="10">
        <v>0</v>
      </c>
      <c r="M1304" s="10">
        <v>782.25</v>
      </c>
      <c r="N1304" s="8">
        <v>5</v>
      </c>
      <c r="O1304" s="6">
        <v>3.4</v>
      </c>
    </row>
    <row r="1305" spans="1:15" x14ac:dyDescent="0.25">
      <c r="A1305" s="8">
        <v>22624</v>
      </c>
      <c r="B1305" s="9" t="s">
        <v>39</v>
      </c>
      <c r="C1305" s="9" t="s">
        <v>58</v>
      </c>
      <c r="D1305" s="9" t="s">
        <v>30</v>
      </c>
      <c r="E1305" s="9" t="s">
        <v>21</v>
      </c>
      <c r="F1305" s="9" t="str">
        <f t="shared" si="20"/>
        <v>Not Delivered</v>
      </c>
      <c r="G1305" s="9" t="b">
        <v>1</v>
      </c>
      <c r="H1305" s="9" t="s">
        <v>22</v>
      </c>
      <c r="I1305" s="8">
        <v>9591</v>
      </c>
      <c r="J1305" s="10">
        <v>1155.53</v>
      </c>
      <c r="K1305" s="10">
        <v>108.96</v>
      </c>
      <c r="L1305" s="10">
        <v>200.56</v>
      </c>
      <c r="M1305" s="10">
        <v>1465.05</v>
      </c>
      <c r="N1305" s="8">
        <v>12</v>
      </c>
      <c r="O1305" s="6">
        <v>2.4</v>
      </c>
    </row>
    <row r="1306" spans="1:15" x14ac:dyDescent="0.25">
      <c r="A1306" s="8">
        <v>29516</v>
      </c>
      <c r="B1306" s="9" t="s">
        <v>5</v>
      </c>
      <c r="C1306" s="9" t="s">
        <v>56</v>
      </c>
      <c r="D1306" s="9" t="s">
        <v>35</v>
      </c>
      <c r="E1306" s="9" t="s">
        <v>13</v>
      </c>
      <c r="F1306" s="9" t="str">
        <f t="shared" si="20"/>
        <v>Delivered</v>
      </c>
      <c r="G1306" s="9" t="b">
        <v>1</v>
      </c>
      <c r="H1306" s="9" t="s">
        <v>28</v>
      </c>
      <c r="I1306" s="8">
        <v>4948</v>
      </c>
      <c r="J1306" s="10">
        <v>1646.98</v>
      </c>
      <c r="K1306" s="10">
        <v>137.47999999999999</v>
      </c>
      <c r="L1306" s="10">
        <v>192.68</v>
      </c>
      <c r="M1306" s="10">
        <v>1977.14</v>
      </c>
      <c r="N1306" s="8">
        <v>6</v>
      </c>
      <c r="O1306" s="6">
        <v>3.3</v>
      </c>
    </row>
    <row r="1307" spans="1:15" x14ac:dyDescent="0.25">
      <c r="A1307" s="8">
        <v>35156</v>
      </c>
      <c r="B1307" s="9" t="s">
        <v>10</v>
      </c>
      <c r="C1307" s="9" t="s">
        <v>15</v>
      </c>
      <c r="D1307" s="9" t="s">
        <v>7</v>
      </c>
      <c r="E1307" s="9" t="s">
        <v>8</v>
      </c>
      <c r="F1307" s="9" t="str">
        <f t="shared" si="20"/>
        <v>Not Delivered</v>
      </c>
      <c r="G1307" s="9" t="b">
        <v>0</v>
      </c>
      <c r="H1307" s="9" t="s">
        <v>33</v>
      </c>
      <c r="I1307" s="8">
        <v>9625</v>
      </c>
      <c r="J1307" s="10">
        <v>1384.59</v>
      </c>
      <c r="K1307" s="10">
        <v>0</v>
      </c>
      <c r="L1307" s="10">
        <v>0</v>
      </c>
      <c r="M1307" s="10">
        <v>1384.59</v>
      </c>
      <c r="N1307" s="8">
        <v>11</v>
      </c>
      <c r="O1307" s="6">
        <v>4.0999999999999996</v>
      </c>
    </row>
    <row r="1308" spans="1:15" x14ac:dyDescent="0.25">
      <c r="A1308" s="8">
        <v>43084</v>
      </c>
      <c r="B1308" s="9" t="s">
        <v>23</v>
      </c>
      <c r="C1308" s="9" t="s">
        <v>48</v>
      </c>
      <c r="D1308" s="9" t="s">
        <v>38</v>
      </c>
      <c r="E1308" s="9" t="s">
        <v>13</v>
      </c>
      <c r="F1308" s="9" t="str">
        <f t="shared" si="20"/>
        <v>Delivered</v>
      </c>
      <c r="G1308" s="9" t="b">
        <v>1</v>
      </c>
      <c r="H1308" s="9" t="s">
        <v>22</v>
      </c>
      <c r="I1308" s="8">
        <v>6807</v>
      </c>
      <c r="J1308" s="10">
        <v>2105.04</v>
      </c>
      <c r="K1308" s="10">
        <v>105.29</v>
      </c>
      <c r="L1308" s="10">
        <v>237.26</v>
      </c>
      <c r="M1308" s="10">
        <v>2447.59</v>
      </c>
      <c r="N1308" s="8">
        <v>3</v>
      </c>
    </row>
    <row r="1309" spans="1:15" x14ac:dyDescent="0.25">
      <c r="A1309" s="8">
        <v>45038</v>
      </c>
      <c r="B1309" s="9" t="s">
        <v>23</v>
      </c>
      <c r="C1309" s="9" t="s">
        <v>24</v>
      </c>
      <c r="D1309" s="9" t="s">
        <v>50</v>
      </c>
      <c r="E1309" s="9" t="s">
        <v>21</v>
      </c>
      <c r="F1309" s="9" t="str">
        <f t="shared" si="20"/>
        <v>Not Delivered</v>
      </c>
      <c r="G1309" s="9" t="b">
        <v>0</v>
      </c>
      <c r="H1309" s="9" t="s">
        <v>9</v>
      </c>
      <c r="I1309" s="8">
        <v>7502</v>
      </c>
      <c r="J1309" s="10">
        <v>1854.67</v>
      </c>
      <c r="K1309" s="10">
        <v>83.74</v>
      </c>
      <c r="L1309" s="10">
        <v>0</v>
      </c>
      <c r="M1309" s="10">
        <v>1938.41</v>
      </c>
      <c r="N1309" s="8">
        <v>6</v>
      </c>
      <c r="O1309" s="6">
        <v>2.9</v>
      </c>
    </row>
    <row r="1310" spans="1:15" x14ac:dyDescent="0.25">
      <c r="A1310" s="8">
        <v>20357</v>
      </c>
      <c r="B1310" s="9" t="s">
        <v>41</v>
      </c>
      <c r="C1310" s="9" t="s">
        <v>61</v>
      </c>
      <c r="D1310" s="9" t="s">
        <v>12</v>
      </c>
      <c r="E1310" s="9" t="s">
        <v>32</v>
      </c>
      <c r="F1310" s="9" t="str">
        <f t="shared" si="20"/>
        <v>Not Delivered</v>
      </c>
      <c r="G1310" s="9" t="b">
        <v>0</v>
      </c>
      <c r="H1310" s="9" t="s">
        <v>14</v>
      </c>
      <c r="I1310" s="8">
        <v>7112</v>
      </c>
      <c r="J1310" s="10">
        <v>621.95000000000005</v>
      </c>
      <c r="K1310" s="10">
        <v>75.25</v>
      </c>
      <c r="L1310" s="10">
        <v>0</v>
      </c>
      <c r="M1310" s="10">
        <v>697.2</v>
      </c>
      <c r="N1310" s="8">
        <v>14</v>
      </c>
      <c r="O1310" s="6">
        <v>2.6</v>
      </c>
    </row>
    <row r="1311" spans="1:15" x14ac:dyDescent="0.25">
      <c r="A1311" s="8">
        <v>63218</v>
      </c>
      <c r="B1311" s="9" t="s">
        <v>10</v>
      </c>
      <c r="C1311" s="9" t="s">
        <v>20</v>
      </c>
      <c r="D1311" s="9" t="s">
        <v>25</v>
      </c>
      <c r="E1311" s="9" t="s">
        <v>3</v>
      </c>
      <c r="F1311" s="9" t="str">
        <f t="shared" si="20"/>
        <v>Not Delivered</v>
      </c>
      <c r="G1311" s="9" t="b">
        <v>0</v>
      </c>
      <c r="H1311" s="9" t="s">
        <v>22</v>
      </c>
      <c r="I1311" s="8">
        <v>8520</v>
      </c>
      <c r="J1311" s="10">
        <v>964.05</v>
      </c>
      <c r="K1311" s="10">
        <v>108.36</v>
      </c>
      <c r="L1311" s="10">
        <v>0</v>
      </c>
      <c r="M1311" s="10">
        <v>1072.4100000000001</v>
      </c>
      <c r="N1311" s="8">
        <v>9</v>
      </c>
      <c r="O1311" s="6">
        <v>1.8</v>
      </c>
    </row>
    <row r="1312" spans="1:15" x14ac:dyDescent="0.25">
      <c r="A1312" s="8">
        <v>84055</v>
      </c>
      <c r="B1312" s="9" t="s">
        <v>39</v>
      </c>
      <c r="C1312" s="9" t="s">
        <v>55</v>
      </c>
      <c r="D1312" s="9" t="s">
        <v>12</v>
      </c>
      <c r="E1312" s="9" t="s">
        <v>13</v>
      </c>
      <c r="F1312" s="9" t="str">
        <f t="shared" si="20"/>
        <v>Delivered</v>
      </c>
      <c r="G1312" s="9" t="b">
        <v>0</v>
      </c>
      <c r="H1312" s="9" t="s">
        <v>14</v>
      </c>
      <c r="I1312" s="8">
        <v>4984</v>
      </c>
      <c r="J1312" s="10">
        <v>233.47</v>
      </c>
      <c r="K1312" s="10">
        <v>57.79</v>
      </c>
      <c r="L1312" s="10">
        <v>0</v>
      </c>
      <c r="M1312" s="10">
        <v>291.26</v>
      </c>
      <c r="N1312" s="8">
        <v>2</v>
      </c>
    </row>
    <row r="1313" spans="1:15" x14ac:dyDescent="0.25">
      <c r="A1313" s="8">
        <v>39603</v>
      </c>
      <c r="B1313" s="9" t="s">
        <v>5</v>
      </c>
      <c r="C1313" s="9" t="s">
        <v>6</v>
      </c>
      <c r="D1313" s="9" t="s">
        <v>27</v>
      </c>
      <c r="E1313" s="9" t="s">
        <v>3</v>
      </c>
      <c r="F1313" s="9" t="str">
        <f t="shared" si="20"/>
        <v>Not Delivered</v>
      </c>
      <c r="G1313" s="9" t="b">
        <v>0</v>
      </c>
      <c r="H1313" s="9" t="s">
        <v>28</v>
      </c>
      <c r="I1313" s="8">
        <v>5914</v>
      </c>
      <c r="J1313" s="10">
        <v>2148.5</v>
      </c>
      <c r="K1313" s="10">
        <v>0</v>
      </c>
      <c r="L1313" s="10">
        <v>0</v>
      </c>
      <c r="M1313" s="10">
        <v>2148.5</v>
      </c>
      <c r="N1313" s="8">
        <v>3</v>
      </c>
      <c r="O1313" s="6">
        <v>4.7</v>
      </c>
    </row>
    <row r="1314" spans="1:15" x14ac:dyDescent="0.25">
      <c r="A1314" s="8">
        <v>99658</v>
      </c>
      <c r="B1314" s="9" t="s">
        <v>5</v>
      </c>
      <c r="C1314" s="9" t="s">
        <v>31</v>
      </c>
      <c r="D1314" s="9" t="s">
        <v>19</v>
      </c>
      <c r="E1314" s="9" t="s">
        <v>32</v>
      </c>
      <c r="F1314" s="9" t="str">
        <f t="shared" si="20"/>
        <v>Not Delivered</v>
      </c>
      <c r="G1314" s="9" t="b">
        <v>0</v>
      </c>
      <c r="H1314" s="9" t="s">
        <v>28</v>
      </c>
      <c r="I1314" s="8">
        <v>2320</v>
      </c>
      <c r="J1314" s="10">
        <v>1503.1</v>
      </c>
      <c r="K1314" s="10">
        <v>0</v>
      </c>
      <c r="L1314" s="10">
        <v>0</v>
      </c>
      <c r="M1314" s="10">
        <v>1503.1</v>
      </c>
      <c r="N1314" s="8">
        <v>10</v>
      </c>
      <c r="O1314" s="6">
        <v>2.1</v>
      </c>
    </row>
    <row r="1315" spans="1:15" x14ac:dyDescent="0.25">
      <c r="A1315" s="8">
        <v>95686</v>
      </c>
      <c r="B1315" s="9" t="s">
        <v>41</v>
      </c>
      <c r="C1315" s="9" t="s">
        <v>61</v>
      </c>
      <c r="D1315" s="9" t="s">
        <v>19</v>
      </c>
      <c r="E1315" s="9" t="s">
        <v>21</v>
      </c>
      <c r="F1315" s="9" t="str">
        <f t="shared" si="20"/>
        <v>Not Delivered</v>
      </c>
      <c r="G1315" s="9" t="b">
        <v>1</v>
      </c>
      <c r="H1315" s="9" t="s">
        <v>18</v>
      </c>
      <c r="I1315" s="8">
        <v>1519</v>
      </c>
      <c r="J1315" s="10">
        <v>2341.27</v>
      </c>
      <c r="K1315" s="10">
        <v>73.64</v>
      </c>
      <c r="L1315" s="10">
        <v>176.24</v>
      </c>
      <c r="M1315" s="10">
        <v>2591.15</v>
      </c>
      <c r="N1315" s="8">
        <v>3</v>
      </c>
      <c r="O1315" s="6">
        <v>4.3</v>
      </c>
    </row>
    <row r="1316" spans="1:15" x14ac:dyDescent="0.25">
      <c r="A1316" s="8">
        <v>22255</v>
      </c>
      <c r="B1316" s="9" t="s">
        <v>5</v>
      </c>
      <c r="C1316" s="9" t="s">
        <v>36</v>
      </c>
      <c r="D1316" s="9" t="s">
        <v>16</v>
      </c>
      <c r="E1316" s="9" t="s">
        <v>32</v>
      </c>
      <c r="F1316" s="9" t="str">
        <f t="shared" si="20"/>
        <v>Not Delivered</v>
      </c>
      <c r="G1316" s="9" t="b">
        <v>0</v>
      </c>
      <c r="H1316" s="9" t="s">
        <v>28</v>
      </c>
      <c r="I1316" s="8">
        <v>7640</v>
      </c>
      <c r="J1316" s="10">
        <v>409.71</v>
      </c>
      <c r="K1316" s="10">
        <v>80.53</v>
      </c>
      <c r="L1316" s="10">
        <v>0</v>
      </c>
      <c r="M1316" s="10">
        <v>490.24</v>
      </c>
      <c r="N1316" s="8">
        <v>13</v>
      </c>
      <c r="O1316" s="6">
        <v>1.4</v>
      </c>
    </row>
    <row r="1317" spans="1:15" x14ac:dyDescent="0.25">
      <c r="A1317" s="8">
        <v>59710</v>
      </c>
      <c r="B1317" s="9" t="s">
        <v>39</v>
      </c>
      <c r="C1317" s="9" t="s">
        <v>55</v>
      </c>
      <c r="D1317" s="9" t="s">
        <v>2</v>
      </c>
      <c r="E1317" s="9" t="s">
        <v>3</v>
      </c>
      <c r="F1317" s="9" t="str">
        <f t="shared" si="20"/>
        <v>Not Delivered</v>
      </c>
      <c r="G1317" s="9" t="b">
        <v>1</v>
      </c>
      <c r="H1317" s="9" t="s">
        <v>9</v>
      </c>
      <c r="I1317" s="8">
        <v>7179</v>
      </c>
      <c r="J1317" s="10">
        <v>315.20999999999998</v>
      </c>
      <c r="K1317" s="10">
        <v>38.020000000000003</v>
      </c>
      <c r="L1317" s="10">
        <v>110.74</v>
      </c>
      <c r="M1317" s="10">
        <v>463.97</v>
      </c>
      <c r="N1317" s="8">
        <v>4</v>
      </c>
      <c r="O1317" s="6">
        <v>2.7</v>
      </c>
    </row>
    <row r="1318" spans="1:15" x14ac:dyDescent="0.25">
      <c r="A1318" s="8">
        <v>82443</v>
      </c>
      <c r="B1318" s="9" t="s">
        <v>23</v>
      </c>
      <c r="C1318" s="9" t="s">
        <v>24</v>
      </c>
      <c r="D1318" s="9" t="s">
        <v>2</v>
      </c>
      <c r="E1318" s="9" t="s">
        <v>3</v>
      </c>
      <c r="F1318" s="9" t="str">
        <f t="shared" si="20"/>
        <v>Not Delivered</v>
      </c>
      <c r="G1318" s="9" t="b">
        <v>0</v>
      </c>
      <c r="H1318" s="9" t="s">
        <v>4</v>
      </c>
      <c r="I1318" s="8">
        <v>8798</v>
      </c>
      <c r="J1318" s="10">
        <v>436.04</v>
      </c>
      <c r="K1318" s="10">
        <v>31.15</v>
      </c>
      <c r="L1318" s="10">
        <v>0</v>
      </c>
      <c r="M1318" s="10">
        <v>467.19</v>
      </c>
      <c r="N1318" s="8">
        <v>8</v>
      </c>
      <c r="O1318" s="6">
        <v>4.5999999999999996</v>
      </c>
    </row>
    <row r="1319" spans="1:15" x14ac:dyDescent="0.25">
      <c r="A1319" s="8">
        <v>17355</v>
      </c>
      <c r="B1319" s="9" t="s">
        <v>41</v>
      </c>
      <c r="C1319" s="9" t="s">
        <v>61</v>
      </c>
      <c r="D1319" s="9" t="s">
        <v>30</v>
      </c>
      <c r="E1319" s="9" t="s">
        <v>21</v>
      </c>
      <c r="F1319" s="9" t="str">
        <f t="shared" si="20"/>
        <v>Not Delivered</v>
      </c>
      <c r="G1319" s="9" t="b">
        <v>0</v>
      </c>
      <c r="H1319" s="9" t="s">
        <v>9</v>
      </c>
      <c r="I1319" s="8">
        <v>1154</v>
      </c>
      <c r="J1319" s="10">
        <v>751.28</v>
      </c>
      <c r="K1319" s="10">
        <v>93.67</v>
      </c>
      <c r="L1319" s="10">
        <v>0</v>
      </c>
      <c r="M1319" s="10">
        <v>844.95</v>
      </c>
      <c r="N1319" s="8">
        <v>6</v>
      </c>
    </row>
    <row r="1320" spans="1:15" x14ac:dyDescent="0.25">
      <c r="A1320" s="8">
        <v>32463</v>
      </c>
      <c r="B1320" s="9" t="s">
        <v>39</v>
      </c>
      <c r="C1320" s="9" t="s">
        <v>55</v>
      </c>
      <c r="D1320" s="9" t="s">
        <v>16</v>
      </c>
      <c r="E1320" s="9" t="s">
        <v>13</v>
      </c>
      <c r="F1320" s="9" t="str">
        <f t="shared" si="20"/>
        <v>Delivered</v>
      </c>
      <c r="G1320" s="9" t="b">
        <v>1</v>
      </c>
      <c r="H1320" s="9" t="s">
        <v>28</v>
      </c>
      <c r="I1320" s="8">
        <v>2354</v>
      </c>
      <c r="J1320" s="10">
        <v>371.77</v>
      </c>
      <c r="K1320" s="10">
        <v>35.840000000000003</v>
      </c>
      <c r="L1320" s="10">
        <v>175.26</v>
      </c>
      <c r="M1320" s="10">
        <v>582.87</v>
      </c>
      <c r="N1320" s="8">
        <v>7</v>
      </c>
      <c r="O1320" s="6">
        <v>2.2999999999999998</v>
      </c>
    </row>
    <row r="1321" spans="1:15" x14ac:dyDescent="0.25">
      <c r="A1321" s="8">
        <v>75517</v>
      </c>
      <c r="B1321" s="9" t="s">
        <v>0</v>
      </c>
      <c r="C1321" s="9" t="s">
        <v>51</v>
      </c>
      <c r="D1321" s="9" t="s">
        <v>16</v>
      </c>
      <c r="E1321" s="9" t="s">
        <v>21</v>
      </c>
      <c r="F1321" s="9" t="str">
        <f t="shared" si="20"/>
        <v>Not Delivered</v>
      </c>
      <c r="G1321" s="9" t="b">
        <v>1</v>
      </c>
      <c r="H1321" s="9" t="s">
        <v>33</v>
      </c>
      <c r="I1321" s="8">
        <v>8109</v>
      </c>
      <c r="J1321" s="10">
        <v>1632.45</v>
      </c>
      <c r="K1321" s="10">
        <v>137.77000000000001</v>
      </c>
      <c r="L1321" s="10">
        <v>82.27</v>
      </c>
      <c r="M1321" s="10">
        <v>1852.49</v>
      </c>
      <c r="N1321" s="8">
        <v>2</v>
      </c>
      <c r="O1321" s="6">
        <v>4.2</v>
      </c>
    </row>
    <row r="1322" spans="1:15" x14ac:dyDescent="0.25">
      <c r="A1322" s="8">
        <v>94529</v>
      </c>
      <c r="B1322" s="9" t="s">
        <v>10</v>
      </c>
      <c r="C1322" s="9" t="s">
        <v>20</v>
      </c>
      <c r="D1322" s="9" t="s">
        <v>50</v>
      </c>
      <c r="E1322" s="9" t="s">
        <v>13</v>
      </c>
      <c r="F1322" s="9" t="str">
        <f t="shared" si="20"/>
        <v>Delivered</v>
      </c>
      <c r="G1322" s="9" t="b">
        <v>0</v>
      </c>
      <c r="H1322" s="9" t="s">
        <v>28</v>
      </c>
      <c r="I1322" s="8">
        <v>6427</v>
      </c>
      <c r="J1322" s="10">
        <v>138.94</v>
      </c>
      <c r="K1322" s="10">
        <v>57.72</v>
      </c>
      <c r="L1322" s="10">
        <v>0</v>
      </c>
      <c r="M1322" s="10">
        <v>196.66</v>
      </c>
      <c r="N1322" s="8">
        <v>7</v>
      </c>
    </row>
    <row r="1323" spans="1:15" x14ac:dyDescent="0.25">
      <c r="A1323" s="8">
        <v>84167</v>
      </c>
      <c r="B1323" s="9" t="s">
        <v>10</v>
      </c>
      <c r="C1323" s="9" t="s">
        <v>11</v>
      </c>
      <c r="D1323" s="9" t="s">
        <v>19</v>
      </c>
      <c r="E1323" s="9" t="s">
        <v>17</v>
      </c>
      <c r="F1323" s="9" t="str">
        <f t="shared" si="20"/>
        <v>Not Delivered</v>
      </c>
      <c r="G1323" s="9" t="b">
        <v>1</v>
      </c>
      <c r="H1323" s="9" t="s">
        <v>9</v>
      </c>
      <c r="I1323" s="8">
        <v>2562</v>
      </c>
      <c r="J1323" s="10">
        <v>1832.04</v>
      </c>
      <c r="K1323" s="10">
        <v>0</v>
      </c>
      <c r="L1323" s="10">
        <v>60.96</v>
      </c>
      <c r="M1323" s="10">
        <v>1893</v>
      </c>
      <c r="N1323" s="8">
        <v>10</v>
      </c>
      <c r="O1323" s="6">
        <v>3.4</v>
      </c>
    </row>
    <row r="1324" spans="1:15" x14ac:dyDescent="0.25">
      <c r="A1324" s="8">
        <v>79226</v>
      </c>
      <c r="B1324" s="9" t="s">
        <v>10</v>
      </c>
      <c r="C1324" s="9" t="s">
        <v>26</v>
      </c>
      <c r="D1324" s="9" t="s">
        <v>12</v>
      </c>
      <c r="E1324" s="9" t="s">
        <v>21</v>
      </c>
      <c r="F1324" s="9" t="str">
        <f t="shared" si="20"/>
        <v>Not Delivered</v>
      </c>
      <c r="G1324" s="9" t="b">
        <v>1</v>
      </c>
      <c r="H1324" s="9" t="s">
        <v>33</v>
      </c>
      <c r="I1324" s="8">
        <v>1697</v>
      </c>
      <c r="J1324" s="10">
        <v>1545.35</v>
      </c>
      <c r="K1324" s="10">
        <v>0</v>
      </c>
      <c r="L1324" s="10">
        <v>40.39</v>
      </c>
      <c r="M1324" s="10">
        <v>1585.74</v>
      </c>
      <c r="N1324" s="8">
        <v>9</v>
      </c>
    </row>
    <row r="1325" spans="1:15" x14ac:dyDescent="0.25">
      <c r="A1325" s="8">
        <v>40115</v>
      </c>
      <c r="B1325" s="9" t="s">
        <v>39</v>
      </c>
      <c r="C1325" s="9" t="s">
        <v>40</v>
      </c>
      <c r="D1325" s="9" t="s">
        <v>50</v>
      </c>
      <c r="E1325" s="9" t="s">
        <v>32</v>
      </c>
      <c r="F1325" s="9" t="str">
        <f t="shared" si="20"/>
        <v>Not Delivered</v>
      </c>
      <c r="G1325" s="9" t="b">
        <v>0</v>
      </c>
      <c r="H1325" s="9" t="s">
        <v>18</v>
      </c>
      <c r="I1325" s="8">
        <v>4463</v>
      </c>
      <c r="J1325" s="10">
        <v>496.28</v>
      </c>
      <c r="K1325" s="10">
        <v>89.39</v>
      </c>
      <c r="L1325" s="10">
        <v>0</v>
      </c>
      <c r="M1325" s="10">
        <v>585.66999999999996</v>
      </c>
      <c r="N1325" s="8">
        <v>14</v>
      </c>
      <c r="O1325" s="6">
        <v>1.9</v>
      </c>
    </row>
    <row r="1326" spans="1:15" x14ac:dyDescent="0.25">
      <c r="A1326" s="8">
        <v>84289</v>
      </c>
      <c r="B1326" s="9" t="s">
        <v>5</v>
      </c>
      <c r="C1326" s="9" t="s">
        <v>36</v>
      </c>
      <c r="D1326" s="9" t="s">
        <v>19</v>
      </c>
      <c r="E1326" s="9" t="s">
        <v>21</v>
      </c>
      <c r="F1326" s="9" t="str">
        <f t="shared" si="20"/>
        <v>Not Delivered</v>
      </c>
      <c r="G1326" s="9" t="b">
        <v>1</v>
      </c>
      <c r="H1326" s="9" t="s">
        <v>22</v>
      </c>
      <c r="I1326" s="8">
        <v>8790</v>
      </c>
      <c r="J1326" s="10">
        <v>2205.16</v>
      </c>
      <c r="K1326" s="10">
        <v>107.26</v>
      </c>
      <c r="L1326" s="10">
        <v>154.79</v>
      </c>
      <c r="M1326" s="10">
        <v>2467.21</v>
      </c>
      <c r="N1326" s="8">
        <v>7</v>
      </c>
      <c r="O1326" s="6">
        <v>1.9</v>
      </c>
    </row>
    <row r="1327" spans="1:15" x14ac:dyDescent="0.25">
      <c r="A1327" s="8">
        <v>45532</v>
      </c>
      <c r="B1327" s="9" t="s">
        <v>5</v>
      </c>
      <c r="C1327" s="9" t="s">
        <v>6</v>
      </c>
      <c r="D1327" s="9" t="s">
        <v>7</v>
      </c>
      <c r="E1327" s="9" t="s">
        <v>21</v>
      </c>
      <c r="F1327" s="9" t="str">
        <f t="shared" si="20"/>
        <v>Not Delivered</v>
      </c>
      <c r="G1327" s="9" t="b">
        <v>1</v>
      </c>
      <c r="H1327" s="9" t="s">
        <v>28</v>
      </c>
      <c r="I1327" s="8">
        <v>1762</v>
      </c>
      <c r="J1327" s="10">
        <v>1977.52</v>
      </c>
      <c r="K1327" s="10">
        <v>0</v>
      </c>
      <c r="L1327" s="10">
        <v>44.48</v>
      </c>
      <c r="M1327" s="10">
        <v>2022</v>
      </c>
      <c r="N1327" s="8">
        <v>9</v>
      </c>
      <c r="O1327" s="6">
        <v>3.9</v>
      </c>
    </row>
    <row r="1328" spans="1:15" x14ac:dyDescent="0.25">
      <c r="A1328" s="8">
        <v>19744</v>
      </c>
      <c r="B1328" s="9" t="s">
        <v>23</v>
      </c>
      <c r="C1328" s="9" t="s">
        <v>60</v>
      </c>
      <c r="D1328" s="9" t="s">
        <v>25</v>
      </c>
      <c r="E1328" s="9" t="s">
        <v>3</v>
      </c>
      <c r="F1328" s="9" t="str">
        <f t="shared" si="20"/>
        <v>Not Delivered</v>
      </c>
      <c r="G1328" s="9" t="b">
        <v>0</v>
      </c>
      <c r="H1328" s="9" t="s">
        <v>28</v>
      </c>
      <c r="I1328" s="8">
        <v>5593</v>
      </c>
      <c r="J1328" s="10">
        <v>1077.6099999999999</v>
      </c>
      <c r="K1328" s="10">
        <v>0</v>
      </c>
      <c r="L1328" s="10">
        <v>0</v>
      </c>
      <c r="M1328" s="10">
        <v>1077.6099999999999</v>
      </c>
      <c r="N1328" s="8">
        <v>9</v>
      </c>
      <c r="O1328" s="6">
        <v>3</v>
      </c>
    </row>
    <row r="1329" spans="1:15" x14ac:dyDescent="0.25">
      <c r="A1329" s="8">
        <v>81176</v>
      </c>
      <c r="B1329" s="9" t="s">
        <v>23</v>
      </c>
      <c r="C1329" s="9" t="s">
        <v>60</v>
      </c>
      <c r="D1329" s="9" t="s">
        <v>45</v>
      </c>
      <c r="E1329" s="9" t="s">
        <v>32</v>
      </c>
      <c r="F1329" s="9" t="str">
        <f t="shared" si="20"/>
        <v>Not Delivered</v>
      </c>
      <c r="G1329" s="9" t="b">
        <v>0</v>
      </c>
      <c r="H1329" s="9" t="s">
        <v>22</v>
      </c>
      <c r="I1329" s="8">
        <v>1539</v>
      </c>
      <c r="J1329" s="10">
        <v>1486.84</v>
      </c>
      <c r="K1329" s="10">
        <v>74.19</v>
      </c>
      <c r="L1329" s="10">
        <v>0</v>
      </c>
      <c r="M1329" s="10">
        <v>1561.03</v>
      </c>
      <c r="N1329" s="8">
        <v>10</v>
      </c>
      <c r="O1329" s="6">
        <v>2.8</v>
      </c>
    </row>
    <row r="1330" spans="1:15" x14ac:dyDescent="0.25">
      <c r="A1330" s="8">
        <v>33508</v>
      </c>
      <c r="B1330" s="9" t="s">
        <v>5</v>
      </c>
      <c r="C1330" s="9" t="s">
        <v>31</v>
      </c>
      <c r="D1330" s="9" t="s">
        <v>27</v>
      </c>
      <c r="E1330" s="9" t="s">
        <v>3</v>
      </c>
      <c r="F1330" s="9" t="str">
        <f t="shared" si="20"/>
        <v>Not Delivered</v>
      </c>
      <c r="G1330" s="9" t="b">
        <v>1</v>
      </c>
      <c r="H1330" s="9" t="s">
        <v>18</v>
      </c>
      <c r="I1330" s="8">
        <v>6152</v>
      </c>
      <c r="J1330" s="10">
        <v>770.89</v>
      </c>
      <c r="K1330" s="10">
        <v>125.45</v>
      </c>
      <c r="L1330" s="10">
        <v>170.39</v>
      </c>
      <c r="M1330" s="10">
        <v>1066.73</v>
      </c>
      <c r="N1330" s="8">
        <v>5</v>
      </c>
      <c r="O1330" s="6">
        <v>4.2</v>
      </c>
    </row>
    <row r="1331" spans="1:15" x14ac:dyDescent="0.25">
      <c r="A1331" s="8">
        <v>12052</v>
      </c>
      <c r="B1331" s="9" t="s">
        <v>41</v>
      </c>
      <c r="C1331" s="9" t="s">
        <v>42</v>
      </c>
      <c r="D1331" s="9" t="s">
        <v>38</v>
      </c>
      <c r="E1331" s="9" t="s">
        <v>3</v>
      </c>
      <c r="F1331" s="9" t="str">
        <f t="shared" si="20"/>
        <v>Not Delivered</v>
      </c>
      <c r="G1331" s="9" t="b">
        <v>0</v>
      </c>
      <c r="H1331" s="9" t="s">
        <v>14</v>
      </c>
      <c r="I1331" s="8">
        <v>4394</v>
      </c>
      <c r="J1331" s="10">
        <v>2255.34</v>
      </c>
      <c r="K1331" s="10">
        <v>114.74</v>
      </c>
      <c r="L1331" s="10">
        <v>0</v>
      </c>
      <c r="M1331" s="10">
        <v>2370.08</v>
      </c>
      <c r="N1331" s="8">
        <v>13</v>
      </c>
      <c r="O1331" s="6">
        <v>3.9</v>
      </c>
    </row>
    <row r="1332" spans="1:15" x14ac:dyDescent="0.25">
      <c r="A1332" s="8">
        <v>86943</v>
      </c>
      <c r="B1332" s="9" t="s">
        <v>10</v>
      </c>
      <c r="C1332" s="9" t="s">
        <v>15</v>
      </c>
      <c r="D1332" s="9" t="s">
        <v>2</v>
      </c>
      <c r="E1332" s="9" t="s">
        <v>13</v>
      </c>
      <c r="F1332" s="9" t="str">
        <f t="shared" si="20"/>
        <v>Delivered</v>
      </c>
      <c r="G1332" s="9" t="b">
        <v>0</v>
      </c>
      <c r="H1332" s="9" t="s">
        <v>14</v>
      </c>
      <c r="I1332" s="8">
        <v>3362</v>
      </c>
      <c r="J1332" s="10">
        <v>1880.05</v>
      </c>
      <c r="K1332" s="10">
        <v>0</v>
      </c>
      <c r="L1332" s="10">
        <v>0</v>
      </c>
      <c r="M1332" s="10">
        <v>1880.05</v>
      </c>
      <c r="N1332" s="8">
        <v>3</v>
      </c>
      <c r="O1332" s="6">
        <v>1.8</v>
      </c>
    </row>
    <row r="1333" spans="1:15" x14ac:dyDescent="0.25">
      <c r="A1333" s="8">
        <v>62205</v>
      </c>
      <c r="B1333" s="9" t="s">
        <v>10</v>
      </c>
      <c r="C1333" s="9" t="s">
        <v>26</v>
      </c>
      <c r="D1333" s="9" t="s">
        <v>25</v>
      </c>
      <c r="E1333" s="9" t="s">
        <v>32</v>
      </c>
      <c r="F1333" s="9" t="str">
        <f t="shared" si="20"/>
        <v>Not Delivered</v>
      </c>
      <c r="G1333" s="9" t="b">
        <v>0</v>
      </c>
      <c r="H1333" s="9" t="s">
        <v>9</v>
      </c>
      <c r="I1333" s="8">
        <v>2260</v>
      </c>
      <c r="J1333" s="10">
        <v>1248.3499999999999</v>
      </c>
      <c r="K1333" s="10">
        <v>87.59</v>
      </c>
      <c r="L1333" s="10">
        <v>0</v>
      </c>
      <c r="M1333" s="10">
        <v>1335.94</v>
      </c>
      <c r="N1333" s="8">
        <v>1</v>
      </c>
      <c r="O1333" s="6">
        <v>1.8</v>
      </c>
    </row>
    <row r="1334" spans="1:15" x14ac:dyDescent="0.25">
      <c r="A1334" s="8">
        <v>49226</v>
      </c>
      <c r="B1334" s="9" t="s">
        <v>0</v>
      </c>
      <c r="C1334" s="9" t="s">
        <v>53</v>
      </c>
      <c r="D1334" s="9" t="s">
        <v>19</v>
      </c>
      <c r="E1334" s="9" t="s">
        <v>3</v>
      </c>
      <c r="F1334" s="9" t="str">
        <f t="shared" si="20"/>
        <v>Not Delivered</v>
      </c>
      <c r="G1334" s="9" t="b">
        <v>1</v>
      </c>
      <c r="H1334" s="9" t="s">
        <v>33</v>
      </c>
      <c r="I1334" s="8">
        <v>3661</v>
      </c>
      <c r="J1334" s="10">
        <v>892.4</v>
      </c>
      <c r="K1334" s="10">
        <v>125.88</v>
      </c>
      <c r="L1334" s="10">
        <v>139.63999999999999</v>
      </c>
      <c r="M1334" s="10">
        <v>1157.92</v>
      </c>
      <c r="N1334" s="8">
        <v>3</v>
      </c>
    </row>
    <row r="1335" spans="1:15" x14ac:dyDescent="0.25">
      <c r="A1335" s="8">
        <v>83919</v>
      </c>
      <c r="B1335" s="9" t="s">
        <v>39</v>
      </c>
      <c r="C1335" s="9" t="s">
        <v>58</v>
      </c>
      <c r="D1335" s="9" t="s">
        <v>7</v>
      </c>
      <c r="E1335" s="9" t="s">
        <v>8</v>
      </c>
      <c r="F1335" s="9" t="str">
        <f t="shared" si="20"/>
        <v>Not Delivered</v>
      </c>
      <c r="G1335" s="9" t="b">
        <v>0</v>
      </c>
      <c r="H1335" s="9" t="s">
        <v>4</v>
      </c>
      <c r="I1335" s="8">
        <v>4939</v>
      </c>
      <c r="J1335" s="10">
        <v>742.22</v>
      </c>
      <c r="K1335" s="10">
        <v>138.24</v>
      </c>
      <c r="L1335" s="10">
        <v>0</v>
      </c>
      <c r="M1335" s="10">
        <v>880.46</v>
      </c>
      <c r="N1335" s="8">
        <v>3</v>
      </c>
      <c r="O1335" s="6">
        <v>1.2</v>
      </c>
    </row>
    <row r="1336" spans="1:15" x14ac:dyDescent="0.25">
      <c r="A1336" s="8">
        <v>84277</v>
      </c>
      <c r="B1336" s="9" t="s">
        <v>10</v>
      </c>
      <c r="C1336" s="9" t="s">
        <v>11</v>
      </c>
      <c r="D1336" s="9" t="s">
        <v>50</v>
      </c>
      <c r="E1336" s="9" t="s">
        <v>13</v>
      </c>
      <c r="F1336" s="9" t="str">
        <f t="shared" si="20"/>
        <v>Delivered</v>
      </c>
      <c r="G1336" s="9" t="b">
        <v>0</v>
      </c>
      <c r="H1336" s="9" t="s">
        <v>14</v>
      </c>
      <c r="I1336" s="8">
        <v>7375</v>
      </c>
      <c r="J1336" s="10">
        <v>200.93</v>
      </c>
      <c r="K1336" s="10">
        <v>59.88</v>
      </c>
      <c r="L1336" s="10">
        <v>0</v>
      </c>
      <c r="M1336" s="10">
        <v>260.81</v>
      </c>
      <c r="N1336" s="8">
        <v>11</v>
      </c>
      <c r="O1336" s="6">
        <v>1.3</v>
      </c>
    </row>
    <row r="1337" spans="1:15" x14ac:dyDescent="0.25">
      <c r="A1337" s="8">
        <v>98740</v>
      </c>
      <c r="B1337" s="9" t="s">
        <v>41</v>
      </c>
      <c r="C1337" s="9" t="s">
        <v>42</v>
      </c>
      <c r="D1337" s="9" t="s">
        <v>30</v>
      </c>
      <c r="E1337" s="9" t="s">
        <v>32</v>
      </c>
      <c r="F1337" s="9" t="str">
        <f t="shared" si="20"/>
        <v>Not Delivered</v>
      </c>
      <c r="G1337" s="9" t="b">
        <v>0</v>
      </c>
      <c r="H1337" s="9" t="s">
        <v>4</v>
      </c>
      <c r="I1337" s="8">
        <v>9856</v>
      </c>
      <c r="J1337" s="10">
        <v>389.15</v>
      </c>
      <c r="K1337" s="10">
        <v>98.6</v>
      </c>
      <c r="L1337" s="10">
        <v>0</v>
      </c>
      <c r="M1337" s="10">
        <v>487.75</v>
      </c>
      <c r="N1337" s="8">
        <v>2</v>
      </c>
      <c r="O1337" s="6">
        <v>1.8</v>
      </c>
    </row>
    <row r="1338" spans="1:15" x14ac:dyDescent="0.25">
      <c r="A1338" s="8">
        <v>53480</v>
      </c>
      <c r="B1338" s="9" t="s">
        <v>5</v>
      </c>
      <c r="C1338" s="9" t="s">
        <v>36</v>
      </c>
      <c r="E1338" s="9" t="s">
        <v>21</v>
      </c>
      <c r="F1338" s="9" t="str">
        <f t="shared" si="20"/>
        <v>Not Delivered</v>
      </c>
      <c r="G1338" s="9" t="b">
        <v>1</v>
      </c>
      <c r="H1338" s="9" t="s">
        <v>33</v>
      </c>
      <c r="I1338" s="8">
        <v>7288</v>
      </c>
      <c r="J1338" s="10">
        <v>1911.98</v>
      </c>
      <c r="K1338" s="10">
        <v>55.99</v>
      </c>
      <c r="L1338" s="10">
        <v>102.41</v>
      </c>
      <c r="M1338" s="10">
        <v>2070.38</v>
      </c>
      <c r="N1338" s="8">
        <v>7</v>
      </c>
      <c r="O1338" s="6">
        <v>3.5</v>
      </c>
    </row>
    <row r="1339" spans="1:15" x14ac:dyDescent="0.25">
      <c r="A1339" s="8">
        <v>28343</v>
      </c>
      <c r="B1339" s="9" t="s">
        <v>10</v>
      </c>
      <c r="C1339" s="9" t="s">
        <v>11</v>
      </c>
      <c r="D1339" s="9" t="s">
        <v>30</v>
      </c>
      <c r="E1339" s="9" t="s">
        <v>8</v>
      </c>
      <c r="F1339" s="9" t="str">
        <f t="shared" si="20"/>
        <v>Not Delivered</v>
      </c>
      <c r="G1339" s="9" t="b">
        <v>1</v>
      </c>
      <c r="H1339" s="9" t="s">
        <v>22</v>
      </c>
      <c r="I1339" s="8">
        <v>2284</v>
      </c>
      <c r="J1339" s="10">
        <v>196.74</v>
      </c>
      <c r="K1339" s="10">
        <v>63.77</v>
      </c>
      <c r="M1339" s="10">
        <v>524.28</v>
      </c>
      <c r="N1339" s="8">
        <v>7</v>
      </c>
      <c r="O1339" s="6">
        <v>1.1000000000000001</v>
      </c>
    </row>
    <row r="1340" spans="1:15" x14ac:dyDescent="0.25">
      <c r="A1340" s="8">
        <v>75639</v>
      </c>
      <c r="B1340" s="9" t="s">
        <v>41</v>
      </c>
      <c r="C1340" s="9" t="s">
        <v>47</v>
      </c>
      <c r="D1340" s="9" t="s">
        <v>38</v>
      </c>
      <c r="E1340" s="9" t="s">
        <v>8</v>
      </c>
      <c r="F1340" s="9" t="str">
        <f t="shared" si="20"/>
        <v>Not Delivered</v>
      </c>
      <c r="G1340" s="9" t="b">
        <v>0</v>
      </c>
      <c r="H1340" s="9" t="s">
        <v>33</v>
      </c>
      <c r="I1340" s="8">
        <v>6666</v>
      </c>
      <c r="J1340" s="10">
        <v>2497.02</v>
      </c>
      <c r="K1340" s="10">
        <v>0</v>
      </c>
      <c r="L1340" s="10">
        <v>0</v>
      </c>
      <c r="M1340" s="10">
        <v>2497.02</v>
      </c>
      <c r="N1340" s="8">
        <v>6</v>
      </c>
      <c r="O1340" s="6">
        <v>2.8</v>
      </c>
    </row>
    <row r="1341" spans="1:15" x14ac:dyDescent="0.25">
      <c r="A1341" s="8">
        <v>17038</v>
      </c>
      <c r="B1341" s="9" t="s">
        <v>23</v>
      </c>
      <c r="C1341" s="9" t="s">
        <v>24</v>
      </c>
      <c r="D1341" s="9" t="s">
        <v>50</v>
      </c>
      <c r="E1341" s="9" t="s">
        <v>17</v>
      </c>
      <c r="F1341" s="9" t="str">
        <f t="shared" si="20"/>
        <v>Not Delivered</v>
      </c>
      <c r="G1341" s="9" t="b">
        <v>0</v>
      </c>
      <c r="H1341" s="9" t="s">
        <v>28</v>
      </c>
      <c r="I1341" s="8">
        <v>2600</v>
      </c>
      <c r="J1341" s="10">
        <v>2322.0100000000002</v>
      </c>
      <c r="K1341" s="10">
        <v>0</v>
      </c>
      <c r="L1341" s="10">
        <v>0</v>
      </c>
      <c r="M1341" s="10">
        <v>2322.0100000000002</v>
      </c>
      <c r="N1341" s="8">
        <v>5</v>
      </c>
      <c r="O1341" s="6">
        <v>1.2</v>
      </c>
    </row>
    <row r="1342" spans="1:15" x14ac:dyDescent="0.25">
      <c r="A1342" s="8">
        <v>67290</v>
      </c>
      <c r="B1342" s="9" t="s">
        <v>23</v>
      </c>
      <c r="C1342" s="9" t="s">
        <v>54</v>
      </c>
      <c r="D1342" s="9" t="s">
        <v>12</v>
      </c>
      <c r="E1342" s="9" t="s">
        <v>32</v>
      </c>
      <c r="F1342" s="9" t="str">
        <f t="shared" si="20"/>
        <v>Not Delivered</v>
      </c>
      <c r="G1342" s="9" t="b">
        <v>1</v>
      </c>
      <c r="H1342" s="9" t="s">
        <v>14</v>
      </c>
      <c r="I1342" s="8">
        <v>4803</v>
      </c>
      <c r="J1342" s="10">
        <v>1772.49</v>
      </c>
      <c r="K1342" s="10">
        <v>132.59</v>
      </c>
      <c r="L1342" s="10">
        <v>232.06</v>
      </c>
      <c r="M1342" s="10">
        <v>2137.14</v>
      </c>
      <c r="N1342" s="8">
        <v>5</v>
      </c>
      <c r="O1342" s="6">
        <v>1.8</v>
      </c>
    </row>
    <row r="1343" spans="1:15" x14ac:dyDescent="0.25">
      <c r="A1343" s="8">
        <v>19963</v>
      </c>
      <c r="B1343" s="9" t="s">
        <v>5</v>
      </c>
      <c r="C1343" s="9" t="s">
        <v>56</v>
      </c>
      <c r="D1343" s="9" t="s">
        <v>2</v>
      </c>
      <c r="E1343" s="9" t="s">
        <v>8</v>
      </c>
      <c r="F1343" s="9" t="str">
        <f t="shared" si="20"/>
        <v>Not Delivered</v>
      </c>
      <c r="G1343" s="9" t="b">
        <v>1</v>
      </c>
      <c r="H1343" s="9" t="s">
        <v>33</v>
      </c>
      <c r="I1343" s="8">
        <v>6580</v>
      </c>
      <c r="J1343" s="10">
        <v>1872.65</v>
      </c>
      <c r="K1343" s="10">
        <v>71.91</v>
      </c>
      <c r="L1343" s="10">
        <v>167.14</v>
      </c>
      <c r="M1343" s="10">
        <v>2111.6999999999998</v>
      </c>
      <c r="N1343" s="8">
        <v>11</v>
      </c>
      <c r="O1343" s="6">
        <v>4.5999999999999996</v>
      </c>
    </row>
    <row r="1344" spans="1:15" x14ac:dyDescent="0.25">
      <c r="A1344" s="8">
        <v>89320</v>
      </c>
      <c r="B1344" s="9" t="s">
        <v>39</v>
      </c>
      <c r="C1344" s="9" t="s">
        <v>52</v>
      </c>
      <c r="D1344" s="9" t="s">
        <v>27</v>
      </c>
      <c r="E1344" s="9" t="s">
        <v>8</v>
      </c>
      <c r="F1344" s="9" t="str">
        <f t="shared" si="20"/>
        <v>Not Delivered</v>
      </c>
      <c r="G1344" s="9" t="b">
        <v>0</v>
      </c>
      <c r="H1344" s="9" t="s">
        <v>14</v>
      </c>
      <c r="I1344" s="8">
        <v>7499</v>
      </c>
      <c r="J1344" s="10">
        <v>899.4</v>
      </c>
      <c r="K1344" s="10">
        <v>140.13</v>
      </c>
      <c r="L1344" s="10">
        <v>0</v>
      </c>
      <c r="M1344" s="10">
        <v>1039.53</v>
      </c>
      <c r="N1344" s="8">
        <v>11</v>
      </c>
      <c r="O1344" s="6">
        <v>3.1</v>
      </c>
    </row>
    <row r="1345" spans="1:15" x14ac:dyDescent="0.25">
      <c r="A1345" s="8">
        <v>52778</v>
      </c>
      <c r="B1345" s="9" t="s">
        <v>0</v>
      </c>
      <c r="C1345" s="9" t="s">
        <v>43</v>
      </c>
      <c r="D1345" s="9" t="s">
        <v>30</v>
      </c>
      <c r="E1345" s="9" t="s">
        <v>13</v>
      </c>
      <c r="F1345" s="9" t="str">
        <f t="shared" si="20"/>
        <v>Delivered</v>
      </c>
      <c r="G1345" s="9" t="b">
        <v>1</v>
      </c>
      <c r="H1345" s="9" t="s">
        <v>9</v>
      </c>
      <c r="I1345" s="8">
        <v>1485</v>
      </c>
      <c r="J1345" s="10">
        <v>1008.08</v>
      </c>
      <c r="K1345" s="10">
        <v>0</v>
      </c>
      <c r="L1345" s="10">
        <v>90.75</v>
      </c>
      <c r="M1345" s="10">
        <v>1098.83</v>
      </c>
      <c r="N1345" s="8">
        <v>7</v>
      </c>
      <c r="O1345" s="6">
        <v>2.2999999999999998</v>
      </c>
    </row>
    <row r="1346" spans="1:15" x14ac:dyDescent="0.25">
      <c r="A1346" s="8">
        <v>93115</v>
      </c>
      <c r="B1346" s="9" t="s">
        <v>0</v>
      </c>
      <c r="C1346" s="9" t="s">
        <v>37</v>
      </c>
      <c r="D1346" s="9" t="s">
        <v>19</v>
      </c>
      <c r="E1346" s="9" t="s">
        <v>32</v>
      </c>
      <c r="F1346" s="9" t="str">
        <f t="shared" si="20"/>
        <v>Not Delivered</v>
      </c>
      <c r="G1346" s="9" t="b">
        <v>0</v>
      </c>
      <c r="H1346" s="9" t="s">
        <v>9</v>
      </c>
      <c r="I1346" s="8">
        <v>5478</v>
      </c>
      <c r="J1346" s="10">
        <v>234.62</v>
      </c>
      <c r="K1346" s="10">
        <v>69.38</v>
      </c>
      <c r="L1346" s="10">
        <v>0</v>
      </c>
      <c r="M1346" s="10">
        <v>304</v>
      </c>
      <c r="N1346" s="8">
        <v>2</v>
      </c>
      <c r="O1346" s="6">
        <v>3.2</v>
      </c>
    </row>
    <row r="1347" spans="1:15" x14ac:dyDescent="0.25">
      <c r="A1347" s="8">
        <v>69054</v>
      </c>
      <c r="B1347" s="9" t="s">
        <v>23</v>
      </c>
      <c r="C1347" s="9" t="s">
        <v>60</v>
      </c>
      <c r="D1347" s="9" t="s">
        <v>19</v>
      </c>
      <c r="E1347" s="9" t="s">
        <v>32</v>
      </c>
      <c r="F1347" s="9" t="str">
        <f t="shared" ref="F1347:F1410" si="21">IF(OR(
E1347="Failed Delivery",
E1347="Cancelled",
E1347="Pending",
E1347="Rescheduled",
E1347="In Transit"
),"Not Delivered","Delivered")</f>
        <v>Not Delivered</v>
      </c>
      <c r="G1347" s="9" t="b">
        <v>0</v>
      </c>
      <c r="H1347" s="9" t="s">
        <v>18</v>
      </c>
      <c r="I1347" s="8">
        <v>9038</v>
      </c>
      <c r="J1347" s="10">
        <v>2137.54</v>
      </c>
      <c r="K1347" s="10">
        <v>91.26</v>
      </c>
      <c r="L1347" s="10">
        <v>0</v>
      </c>
      <c r="M1347" s="10">
        <v>2228.8000000000002</v>
      </c>
      <c r="N1347" s="8">
        <v>7</v>
      </c>
      <c r="O1347" s="6">
        <v>2.2000000000000002</v>
      </c>
    </row>
    <row r="1348" spans="1:15" x14ac:dyDescent="0.25">
      <c r="A1348" s="8">
        <v>39902</v>
      </c>
      <c r="B1348" s="9" t="s">
        <v>39</v>
      </c>
      <c r="C1348" s="9" t="s">
        <v>57</v>
      </c>
      <c r="D1348" s="9" t="s">
        <v>25</v>
      </c>
      <c r="E1348" s="9" t="s">
        <v>13</v>
      </c>
      <c r="F1348" s="9" t="str">
        <f t="shared" si="21"/>
        <v>Delivered</v>
      </c>
      <c r="G1348" s="9" t="b">
        <v>0</v>
      </c>
      <c r="H1348" s="9" t="s">
        <v>33</v>
      </c>
      <c r="I1348" s="8">
        <v>6829</v>
      </c>
      <c r="J1348" s="10">
        <v>1180.45</v>
      </c>
      <c r="K1348" s="10">
        <v>55.69</v>
      </c>
      <c r="L1348" s="10">
        <v>0</v>
      </c>
      <c r="M1348" s="10">
        <v>1236.1400000000001</v>
      </c>
      <c r="N1348" s="8">
        <v>14</v>
      </c>
      <c r="O1348" s="6">
        <v>2.7</v>
      </c>
    </row>
    <row r="1349" spans="1:15" x14ac:dyDescent="0.25">
      <c r="A1349" s="8">
        <v>82487</v>
      </c>
      <c r="B1349" s="9" t="s">
        <v>5</v>
      </c>
      <c r="C1349" s="9" t="s">
        <v>56</v>
      </c>
      <c r="D1349" s="9" t="s">
        <v>19</v>
      </c>
      <c r="E1349" s="9" t="s">
        <v>13</v>
      </c>
      <c r="F1349" s="9" t="str">
        <f t="shared" si="21"/>
        <v>Delivered</v>
      </c>
      <c r="G1349" s="9" t="b">
        <v>0</v>
      </c>
      <c r="H1349" s="9" t="s">
        <v>28</v>
      </c>
      <c r="I1349" s="8">
        <v>7150</v>
      </c>
      <c r="J1349" s="10">
        <v>742.07</v>
      </c>
      <c r="K1349" s="10">
        <v>99.19</v>
      </c>
      <c r="L1349" s="10">
        <v>0</v>
      </c>
      <c r="M1349" s="10">
        <v>841.26</v>
      </c>
      <c r="N1349" s="8">
        <v>10</v>
      </c>
      <c r="O1349" s="6">
        <v>2.7</v>
      </c>
    </row>
    <row r="1350" spans="1:15" x14ac:dyDescent="0.25">
      <c r="A1350" s="8">
        <v>66603</v>
      </c>
      <c r="B1350" s="9" t="s">
        <v>41</v>
      </c>
      <c r="C1350" s="9" t="s">
        <v>46</v>
      </c>
      <c r="D1350" s="9" t="s">
        <v>16</v>
      </c>
      <c r="E1350" s="9" t="s">
        <v>3</v>
      </c>
      <c r="F1350" s="9" t="str">
        <f t="shared" si="21"/>
        <v>Not Delivered</v>
      </c>
      <c r="G1350" s="9" t="b">
        <v>1</v>
      </c>
      <c r="H1350" s="9" t="s">
        <v>4</v>
      </c>
      <c r="I1350" s="8">
        <v>4043</v>
      </c>
      <c r="J1350" s="10">
        <v>1039.44</v>
      </c>
      <c r="K1350" s="10">
        <v>109.34</v>
      </c>
      <c r="L1350" s="10">
        <v>27.05</v>
      </c>
      <c r="M1350" s="10">
        <v>1175.83</v>
      </c>
      <c r="N1350" s="8">
        <v>13</v>
      </c>
      <c r="O1350" s="6">
        <v>1.6</v>
      </c>
    </row>
    <row r="1351" spans="1:15" x14ac:dyDescent="0.25">
      <c r="A1351" s="8">
        <v>99088</v>
      </c>
      <c r="B1351" s="9" t="s">
        <v>0</v>
      </c>
      <c r="C1351" s="9" t="s">
        <v>53</v>
      </c>
      <c r="D1351" s="9" t="s">
        <v>38</v>
      </c>
      <c r="E1351" s="9" t="s">
        <v>13</v>
      </c>
      <c r="F1351" s="9" t="str">
        <f t="shared" si="21"/>
        <v>Delivered</v>
      </c>
      <c r="G1351" s="9" t="b">
        <v>1</v>
      </c>
      <c r="H1351" s="9" t="s">
        <v>22</v>
      </c>
      <c r="I1351" s="8">
        <v>7227</v>
      </c>
      <c r="J1351" s="10">
        <v>1786.53</v>
      </c>
      <c r="K1351" s="10">
        <v>0</v>
      </c>
      <c r="L1351" s="10">
        <v>28.34</v>
      </c>
      <c r="M1351" s="10">
        <v>1814.87</v>
      </c>
      <c r="N1351" s="8">
        <v>14</v>
      </c>
      <c r="O1351" s="6">
        <v>3.7</v>
      </c>
    </row>
    <row r="1352" spans="1:15" x14ac:dyDescent="0.25">
      <c r="A1352" s="8">
        <v>21232</v>
      </c>
      <c r="B1352" s="9" t="s">
        <v>41</v>
      </c>
      <c r="C1352" s="9" t="s">
        <v>47</v>
      </c>
      <c r="D1352" s="9" t="s">
        <v>2</v>
      </c>
      <c r="E1352" s="9" t="s">
        <v>17</v>
      </c>
      <c r="F1352" s="9" t="str">
        <f t="shared" si="21"/>
        <v>Not Delivered</v>
      </c>
      <c r="G1352" s="9" t="b">
        <v>0</v>
      </c>
      <c r="H1352" s="9" t="s">
        <v>4</v>
      </c>
      <c r="I1352" s="8">
        <v>5839</v>
      </c>
      <c r="J1352" s="10">
        <v>388.95</v>
      </c>
      <c r="L1352" s="10">
        <v>0</v>
      </c>
      <c r="M1352" s="10">
        <v>480.92</v>
      </c>
      <c r="N1352" s="8">
        <v>2</v>
      </c>
    </row>
    <row r="1353" spans="1:15" x14ac:dyDescent="0.25">
      <c r="A1353" s="8">
        <v>42302</v>
      </c>
      <c r="B1353" s="9" t="s">
        <v>41</v>
      </c>
      <c r="C1353" s="9" t="s">
        <v>47</v>
      </c>
      <c r="D1353" s="9" t="s">
        <v>2</v>
      </c>
      <c r="E1353" s="9" t="s">
        <v>13</v>
      </c>
      <c r="F1353" s="9" t="str">
        <f t="shared" si="21"/>
        <v>Delivered</v>
      </c>
      <c r="G1353" s="9" t="b">
        <v>1</v>
      </c>
      <c r="H1353" s="9" t="s">
        <v>18</v>
      </c>
      <c r="I1353" s="8">
        <v>2204</v>
      </c>
      <c r="J1353" s="10">
        <v>2107.15</v>
      </c>
      <c r="K1353" s="10">
        <v>0</v>
      </c>
      <c r="L1353" s="10">
        <v>273.63</v>
      </c>
      <c r="M1353" s="10">
        <v>2380.7800000000002</v>
      </c>
      <c r="N1353" s="8">
        <v>8</v>
      </c>
    </row>
    <row r="1354" spans="1:15" x14ac:dyDescent="0.25">
      <c r="A1354" s="8">
        <v>20752</v>
      </c>
      <c r="B1354" s="9" t="s">
        <v>41</v>
      </c>
      <c r="C1354" s="9" t="s">
        <v>47</v>
      </c>
      <c r="D1354" s="9" t="s">
        <v>30</v>
      </c>
      <c r="E1354" s="9" t="s">
        <v>17</v>
      </c>
      <c r="F1354" s="9" t="str">
        <f t="shared" si="21"/>
        <v>Not Delivered</v>
      </c>
      <c r="G1354" s="9" t="b">
        <v>1</v>
      </c>
      <c r="H1354" s="9" t="s">
        <v>9</v>
      </c>
      <c r="I1354" s="8">
        <v>5390</v>
      </c>
      <c r="J1354" s="10">
        <v>2129.96</v>
      </c>
      <c r="K1354" s="10">
        <v>0</v>
      </c>
      <c r="L1354" s="10">
        <v>240.93</v>
      </c>
      <c r="M1354" s="10">
        <v>2370.89</v>
      </c>
      <c r="N1354" s="8">
        <v>5</v>
      </c>
      <c r="O1354" s="6">
        <v>4.0999999999999996</v>
      </c>
    </row>
    <row r="1355" spans="1:15" x14ac:dyDescent="0.25">
      <c r="A1355" s="8">
        <v>30214</v>
      </c>
      <c r="B1355" s="9" t="s">
        <v>41</v>
      </c>
      <c r="C1355" s="9" t="s">
        <v>46</v>
      </c>
      <c r="D1355" s="9" t="s">
        <v>45</v>
      </c>
      <c r="E1355" s="9" t="s">
        <v>13</v>
      </c>
      <c r="F1355" s="9" t="str">
        <f t="shared" si="21"/>
        <v>Delivered</v>
      </c>
      <c r="G1355" s="9" t="b">
        <v>0</v>
      </c>
      <c r="H1355" s="9" t="s">
        <v>18</v>
      </c>
      <c r="I1355" s="8">
        <v>7225</v>
      </c>
      <c r="J1355" s="10">
        <v>1815.87</v>
      </c>
      <c r="K1355" s="10">
        <v>0</v>
      </c>
      <c r="L1355" s="10">
        <v>0</v>
      </c>
      <c r="M1355" s="10">
        <v>1815.87</v>
      </c>
      <c r="N1355" s="8">
        <v>11</v>
      </c>
      <c r="O1355" s="6">
        <v>2.9</v>
      </c>
    </row>
    <row r="1356" spans="1:15" x14ac:dyDescent="0.25">
      <c r="A1356" s="8">
        <v>93086</v>
      </c>
      <c r="B1356" s="9" t="s">
        <v>10</v>
      </c>
      <c r="C1356" s="9" t="s">
        <v>11</v>
      </c>
      <c r="D1356" s="9" t="s">
        <v>7</v>
      </c>
      <c r="E1356" s="9" t="s">
        <v>17</v>
      </c>
      <c r="F1356" s="9" t="str">
        <f t="shared" si="21"/>
        <v>Not Delivered</v>
      </c>
      <c r="G1356" s="9" t="b">
        <v>1</v>
      </c>
      <c r="H1356" s="9" t="s">
        <v>4</v>
      </c>
      <c r="I1356" s="8">
        <v>3527</v>
      </c>
      <c r="J1356" s="10">
        <v>1341.63</v>
      </c>
      <c r="K1356" s="10">
        <v>91.8</v>
      </c>
      <c r="L1356" s="10">
        <v>166.63</v>
      </c>
      <c r="M1356" s="10">
        <v>1600.06</v>
      </c>
      <c r="N1356" s="8">
        <v>4</v>
      </c>
      <c r="O1356" s="6">
        <v>1.6</v>
      </c>
    </row>
    <row r="1357" spans="1:15" x14ac:dyDescent="0.25">
      <c r="A1357" s="8">
        <v>61068</v>
      </c>
      <c r="B1357" s="9" t="s">
        <v>5</v>
      </c>
      <c r="C1357" s="9" t="s">
        <v>59</v>
      </c>
      <c r="D1357" s="9" t="s">
        <v>12</v>
      </c>
      <c r="E1357" s="9" t="s">
        <v>13</v>
      </c>
      <c r="F1357" s="9" t="str">
        <f t="shared" si="21"/>
        <v>Delivered</v>
      </c>
      <c r="G1357" s="9" t="b">
        <v>0</v>
      </c>
      <c r="H1357" s="9" t="s">
        <v>14</v>
      </c>
      <c r="I1357" s="8">
        <v>6188</v>
      </c>
      <c r="J1357" s="10">
        <v>2212.83</v>
      </c>
      <c r="L1357" s="10">
        <v>0</v>
      </c>
      <c r="M1357" s="10">
        <v>2212.83</v>
      </c>
      <c r="N1357" s="8">
        <v>3</v>
      </c>
    </row>
    <row r="1358" spans="1:15" x14ac:dyDescent="0.25">
      <c r="A1358" s="8">
        <v>57277</v>
      </c>
      <c r="B1358" s="9" t="s">
        <v>10</v>
      </c>
      <c r="C1358" s="9" t="s">
        <v>11</v>
      </c>
      <c r="D1358" s="9" t="s">
        <v>35</v>
      </c>
      <c r="E1358" s="9" t="s">
        <v>32</v>
      </c>
      <c r="F1358" s="9" t="str">
        <f t="shared" si="21"/>
        <v>Not Delivered</v>
      </c>
      <c r="G1358" s="9" t="b">
        <v>1</v>
      </c>
      <c r="H1358" s="9" t="s">
        <v>9</v>
      </c>
      <c r="I1358" s="8">
        <v>2745</v>
      </c>
      <c r="J1358" s="10">
        <v>1200.6099999999999</v>
      </c>
      <c r="K1358" s="10">
        <v>93.53</v>
      </c>
      <c r="L1358" s="10">
        <v>193.74</v>
      </c>
      <c r="M1358" s="10">
        <v>1487.88</v>
      </c>
      <c r="N1358" s="8">
        <v>4</v>
      </c>
      <c r="O1358" s="6">
        <v>3.6</v>
      </c>
    </row>
    <row r="1359" spans="1:15" x14ac:dyDescent="0.25">
      <c r="A1359" s="8">
        <v>21995</v>
      </c>
      <c r="B1359" s="9" t="s">
        <v>23</v>
      </c>
      <c r="C1359" s="9" t="s">
        <v>49</v>
      </c>
      <c r="D1359" s="9" t="s">
        <v>27</v>
      </c>
      <c r="E1359" s="9" t="s">
        <v>3</v>
      </c>
      <c r="F1359" s="9" t="str">
        <f t="shared" si="21"/>
        <v>Not Delivered</v>
      </c>
      <c r="G1359" s="9" t="b">
        <v>0</v>
      </c>
      <c r="H1359" s="9" t="s">
        <v>14</v>
      </c>
      <c r="I1359" s="8">
        <v>1085</v>
      </c>
      <c r="J1359" s="10">
        <v>338.26</v>
      </c>
      <c r="K1359" s="10">
        <v>27.35</v>
      </c>
      <c r="L1359" s="10">
        <v>0</v>
      </c>
      <c r="M1359" s="10">
        <v>365.61</v>
      </c>
      <c r="N1359" s="8">
        <v>7</v>
      </c>
      <c r="O1359" s="6">
        <v>3</v>
      </c>
    </row>
    <row r="1360" spans="1:15" x14ac:dyDescent="0.25">
      <c r="A1360" s="8">
        <v>50405</v>
      </c>
      <c r="B1360" s="9" t="s">
        <v>0</v>
      </c>
      <c r="C1360" s="9" t="s">
        <v>51</v>
      </c>
      <c r="D1360" s="9" t="s">
        <v>2</v>
      </c>
      <c r="E1360" s="9" t="s">
        <v>8</v>
      </c>
      <c r="F1360" s="9" t="str">
        <f t="shared" si="21"/>
        <v>Not Delivered</v>
      </c>
      <c r="G1360" s="9" t="b">
        <v>0</v>
      </c>
      <c r="H1360" s="9" t="s">
        <v>28</v>
      </c>
      <c r="I1360" s="8">
        <v>8286</v>
      </c>
      <c r="J1360" s="10">
        <v>891.86</v>
      </c>
      <c r="K1360" s="10">
        <v>124.53</v>
      </c>
      <c r="L1360" s="10">
        <v>0</v>
      </c>
      <c r="M1360" s="10">
        <v>1016.39</v>
      </c>
      <c r="N1360" s="8">
        <v>11</v>
      </c>
      <c r="O1360" s="6">
        <v>4.7</v>
      </c>
    </row>
    <row r="1361" spans="1:15" x14ac:dyDescent="0.25">
      <c r="A1361" s="8">
        <v>57175</v>
      </c>
      <c r="B1361" s="9" t="s">
        <v>5</v>
      </c>
      <c r="C1361" s="9" t="s">
        <v>36</v>
      </c>
      <c r="D1361" s="9" t="s">
        <v>7</v>
      </c>
      <c r="E1361" s="9" t="s">
        <v>32</v>
      </c>
      <c r="F1361" s="9" t="str">
        <f t="shared" si="21"/>
        <v>Not Delivered</v>
      </c>
      <c r="G1361" s="9" t="b">
        <v>0</v>
      </c>
      <c r="H1361" s="9" t="s">
        <v>18</v>
      </c>
      <c r="I1361" s="8">
        <v>5419</v>
      </c>
      <c r="J1361" s="10">
        <v>2394.87</v>
      </c>
      <c r="K1361" s="10">
        <v>98.69</v>
      </c>
      <c r="L1361" s="10">
        <v>0</v>
      </c>
      <c r="M1361" s="10">
        <v>2493.56</v>
      </c>
      <c r="N1361" s="8">
        <v>3</v>
      </c>
    </row>
    <row r="1362" spans="1:15" x14ac:dyDescent="0.25">
      <c r="A1362" s="8">
        <v>23399</v>
      </c>
      <c r="B1362" s="9" t="s">
        <v>41</v>
      </c>
      <c r="C1362" s="9" t="s">
        <v>42</v>
      </c>
      <c r="D1362" s="9" t="s">
        <v>38</v>
      </c>
      <c r="E1362" s="9" t="s">
        <v>13</v>
      </c>
      <c r="F1362" s="9" t="str">
        <f t="shared" si="21"/>
        <v>Delivered</v>
      </c>
      <c r="G1362" s="9" t="b">
        <v>0</v>
      </c>
      <c r="H1362" s="9" t="s">
        <v>14</v>
      </c>
      <c r="I1362" s="8">
        <v>3170</v>
      </c>
      <c r="J1362" s="10">
        <v>2405.54</v>
      </c>
      <c r="K1362" s="10">
        <v>122.08</v>
      </c>
      <c r="L1362" s="10">
        <v>0</v>
      </c>
      <c r="M1362" s="10">
        <v>2527.62</v>
      </c>
      <c r="N1362" s="8">
        <v>1</v>
      </c>
      <c r="O1362" s="6">
        <v>3.5</v>
      </c>
    </row>
    <row r="1363" spans="1:15" x14ac:dyDescent="0.25">
      <c r="A1363" s="8">
        <v>21442</v>
      </c>
      <c r="B1363" s="9" t="s">
        <v>41</v>
      </c>
      <c r="C1363" s="9" t="s">
        <v>61</v>
      </c>
      <c r="D1363" s="9" t="s">
        <v>30</v>
      </c>
      <c r="E1363" s="9" t="s">
        <v>13</v>
      </c>
      <c r="F1363" s="9" t="str">
        <f t="shared" si="21"/>
        <v>Delivered</v>
      </c>
      <c r="G1363" s="9" t="b">
        <v>1</v>
      </c>
      <c r="H1363" s="9" t="s">
        <v>18</v>
      </c>
      <c r="I1363" s="8">
        <v>4070</v>
      </c>
      <c r="J1363" s="10">
        <v>1041.8</v>
      </c>
      <c r="K1363" s="10">
        <v>0</v>
      </c>
      <c r="L1363" s="10">
        <v>57.39</v>
      </c>
      <c r="M1363" s="10">
        <v>1099.19</v>
      </c>
      <c r="N1363" s="8">
        <v>11</v>
      </c>
      <c r="O1363" s="6">
        <v>3.9</v>
      </c>
    </row>
    <row r="1364" spans="1:15" x14ac:dyDescent="0.25">
      <c r="A1364" s="8">
        <v>66489</v>
      </c>
      <c r="B1364" s="9" t="s">
        <v>39</v>
      </c>
      <c r="C1364" s="9" t="s">
        <v>55</v>
      </c>
      <c r="D1364" s="9" t="s">
        <v>45</v>
      </c>
      <c r="E1364" s="9" t="s">
        <v>8</v>
      </c>
      <c r="F1364" s="9" t="str">
        <f t="shared" si="21"/>
        <v>Not Delivered</v>
      </c>
      <c r="G1364" s="9" t="b">
        <v>0</v>
      </c>
      <c r="H1364" s="9" t="s">
        <v>18</v>
      </c>
      <c r="I1364" s="8">
        <v>8353</v>
      </c>
      <c r="J1364" s="10">
        <v>1490.96</v>
      </c>
      <c r="K1364" s="10">
        <v>111.22</v>
      </c>
      <c r="L1364" s="10">
        <v>0</v>
      </c>
      <c r="M1364" s="10">
        <v>1602.18</v>
      </c>
      <c r="N1364" s="8">
        <v>13</v>
      </c>
      <c r="O1364" s="6">
        <v>4.2</v>
      </c>
    </row>
    <row r="1365" spans="1:15" x14ac:dyDescent="0.25">
      <c r="A1365" s="8">
        <v>83005</v>
      </c>
      <c r="B1365" s="9" t="s">
        <v>41</v>
      </c>
      <c r="C1365" s="9" t="s">
        <v>61</v>
      </c>
      <c r="D1365" s="9" t="s">
        <v>12</v>
      </c>
      <c r="E1365" s="9" t="s">
        <v>3</v>
      </c>
      <c r="F1365" s="9" t="str">
        <f t="shared" si="21"/>
        <v>Not Delivered</v>
      </c>
      <c r="G1365" s="9" t="b">
        <v>0</v>
      </c>
      <c r="H1365" s="9" t="s">
        <v>14</v>
      </c>
      <c r="I1365" s="8">
        <v>9395</v>
      </c>
      <c r="J1365" s="10">
        <v>1485.34</v>
      </c>
      <c r="K1365" s="10">
        <v>54.45</v>
      </c>
      <c r="L1365" s="10">
        <v>0</v>
      </c>
      <c r="M1365" s="10">
        <v>1539.79</v>
      </c>
      <c r="N1365" s="8">
        <v>1</v>
      </c>
      <c r="O1365" s="6">
        <v>3.5</v>
      </c>
    </row>
    <row r="1366" spans="1:15" x14ac:dyDescent="0.25">
      <c r="A1366" s="8">
        <v>63483</v>
      </c>
      <c r="B1366" s="9" t="s">
        <v>39</v>
      </c>
      <c r="C1366" s="9" t="s">
        <v>58</v>
      </c>
      <c r="D1366" s="9" t="s">
        <v>50</v>
      </c>
      <c r="E1366" s="9" t="s">
        <v>8</v>
      </c>
      <c r="F1366" s="9" t="str">
        <f t="shared" si="21"/>
        <v>Not Delivered</v>
      </c>
      <c r="G1366" s="9" t="b">
        <v>0</v>
      </c>
      <c r="H1366" s="9" t="s">
        <v>14</v>
      </c>
      <c r="I1366" s="8">
        <v>2692</v>
      </c>
      <c r="J1366" s="10">
        <v>1378.03</v>
      </c>
      <c r="K1366" s="10">
        <v>73.09</v>
      </c>
      <c r="L1366" s="10">
        <v>0</v>
      </c>
      <c r="M1366" s="10">
        <v>1451.12</v>
      </c>
      <c r="N1366" s="8">
        <v>14</v>
      </c>
      <c r="O1366" s="6">
        <v>2.8</v>
      </c>
    </row>
    <row r="1367" spans="1:15" x14ac:dyDescent="0.25">
      <c r="A1367" s="8">
        <v>13442</v>
      </c>
      <c r="B1367" s="9" t="s">
        <v>5</v>
      </c>
      <c r="C1367" s="9" t="s">
        <v>36</v>
      </c>
      <c r="D1367" s="9" t="s">
        <v>16</v>
      </c>
      <c r="E1367" s="9" t="s">
        <v>17</v>
      </c>
      <c r="F1367" s="9" t="str">
        <f t="shared" si="21"/>
        <v>Not Delivered</v>
      </c>
      <c r="G1367" s="9" t="b">
        <v>1</v>
      </c>
      <c r="H1367" s="9" t="s">
        <v>4</v>
      </c>
      <c r="I1367" s="8">
        <v>2468</v>
      </c>
      <c r="J1367" s="10">
        <v>1737.39</v>
      </c>
      <c r="L1367" s="10">
        <v>52.03</v>
      </c>
      <c r="M1367" s="10">
        <v>1878.9</v>
      </c>
      <c r="N1367" s="8">
        <v>14</v>
      </c>
      <c r="O1367" s="6">
        <v>2.6</v>
      </c>
    </row>
    <row r="1368" spans="1:15" x14ac:dyDescent="0.25">
      <c r="A1368" s="8">
        <v>56388</v>
      </c>
      <c r="B1368" s="9" t="s">
        <v>10</v>
      </c>
      <c r="C1368" s="9" t="s">
        <v>15</v>
      </c>
      <c r="D1368" s="9" t="s">
        <v>2</v>
      </c>
      <c r="E1368" s="9" t="s">
        <v>32</v>
      </c>
      <c r="F1368" s="9" t="str">
        <f t="shared" si="21"/>
        <v>Not Delivered</v>
      </c>
      <c r="G1368" s="9" t="b">
        <v>0</v>
      </c>
      <c r="H1368" s="9" t="s">
        <v>18</v>
      </c>
      <c r="I1368" s="8">
        <v>2524</v>
      </c>
      <c r="J1368" s="10">
        <v>1647.41</v>
      </c>
      <c r="K1368" s="10">
        <v>91.68</v>
      </c>
      <c r="L1368" s="10">
        <v>0</v>
      </c>
      <c r="M1368" s="10">
        <v>1739.09</v>
      </c>
      <c r="N1368" s="8">
        <v>13</v>
      </c>
      <c r="O1368" s="6">
        <v>1.2</v>
      </c>
    </row>
    <row r="1369" spans="1:15" x14ac:dyDescent="0.25">
      <c r="A1369" s="8">
        <v>88240</v>
      </c>
      <c r="B1369" s="9" t="s">
        <v>0</v>
      </c>
      <c r="C1369" s="9" t="s">
        <v>43</v>
      </c>
      <c r="D1369" s="9" t="s">
        <v>25</v>
      </c>
      <c r="E1369" s="9" t="s">
        <v>8</v>
      </c>
      <c r="F1369" s="9" t="str">
        <f t="shared" si="21"/>
        <v>Not Delivered</v>
      </c>
      <c r="G1369" s="9" t="b">
        <v>1</v>
      </c>
      <c r="H1369" s="9" t="s">
        <v>9</v>
      </c>
      <c r="I1369" s="8">
        <v>6315</v>
      </c>
      <c r="J1369" s="10">
        <v>624.47</v>
      </c>
      <c r="K1369" s="10">
        <v>0</v>
      </c>
      <c r="L1369" s="10">
        <v>234.11</v>
      </c>
      <c r="M1369" s="10">
        <v>858.58</v>
      </c>
      <c r="N1369" s="8">
        <v>6</v>
      </c>
      <c r="O1369" s="6">
        <v>3.6</v>
      </c>
    </row>
    <row r="1370" spans="1:15" x14ac:dyDescent="0.25">
      <c r="A1370" s="8">
        <v>60493</v>
      </c>
      <c r="B1370" s="9" t="s">
        <v>5</v>
      </c>
      <c r="C1370" s="9" t="s">
        <v>56</v>
      </c>
      <c r="D1370" s="9" t="s">
        <v>16</v>
      </c>
      <c r="E1370" s="9" t="s">
        <v>32</v>
      </c>
      <c r="F1370" s="9" t="str">
        <f t="shared" si="21"/>
        <v>Not Delivered</v>
      </c>
      <c r="G1370" s="9" t="b">
        <v>1</v>
      </c>
      <c r="H1370" s="9" t="s">
        <v>22</v>
      </c>
      <c r="I1370" s="8">
        <v>1202</v>
      </c>
      <c r="J1370" s="10">
        <v>1687.74</v>
      </c>
      <c r="K1370" s="10">
        <v>52.07</v>
      </c>
      <c r="L1370" s="10">
        <v>116.9</v>
      </c>
      <c r="M1370" s="10">
        <v>1856.71</v>
      </c>
      <c r="N1370" s="8">
        <v>5</v>
      </c>
      <c r="O1370" s="6">
        <v>2.7</v>
      </c>
    </row>
    <row r="1371" spans="1:15" x14ac:dyDescent="0.25">
      <c r="A1371" s="8">
        <v>48253</v>
      </c>
      <c r="B1371" s="9" t="s">
        <v>23</v>
      </c>
      <c r="C1371" s="9" t="s">
        <v>49</v>
      </c>
      <c r="D1371" s="9" t="s">
        <v>12</v>
      </c>
      <c r="E1371" s="9" t="s">
        <v>32</v>
      </c>
      <c r="F1371" s="9" t="str">
        <f t="shared" si="21"/>
        <v>Not Delivered</v>
      </c>
      <c r="G1371" s="9" t="b">
        <v>0</v>
      </c>
      <c r="H1371" s="9" t="s">
        <v>14</v>
      </c>
      <c r="I1371" s="8">
        <v>7779</v>
      </c>
      <c r="J1371" s="10">
        <v>428.17</v>
      </c>
      <c r="K1371" s="10">
        <v>94.88</v>
      </c>
      <c r="L1371" s="10">
        <v>0</v>
      </c>
      <c r="M1371" s="10">
        <v>523.04999999999995</v>
      </c>
      <c r="N1371" s="8">
        <v>9</v>
      </c>
      <c r="O1371" s="6">
        <v>3.6</v>
      </c>
    </row>
    <row r="1372" spans="1:15" x14ac:dyDescent="0.25">
      <c r="A1372" s="8">
        <v>60829</v>
      </c>
      <c r="B1372" s="9" t="s">
        <v>5</v>
      </c>
      <c r="C1372" s="9" t="s">
        <v>6</v>
      </c>
      <c r="D1372" s="9" t="s">
        <v>45</v>
      </c>
      <c r="E1372" s="9" t="s">
        <v>13</v>
      </c>
      <c r="F1372" s="9" t="str">
        <f t="shared" si="21"/>
        <v>Delivered</v>
      </c>
      <c r="G1372" s="9" t="b">
        <v>0</v>
      </c>
      <c r="H1372" s="9" t="s">
        <v>4</v>
      </c>
      <c r="I1372" s="8">
        <v>2387</v>
      </c>
      <c r="J1372" s="10">
        <v>2393.25</v>
      </c>
      <c r="K1372" s="10">
        <v>0</v>
      </c>
      <c r="M1372" s="10">
        <v>2393.25</v>
      </c>
      <c r="N1372" s="8">
        <v>3</v>
      </c>
    </row>
    <row r="1373" spans="1:15" x14ac:dyDescent="0.25">
      <c r="A1373" s="8">
        <v>83339</v>
      </c>
      <c r="B1373" s="9" t="s">
        <v>41</v>
      </c>
      <c r="C1373" s="9" t="s">
        <v>42</v>
      </c>
      <c r="D1373" s="9" t="s">
        <v>30</v>
      </c>
      <c r="E1373" s="9" t="s">
        <v>13</v>
      </c>
      <c r="F1373" s="9" t="str">
        <f t="shared" si="21"/>
        <v>Delivered</v>
      </c>
      <c r="G1373" s="9" t="b">
        <v>1</v>
      </c>
      <c r="H1373" s="9" t="s">
        <v>22</v>
      </c>
      <c r="I1373" s="8">
        <v>4977</v>
      </c>
      <c r="J1373" s="10">
        <v>1423.72</v>
      </c>
      <c r="K1373" s="10">
        <v>111.44</v>
      </c>
      <c r="L1373" s="10">
        <v>178.9</v>
      </c>
      <c r="M1373" s="10">
        <v>1714.06</v>
      </c>
      <c r="N1373" s="8">
        <v>6</v>
      </c>
      <c r="O1373" s="6">
        <v>4.2</v>
      </c>
    </row>
    <row r="1374" spans="1:15" x14ac:dyDescent="0.25">
      <c r="A1374" s="8">
        <v>84967</v>
      </c>
      <c r="B1374" s="9" t="s">
        <v>5</v>
      </c>
      <c r="C1374" s="9" t="s">
        <v>59</v>
      </c>
      <c r="D1374" s="9" t="s">
        <v>19</v>
      </c>
      <c r="E1374" s="9" t="s">
        <v>3</v>
      </c>
      <c r="F1374" s="9" t="str">
        <f t="shared" si="21"/>
        <v>Not Delivered</v>
      </c>
      <c r="G1374" s="9" t="b">
        <v>1</v>
      </c>
      <c r="H1374" s="9" t="s">
        <v>14</v>
      </c>
      <c r="I1374" s="8">
        <v>9537</v>
      </c>
      <c r="J1374" s="10">
        <v>2050.06</v>
      </c>
      <c r="K1374" s="10">
        <v>58.64</v>
      </c>
      <c r="L1374" s="10">
        <v>57.29</v>
      </c>
      <c r="M1374" s="10">
        <v>2165.9899999999998</v>
      </c>
      <c r="N1374" s="8">
        <v>3</v>
      </c>
      <c r="O1374" s="6">
        <v>3.8</v>
      </c>
    </row>
    <row r="1375" spans="1:15" x14ac:dyDescent="0.25">
      <c r="A1375" s="8">
        <v>32227</v>
      </c>
      <c r="B1375" s="9" t="s">
        <v>0</v>
      </c>
      <c r="C1375" s="9" t="s">
        <v>51</v>
      </c>
      <c r="D1375" s="9" t="s">
        <v>16</v>
      </c>
      <c r="E1375" s="9" t="s">
        <v>32</v>
      </c>
      <c r="F1375" s="9" t="str">
        <f t="shared" si="21"/>
        <v>Not Delivered</v>
      </c>
      <c r="G1375" s="9" t="b">
        <v>0</v>
      </c>
      <c r="H1375" s="9" t="s">
        <v>28</v>
      </c>
      <c r="I1375" s="8">
        <v>7237</v>
      </c>
      <c r="J1375" s="10">
        <v>199.15</v>
      </c>
      <c r="K1375" s="10">
        <v>89.01</v>
      </c>
      <c r="L1375" s="10">
        <v>0</v>
      </c>
      <c r="M1375" s="10">
        <v>288.16000000000003</v>
      </c>
      <c r="N1375" s="8">
        <v>2</v>
      </c>
      <c r="O1375" s="6">
        <v>4.0999999999999996</v>
      </c>
    </row>
    <row r="1376" spans="1:15" x14ac:dyDescent="0.25">
      <c r="A1376" s="8">
        <v>32216</v>
      </c>
      <c r="B1376" s="9" t="s">
        <v>23</v>
      </c>
      <c r="C1376" s="9" t="s">
        <v>34</v>
      </c>
      <c r="D1376" s="9" t="s">
        <v>16</v>
      </c>
      <c r="E1376" s="9" t="s">
        <v>13</v>
      </c>
      <c r="F1376" s="9" t="str">
        <f t="shared" si="21"/>
        <v>Delivered</v>
      </c>
      <c r="G1376" s="9" t="b">
        <v>1</v>
      </c>
      <c r="H1376" s="9" t="s">
        <v>22</v>
      </c>
      <c r="I1376" s="8">
        <v>3274</v>
      </c>
      <c r="J1376" s="10">
        <v>1966.84</v>
      </c>
      <c r="K1376" s="10">
        <v>124.77</v>
      </c>
      <c r="L1376" s="10">
        <v>91.73</v>
      </c>
      <c r="M1376" s="10">
        <v>2183.34</v>
      </c>
      <c r="N1376" s="8">
        <v>13</v>
      </c>
      <c r="O1376" s="6">
        <v>4.0999999999999996</v>
      </c>
    </row>
    <row r="1377" spans="1:15" x14ac:dyDescent="0.25">
      <c r="A1377" s="8">
        <v>45247</v>
      </c>
      <c r="B1377" s="9" t="s">
        <v>10</v>
      </c>
      <c r="C1377" s="9" t="s">
        <v>29</v>
      </c>
      <c r="D1377" s="9" t="s">
        <v>27</v>
      </c>
      <c r="E1377" s="9" t="s">
        <v>13</v>
      </c>
      <c r="F1377" s="9" t="str">
        <f t="shared" si="21"/>
        <v>Delivered</v>
      </c>
      <c r="G1377" s="9" t="b">
        <v>1</v>
      </c>
      <c r="H1377" s="9" t="s">
        <v>9</v>
      </c>
      <c r="I1377" s="8">
        <v>5933</v>
      </c>
      <c r="J1377" s="10">
        <v>1809.94</v>
      </c>
      <c r="K1377" s="10">
        <v>0</v>
      </c>
      <c r="L1377" s="10">
        <v>39.270000000000003</v>
      </c>
      <c r="M1377" s="10">
        <v>1849.21</v>
      </c>
      <c r="N1377" s="8">
        <v>1</v>
      </c>
      <c r="O1377" s="6">
        <v>4.7</v>
      </c>
    </row>
    <row r="1378" spans="1:15" x14ac:dyDescent="0.25">
      <c r="A1378" s="8">
        <v>45180</v>
      </c>
      <c r="B1378" s="9" t="s">
        <v>0</v>
      </c>
      <c r="C1378" s="9" t="s">
        <v>1</v>
      </c>
      <c r="D1378" s="9" t="s">
        <v>38</v>
      </c>
      <c r="E1378" s="9" t="s">
        <v>13</v>
      </c>
      <c r="F1378" s="9" t="str">
        <f t="shared" si="21"/>
        <v>Delivered</v>
      </c>
      <c r="G1378" s="9" t="b">
        <v>1</v>
      </c>
      <c r="H1378" s="9" t="s">
        <v>4</v>
      </c>
      <c r="I1378" s="8">
        <v>9079</v>
      </c>
      <c r="J1378" s="10">
        <v>1749.81</v>
      </c>
      <c r="K1378" s="10">
        <v>58.52</v>
      </c>
      <c r="L1378" s="10">
        <v>39.82</v>
      </c>
      <c r="M1378" s="10">
        <v>1848.15</v>
      </c>
      <c r="N1378" s="8">
        <v>8</v>
      </c>
      <c r="O1378" s="6">
        <v>5</v>
      </c>
    </row>
    <row r="1379" spans="1:15" x14ac:dyDescent="0.25">
      <c r="A1379" s="8">
        <v>29127</v>
      </c>
      <c r="B1379" s="9" t="s">
        <v>41</v>
      </c>
      <c r="C1379" s="9" t="s">
        <v>47</v>
      </c>
      <c r="D1379" s="9" t="s">
        <v>12</v>
      </c>
      <c r="E1379" s="9" t="s">
        <v>17</v>
      </c>
      <c r="F1379" s="9" t="str">
        <f t="shared" si="21"/>
        <v>Not Delivered</v>
      </c>
      <c r="G1379" s="9" t="b">
        <v>0</v>
      </c>
      <c r="H1379" s="9" t="s">
        <v>33</v>
      </c>
      <c r="I1379" s="8">
        <v>2036</v>
      </c>
      <c r="J1379" s="10">
        <v>2029.52</v>
      </c>
      <c r="K1379" s="10">
        <v>74.599999999999994</v>
      </c>
      <c r="L1379" s="10">
        <v>0</v>
      </c>
      <c r="M1379" s="10">
        <v>2104.12</v>
      </c>
      <c r="N1379" s="8">
        <v>5</v>
      </c>
    </row>
    <row r="1380" spans="1:15" x14ac:dyDescent="0.25">
      <c r="A1380" s="8">
        <v>31916</v>
      </c>
      <c r="B1380" s="9" t="s">
        <v>0</v>
      </c>
      <c r="C1380" s="9" t="s">
        <v>53</v>
      </c>
      <c r="D1380" s="9" t="s">
        <v>30</v>
      </c>
      <c r="E1380" s="9" t="s">
        <v>13</v>
      </c>
      <c r="F1380" s="9" t="str">
        <f t="shared" si="21"/>
        <v>Delivered</v>
      </c>
      <c r="G1380" s="9" t="b">
        <v>0</v>
      </c>
      <c r="H1380" s="9" t="s">
        <v>4</v>
      </c>
      <c r="I1380" s="8">
        <v>8121</v>
      </c>
      <c r="J1380" s="10">
        <v>1298.25</v>
      </c>
      <c r="K1380" s="10">
        <v>149.93</v>
      </c>
      <c r="L1380" s="10">
        <v>0</v>
      </c>
      <c r="M1380" s="10">
        <v>1448.18</v>
      </c>
      <c r="N1380" s="8">
        <v>6</v>
      </c>
      <c r="O1380" s="6">
        <v>4.9000000000000004</v>
      </c>
    </row>
    <row r="1381" spans="1:15" x14ac:dyDescent="0.25">
      <c r="A1381" s="8">
        <v>46170</v>
      </c>
      <c r="B1381" s="9" t="s">
        <v>39</v>
      </c>
      <c r="C1381" s="9" t="s">
        <v>52</v>
      </c>
      <c r="D1381" s="9" t="s">
        <v>7</v>
      </c>
      <c r="E1381" s="9" t="s">
        <v>21</v>
      </c>
      <c r="F1381" s="9" t="str">
        <f t="shared" si="21"/>
        <v>Not Delivered</v>
      </c>
      <c r="G1381" s="9" t="b">
        <v>0</v>
      </c>
      <c r="H1381" s="9" t="s">
        <v>18</v>
      </c>
      <c r="I1381" s="8">
        <v>7899</v>
      </c>
      <c r="J1381" s="10">
        <v>1128.8499999999999</v>
      </c>
      <c r="K1381" s="10">
        <v>52.61</v>
      </c>
      <c r="L1381" s="10">
        <v>0</v>
      </c>
      <c r="M1381" s="10">
        <v>1181.46</v>
      </c>
      <c r="N1381" s="8">
        <v>6</v>
      </c>
      <c r="O1381" s="6">
        <v>1.4</v>
      </c>
    </row>
    <row r="1382" spans="1:15" x14ac:dyDescent="0.25">
      <c r="A1382" s="8">
        <v>49289</v>
      </c>
      <c r="B1382" s="9" t="s">
        <v>41</v>
      </c>
      <c r="C1382" s="9" t="s">
        <v>47</v>
      </c>
      <c r="D1382" s="9" t="s">
        <v>7</v>
      </c>
      <c r="E1382" s="9" t="s">
        <v>21</v>
      </c>
      <c r="F1382" s="9" t="str">
        <f t="shared" si="21"/>
        <v>Not Delivered</v>
      </c>
      <c r="G1382" s="9" t="b">
        <v>0</v>
      </c>
      <c r="H1382" s="9" t="s">
        <v>28</v>
      </c>
      <c r="I1382" s="8">
        <v>8933</v>
      </c>
      <c r="J1382" s="10">
        <v>1097.57</v>
      </c>
      <c r="K1382" s="10">
        <v>0</v>
      </c>
      <c r="L1382" s="10">
        <v>0</v>
      </c>
      <c r="M1382" s="10">
        <v>1097.57</v>
      </c>
      <c r="N1382" s="8">
        <v>13</v>
      </c>
      <c r="O1382" s="6">
        <v>4.5999999999999996</v>
      </c>
    </row>
    <row r="1383" spans="1:15" x14ac:dyDescent="0.25">
      <c r="A1383" s="8">
        <v>20082</v>
      </c>
      <c r="B1383" s="9" t="s">
        <v>41</v>
      </c>
      <c r="C1383" s="9" t="s">
        <v>47</v>
      </c>
      <c r="D1383" s="9" t="s">
        <v>25</v>
      </c>
      <c r="E1383" s="9" t="s">
        <v>13</v>
      </c>
      <c r="F1383" s="9" t="str">
        <f t="shared" si="21"/>
        <v>Delivered</v>
      </c>
      <c r="G1383" s="9" t="b">
        <v>1</v>
      </c>
      <c r="H1383" s="9" t="s">
        <v>9</v>
      </c>
      <c r="I1383" s="8">
        <v>6916</v>
      </c>
      <c r="J1383" s="10">
        <v>809.34</v>
      </c>
      <c r="K1383" s="10">
        <v>0</v>
      </c>
      <c r="L1383" s="10">
        <v>190.63</v>
      </c>
      <c r="M1383" s="10">
        <v>999.97</v>
      </c>
      <c r="N1383" s="8">
        <v>11</v>
      </c>
      <c r="O1383" s="6">
        <v>4.5999999999999996</v>
      </c>
    </row>
    <row r="1384" spans="1:15" x14ac:dyDescent="0.25">
      <c r="A1384" s="8">
        <v>42990</v>
      </c>
      <c r="B1384" s="9" t="s">
        <v>5</v>
      </c>
      <c r="C1384" s="9" t="s">
        <v>31</v>
      </c>
      <c r="D1384" s="9" t="s">
        <v>35</v>
      </c>
      <c r="E1384" s="9" t="s">
        <v>3</v>
      </c>
      <c r="F1384" s="9" t="str">
        <f t="shared" si="21"/>
        <v>Not Delivered</v>
      </c>
      <c r="G1384" s="9" t="b">
        <v>1</v>
      </c>
      <c r="H1384" s="9" t="s">
        <v>18</v>
      </c>
      <c r="I1384" s="8">
        <v>5040</v>
      </c>
      <c r="J1384" s="10">
        <v>966.51</v>
      </c>
      <c r="K1384" s="10">
        <v>63.69</v>
      </c>
      <c r="L1384" s="10">
        <v>27.67</v>
      </c>
      <c r="M1384" s="10">
        <v>1057.8699999999999</v>
      </c>
      <c r="N1384" s="8">
        <v>8</v>
      </c>
    </row>
    <row r="1385" spans="1:15" x14ac:dyDescent="0.25">
      <c r="A1385" s="8">
        <v>91924</v>
      </c>
      <c r="B1385" s="9" t="s">
        <v>5</v>
      </c>
      <c r="C1385" s="9" t="s">
        <v>56</v>
      </c>
      <c r="D1385" s="9" t="s">
        <v>12</v>
      </c>
      <c r="E1385" s="9" t="s">
        <v>8</v>
      </c>
      <c r="F1385" s="9" t="str">
        <f t="shared" si="21"/>
        <v>Not Delivered</v>
      </c>
      <c r="G1385" s="9" t="b">
        <v>1</v>
      </c>
      <c r="H1385" s="9" t="s">
        <v>14</v>
      </c>
      <c r="I1385" s="8">
        <v>9123</v>
      </c>
      <c r="J1385" s="10">
        <v>565.26</v>
      </c>
      <c r="K1385" s="10">
        <v>139.5</v>
      </c>
      <c r="L1385" s="10">
        <v>33.35</v>
      </c>
      <c r="M1385" s="10">
        <v>738.11</v>
      </c>
      <c r="N1385" s="8">
        <v>3</v>
      </c>
      <c r="O1385" s="6">
        <v>3.3</v>
      </c>
    </row>
    <row r="1386" spans="1:15" x14ac:dyDescent="0.25">
      <c r="A1386" s="8">
        <v>87831</v>
      </c>
      <c r="B1386" s="9" t="s">
        <v>5</v>
      </c>
      <c r="C1386" s="9" t="s">
        <v>44</v>
      </c>
      <c r="D1386" s="9" t="s">
        <v>38</v>
      </c>
      <c r="E1386" s="9" t="s">
        <v>32</v>
      </c>
      <c r="F1386" s="9" t="str">
        <f t="shared" si="21"/>
        <v>Not Delivered</v>
      </c>
      <c r="G1386" s="9" t="b">
        <v>1</v>
      </c>
      <c r="H1386" s="9" t="s">
        <v>9</v>
      </c>
      <c r="I1386" s="8">
        <v>4203</v>
      </c>
      <c r="J1386" s="10">
        <v>702.36</v>
      </c>
      <c r="K1386" s="10">
        <v>66.94</v>
      </c>
      <c r="L1386" s="10">
        <v>150.79</v>
      </c>
      <c r="M1386" s="10">
        <v>920.09</v>
      </c>
      <c r="N1386" s="8">
        <v>9</v>
      </c>
      <c r="O1386" s="6">
        <v>3.3</v>
      </c>
    </row>
    <row r="1387" spans="1:15" x14ac:dyDescent="0.25">
      <c r="A1387" s="8">
        <v>70012</v>
      </c>
      <c r="B1387" s="9" t="s">
        <v>41</v>
      </c>
      <c r="C1387" s="9" t="s">
        <v>46</v>
      </c>
      <c r="D1387" s="9" t="s">
        <v>7</v>
      </c>
      <c r="E1387" s="9" t="s">
        <v>3</v>
      </c>
      <c r="F1387" s="9" t="str">
        <f t="shared" si="21"/>
        <v>Not Delivered</v>
      </c>
      <c r="G1387" s="9" t="b">
        <v>0</v>
      </c>
      <c r="H1387" s="9" t="s">
        <v>18</v>
      </c>
      <c r="I1387" s="8">
        <v>2752</v>
      </c>
      <c r="J1387" s="10">
        <v>430.62</v>
      </c>
      <c r="K1387" s="10">
        <v>40.83</v>
      </c>
      <c r="L1387" s="10">
        <v>0</v>
      </c>
      <c r="M1387" s="10">
        <v>471.45</v>
      </c>
      <c r="N1387" s="8">
        <v>4</v>
      </c>
      <c r="O1387" s="6">
        <v>2.2000000000000002</v>
      </c>
    </row>
    <row r="1388" spans="1:15" x14ac:dyDescent="0.25">
      <c r="A1388" s="8">
        <v>27758</v>
      </c>
      <c r="B1388" s="9" t="s">
        <v>39</v>
      </c>
      <c r="C1388" s="9" t="s">
        <v>55</v>
      </c>
      <c r="D1388" s="9" t="s">
        <v>16</v>
      </c>
      <c r="E1388" s="9" t="s">
        <v>21</v>
      </c>
      <c r="F1388" s="9" t="str">
        <f t="shared" si="21"/>
        <v>Not Delivered</v>
      </c>
      <c r="G1388" s="9" t="b">
        <v>1</v>
      </c>
      <c r="H1388" s="9" t="s">
        <v>28</v>
      </c>
      <c r="I1388" s="8">
        <v>5991</v>
      </c>
      <c r="J1388" s="10">
        <v>488.48</v>
      </c>
      <c r="K1388" s="10">
        <v>43.68</v>
      </c>
      <c r="L1388" s="10">
        <v>188.25</v>
      </c>
      <c r="M1388" s="10">
        <v>720.41</v>
      </c>
      <c r="N1388" s="8">
        <v>10</v>
      </c>
      <c r="O1388" s="6">
        <v>4.9000000000000004</v>
      </c>
    </row>
    <row r="1389" spans="1:15" x14ac:dyDescent="0.25">
      <c r="A1389" s="8">
        <v>10887</v>
      </c>
      <c r="B1389" s="9" t="s">
        <v>0</v>
      </c>
      <c r="C1389" s="9" t="s">
        <v>51</v>
      </c>
      <c r="E1389" s="9" t="s">
        <v>8</v>
      </c>
      <c r="F1389" s="9" t="str">
        <f t="shared" si="21"/>
        <v>Not Delivered</v>
      </c>
      <c r="G1389" s="9" t="b">
        <v>1</v>
      </c>
      <c r="H1389" s="9" t="s">
        <v>4</v>
      </c>
      <c r="I1389" s="8">
        <v>7483</v>
      </c>
      <c r="J1389" s="10">
        <v>1290.6400000000001</v>
      </c>
      <c r="K1389" s="10">
        <v>131.44</v>
      </c>
      <c r="L1389" s="10">
        <v>56.62</v>
      </c>
      <c r="M1389" s="10">
        <v>1478.7</v>
      </c>
      <c r="N1389" s="8">
        <v>1</v>
      </c>
      <c r="O1389" s="6">
        <v>2</v>
      </c>
    </row>
    <row r="1390" spans="1:15" x14ac:dyDescent="0.25">
      <c r="A1390" s="8">
        <v>53544</v>
      </c>
      <c r="B1390" s="9" t="s">
        <v>0</v>
      </c>
      <c r="C1390" s="9" t="s">
        <v>37</v>
      </c>
      <c r="D1390" s="9" t="s">
        <v>38</v>
      </c>
      <c r="E1390" s="9" t="s">
        <v>17</v>
      </c>
      <c r="F1390" s="9" t="str">
        <f t="shared" si="21"/>
        <v>Not Delivered</v>
      </c>
      <c r="G1390" s="9" t="b">
        <v>1</v>
      </c>
      <c r="H1390" s="9" t="s">
        <v>9</v>
      </c>
      <c r="I1390" s="8">
        <v>7224</v>
      </c>
      <c r="J1390" s="10">
        <v>369.39</v>
      </c>
      <c r="K1390" s="10">
        <v>41.36</v>
      </c>
      <c r="L1390" s="10">
        <v>41.3</v>
      </c>
      <c r="M1390" s="10">
        <v>452.05</v>
      </c>
      <c r="N1390" s="8">
        <v>12</v>
      </c>
    </row>
    <row r="1391" spans="1:15" x14ac:dyDescent="0.25">
      <c r="A1391" s="8">
        <v>53193</v>
      </c>
      <c r="B1391" s="9" t="s">
        <v>5</v>
      </c>
      <c r="C1391" s="9" t="s">
        <v>56</v>
      </c>
      <c r="D1391" s="9" t="s">
        <v>50</v>
      </c>
      <c r="E1391" s="9" t="s">
        <v>3</v>
      </c>
      <c r="F1391" s="9" t="str">
        <f t="shared" si="21"/>
        <v>Not Delivered</v>
      </c>
      <c r="G1391" s="9" t="b">
        <v>1</v>
      </c>
      <c r="H1391" s="9" t="s">
        <v>22</v>
      </c>
      <c r="I1391" s="8">
        <v>8212</v>
      </c>
      <c r="J1391" s="10">
        <v>674.57</v>
      </c>
      <c r="K1391" s="10">
        <v>0</v>
      </c>
      <c r="L1391" s="10">
        <v>132.51</v>
      </c>
      <c r="M1391" s="10">
        <v>807.08</v>
      </c>
      <c r="N1391" s="8">
        <v>7</v>
      </c>
      <c r="O1391" s="6">
        <v>3.1</v>
      </c>
    </row>
    <row r="1392" spans="1:15" x14ac:dyDescent="0.25">
      <c r="A1392" s="8">
        <v>53874</v>
      </c>
      <c r="B1392" s="9" t="s">
        <v>23</v>
      </c>
      <c r="C1392" s="9" t="s">
        <v>48</v>
      </c>
      <c r="D1392" s="9" t="s">
        <v>16</v>
      </c>
      <c r="E1392" s="9" t="s">
        <v>3</v>
      </c>
      <c r="F1392" s="9" t="str">
        <f t="shared" si="21"/>
        <v>Not Delivered</v>
      </c>
      <c r="G1392" s="9" t="b">
        <v>1</v>
      </c>
      <c r="H1392" s="9" t="s">
        <v>28</v>
      </c>
      <c r="I1392" s="8">
        <v>8055</v>
      </c>
      <c r="J1392" s="10">
        <v>565.86</v>
      </c>
      <c r="K1392" s="10">
        <v>68.8</v>
      </c>
      <c r="L1392" s="10">
        <v>223.34</v>
      </c>
      <c r="M1392" s="10">
        <v>858</v>
      </c>
      <c r="N1392" s="8">
        <v>5</v>
      </c>
      <c r="O1392" s="6">
        <v>2</v>
      </c>
    </row>
    <row r="1393" spans="1:15" x14ac:dyDescent="0.25">
      <c r="A1393" s="8">
        <v>95332</v>
      </c>
      <c r="B1393" s="9" t="s">
        <v>5</v>
      </c>
      <c r="C1393" s="9" t="s">
        <v>6</v>
      </c>
      <c r="D1393" s="9" t="s">
        <v>45</v>
      </c>
      <c r="E1393" s="9" t="s">
        <v>21</v>
      </c>
      <c r="F1393" s="9" t="str">
        <f t="shared" si="21"/>
        <v>Not Delivered</v>
      </c>
      <c r="G1393" s="9" t="b">
        <v>1</v>
      </c>
      <c r="H1393" s="9" t="s">
        <v>4</v>
      </c>
      <c r="I1393" s="8">
        <v>3230</v>
      </c>
      <c r="J1393" s="10">
        <v>1921.15</v>
      </c>
      <c r="K1393" s="10">
        <v>70.38</v>
      </c>
      <c r="L1393" s="10">
        <v>114.07</v>
      </c>
      <c r="M1393" s="10">
        <v>2105.6</v>
      </c>
      <c r="N1393" s="8">
        <v>5</v>
      </c>
      <c r="O1393" s="6">
        <v>4.0999999999999996</v>
      </c>
    </row>
    <row r="1394" spans="1:15" x14ac:dyDescent="0.25">
      <c r="A1394" s="8">
        <v>49378</v>
      </c>
      <c r="B1394" s="9" t="s">
        <v>41</v>
      </c>
      <c r="C1394" s="9" t="s">
        <v>42</v>
      </c>
      <c r="D1394" s="9" t="s">
        <v>7</v>
      </c>
      <c r="E1394" s="9" t="s">
        <v>3</v>
      </c>
      <c r="F1394" s="9" t="str">
        <f t="shared" si="21"/>
        <v>Not Delivered</v>
      </c>
      <c r="G1394" s="9" t="b">
        <v>0</v>
      </c>
      <c r="H1394" s="9" t="s">
        <v>28</v>
      </c>
      <c r="I1394" s="8">
        <v>6253</v>
      </c>
      <c r="J1394" s="10">
        <v>1065.25</v>
      </c>
      <c r="K1394" s="10">
        <v>94.93</v>
      </c>
      <c r="L1394" s="10">
        <v>0</v>
      </c>
      <c r="M1394" s="10">
        <v>1160.18</v>
      </c>
      <c r="N1394" s="8">
        <v>14</v>
      </c>
      <c r="O1394" s="6">
        <v>2.6</v>
      </c>
    </row>
    <row r="1395" spans="1:15" x14ac:dyDescent="0.25">
      <c r="A1395" s="8">
        <v>89064</v>
      </c>
      <c r="B1395" s="9" t="s">
        <v>39</v>
      </c>
      <c r="C1395" s="9" t="s">
        <v>40</v>
      </c>
      <c r="D1395" s="9" t="s">
        <v>30</v>
      </c>
      <c r="E1395" s="9" t="s">
        <v>8</v>
      </c>
      <c r="F1395" s="9" t="str">
        <f t="shared" si="21"/>
        <v>Not Delivered</v>
      </c>
      <c r="G1395" s="9" t="b">
        <v>0</v>
      </c>
      <c r="H1395" s="9" t="s">
        <v>28</v>
      </c>
      <c r="I1395" s="8">
        <v>4290</v>
      </c>
      <c r="J1395" s="10">
        <v>104.35</v>
      </c>
      <c r="K1395" s="10">
        <v>42.58</v>
      </c>
      <c r="L1395" s="10">
        <v>0</v>
      </c>
      <c r="M1395" s="10">
        <v>146.93</v>
      </c>
      <c r="N1395" s="8">
        <v>7</v>
      </c>
      <c r="O1395" s="6">
        <v>4.8</v>
      </c>
    </row>
    <row r="1396" spans="1:15" x14ac:dyDescent="0.25">
      <c r="A1396" s="8">
        <v>72784</v>
      </c>
      <c r="B1396" s="9" t="s">
        <v>5</v>
      </c>
      <c r="C1396" s="9" t="s">
        <v>56</v>
      </c>
      <c r="D1396" s="9" t="s">
        <v>38</v>
      </c>
      <c r="E1396" s="9" t="s">
        <v>3</v>
      </c>
      <c r="F1396" s="9" t="str">
        <f t="shared" si="21"/>
        <v>Not Delivered</v>
      </c>
      <c r="G1396" s="9" t="b">
        <v>0</v>
      </c>
      <c r="H1396" s="9" t="s">
        <v>4</v>
      </c>
      <c r="I1396" s="8">
        <v>6147</v>
      </c>
      <c r="J1396" s="10">
        <v>1858.86</v>
      </c>
      <c r="K1396" s="10">
        <v>118.99</v>
      </c>
      <c r="L1396" s="10">
        <v>0</v>
      </c>
      <c r="M1396" s="10">
        <v>1977.85</v>
      </c>
      <c r="N1396" s="8">
        <v>14</v>
      </c>
      <c r="O1396" s="6">
        <v>4.2</v>
      </c>
    </row>
    <row r="1397" spans="1:15" x14ac:dyDescent="0.25">
      <c r="A1397" s="8">
        <v>33283</v>
      </c>
      <c r="B1397" s="9" t="s">
        <v>5</v>
      </c>
      <c r="C1397" s="9" t="s">
        <v>59</v>
      </c>
      <c r="D1397" s="9" t="s">
        <v>27</v>
      </c>
      <c r="E1397" s="9" t="s">
        <v>21</v>
      </c>
      <c r="F1397" s="9" t="str">
        <f t="shared" si="21"/>
        <v>Not Delivered</v>
      </c>
      <c r="G1397" s="9" t="b">
        <v>0</v>
      </c>
      <c r="H1397" s="9" t="s">
        <v>14</v>
      </c>
      <c r="I1397" s="8">
        <v>7524</v>
      </c>
      <c r="J1397" s="10">
        <v>2401.4499999999998</v>
      </c>
      <c r="K1397" s="10">
        <v>0</v>
      </c>
      <c r="L1397" s="10">
        <v>0</v>
      </c>
      <c r="M1397" s="10">
        <v>2401.4499999999998</v>
      </c>
      <c r="N1397" s="8">
        <v>5</v>
      </c>
      <c r="O1397" s="6">
        <v>4</v>
      </c>
    </row>
    <row r="1398" spans="1:15" x14ac:dyDescent="0.25">
      <c r="A1398" s="8">
        <v>51830</v>
      </c>
      <c r="B1398" s="9" t="s">
        <v>41</v>
      </c>
      <c r="C1398" s="9" t="s">
        <v>46</v>
      </c>
      <c r="D1398" s="9" t="s">
        <v>25</v>
      </c>
      <c r="E1398" s="9" t="s">
        <v>3</v>
      </c>
      <c r="F1398" s="9" t="str">
        <f t="shared" si="21"/>
        <v>Not Delivered</v>
      </c>
      <c r="G1398" s="9" t="b">
        <v>1</v>
      </c>
      <c r="H1398" s="9" t="s">
        <v>28</v>
      </c>
      <c r="I1398" s="8">
        <v>5775</v>
      </c>
      <c r="J1398" s="10">
        <v>1680.54</v>
      </c>
      <c r="K1398" s="10">
        <v>50.34</v>
      </c>
      <c r="L1398" s="10">
        <v>176.85</v>
      </c>
      <c r="M1398" s="10">
        <v>1907.73</v>
      </c>
      <c r="N1398" s="8">
        <v>13</v>
      </c>
      <c r="O1398" s="6">
        <v>3.3</v>
      </c>
    </row>
    <row r="1399" spans="1:15" x14ac:dyDescent="0.25">
      <c r="A1399" s="8">
        <v>92955</v>
      </c>
      <c r="B1399" s="9" t="s">
        <v>23</v>
      </c>
      <c r="C1399" s="9" t="s">
        <v>60</v>
      </c>
      <c r="D1399" s="9" t="s">
        <v>2</v>
      </c>
      <c r="E1399" s="9" t="s">
        <v>21</v>
      </c>
      <c r="F1399" s="9" t="str">
        <f t="shared" si="21"/>
        <v>Not Delivered</v>
      </c>
      <c r="G1399" s="9" t="b">
        <v>0</v>
      </c>
      <c r="H1399" s="9" t="s">
        <v>18</v>
      </c>
      <c r="I1399" s="8">
        <v>9044</v>
      </c>
      <c r="J1399" s="10">
        <v>2237.96</v>
      </c>
      <c r="K1399" s="10">
        <v>92.48</v>
      </c>
      <c r="L1399" s="10">
        <v>0</v>
      </c>
      <c r="M1399" s="10">
        <v>2330.44</v>
      </c>
      <c r="N1399" s="8">
        <v>10</v>
      </c>
      <c r="O1399" s="6">
        <v>2.6</v>
      </c>
    </row>
    <row r="1400" spans="1:15" x14ac:dyDescent="0.25">
      <c r="A1400" s="8">
        <v>85481</v>
      </c>
      <c r="B1400" s="9" t="s">
        <v>10</v>
      </c>
      <c r="C1400" s="9" t="s">
        <v>26</v>
      </c>
      <c r="D1400" s="9" t="s">
        <v>19</v>
      </c>
      <c r="E1400" s="9" t="s">
        <v>21</v>
      </c>
      <c r="F1400" s="9" t="str">
        <f t="shared" si="21"/>
        <v>Not Delivered</v>
      </c>
      <c r="G1400" s="9" t="b">
        <v>0</v>
      </c>
      <c r="H1400" s="9" t="s">
        <v>33</v>
      </c>
      <c r="I1400" s="8">
        <v>4971</v>
      </c>
      <c r="J1400" s="10">
        <v>821.85</v>
      </c>
      <c r="K1400" s="10">
        <v>139.03</v>
      </c>
      <c r="L1400" s="10">
        <v>0</v>
      </c>
      <c r="M1400" s="10">
        <v>960.88</v>
      </c>
      <c r="N1400" s="8">
        <v>1</v>
      </c>
      <c r="O1400" s="6">
        <v>2.4</v>
      </c>
    </row>
    <row r="1401" spans="1:15" x14ac:dyDescent="0.25">
      <c r="A1401" s="8">
        <v>52714</v>
      </c>
      <c r="B1401" s="9" t="s">
        <v>39</v>
      </c>
      <c r="C1401" s="9" t="s">
        <v>40</v>
      </c>
      <c r="D1401" s="9" t="s">
        <v>45</v>
      </c>
      <c r="E1401" s="9" t="s">
        <v>3</v>
      </c>
      <c r="F1401" s="9" t="str">
        <f t="shared" si="21"/>
        <v>Not Delivered</v>
      </c>
      <c r="G1401" s="9" t="b">
        <v>1</v>
      </c>
      <c r="H1401" s="9" t="s">
        <v>18</v>
      </c>
      <c r="I1401" s="8">
        <v>7161</v>
      </c>
      <c r="J1401" s="10">
        <v>691.77</v>
      </c>
      <c r="K1401" s="10">
        <v>118.97</v>
      </c>
      <c r="L1401" s="10">
        <v>61.57</v>
      </c>
      <c r="M1401" s="10">
        <v>872.31</v>
      </c>
      <c r="N1401" s="8">
        <v>14</v>
      </c>
    </row>
    <row r="1402" spans="1:15" x14ac:dyDescent="0.25">
      <c r="A1402" s="8">
        <v>46739</v>
      </c>
      <c r="B1402" s="9" t="s">
        <v>0</v>
      </c>
      <c r="C1402" s="9" t="s">
        <v>1</v>
      </c>
      <c r="D1402" s="9" t="s">
        <v>38</v>
      </c>
      <c r="E1402" s="9" t="s">
        <v>32</v>
      </c>
      <c r="F1402" s="9" t="str">
        <f t="shared" si="21"/>
        <v>Not Delivered</v>
      </c>
      <c r="G1402" s="9" t="b">
        <v>0</v>
      </c>
      <c r="H1402" s="9" t="s">
        <v>28</v>
      </c>
      <c r="I1402" s="8">
        <v>7437</v>
      </c>
      <c r="J1402" s="10">
        <v>319.32</v>
      </c>
      <c r="K1402" s="10">
        <v>99.23</v>
      </c>
      <c r="L1402" s="10">
        <v>0</v>
      </c>
      <c r="M1402" s="10">
        <v>418.55</v>
      </c>
      <c r="N1402" s="8">
        <v>12</v>
      </c>
    </row>
    <row r="1403" spans="1:15" x14ac:dyDescent="0.25">
      <c r="A1403" s="8">
        <v>57843</v>
      </c>
      <c r="B1403" s="9" t="s">
        <v>10</v>
      </c>
      <c r="C1403" s="9" t="s">
        <v>26</v>
      </c>
      <c r="D1403" s="9" t="s">
        <v>45</v>
      </c>
      <c r="E1403" s="9" t="s">
        <v>32</v>
      </c>
      <c r="F1403" s="9" t="str">
        <f t="shared" si="21"/>
        <v>Not Delivered</v>
      </c>
      <c r="G1403" s="9" t="b">
        <v>0</v>
      </c>
      <c r="H1403" s="9" t="s">
        <v>4</v>
      </c>
      <c r="I1403" s="8">
        <v>2865</v>
      </c>
      <c r="J1403" s="10">
        <v>169.57</v>
      </c>
      <c r="L1403" s="10">
        <v>0</v>
      </c>
      <c r="M1403" s="10">
        <v>195.45</v>
      </c>
      <c r="N1403" s="8">
        <v>2</v>
      </c>
      <c r="O1403" s="6">
        <v>3.6</v>
      </c>
    </row>
    <row r="1404" spans="1:15" x14ac:dyDescent="0.25">
      <c r="A1404" s="8">
        <v>83905</v>
      </c>
      <c r="B1404" s="9" t="s">
        <v>10</v>
      </c>
      <c r="C1404" s="9" t="s">
        <v>29</v>
      </c>
      <c r="D1404" s="9" t="s">
        <v>19</v>
      </c>
      <c r="E1404" s="9" t="s">
        <v>17</v>
      </c>
      <c r="F1404" s="9" t="str">
        <f t="shared" si="21"/>
        <v>Not Delivered</v>
      </c>
      <c r="G1404" s="9" t="b">
        <v>0</v>
      </c>
      <c r="H1404" s="9" t="s">
        <v>9</v>
      </c>
      <c r="I1404" s="8">
        <v>4273</v>
      </c>
      <c r="J1404" s="10">
        <v>1262.3699999999999</v>
      </c>
      <c r="K1404" s="10">
        <v>0</v>
      </c>
      <c r="L1404" s="10">
        <v>0</v>
      </c>
      <c r="M1404" s="10">
        <v>1262.3699999999999</v>
      </c>
      <c r="N1404" s="8">
        <v>13</v>
      </c>
      <c r="O1404" s="6">
        <v>4</v>
      </c>
    </row>
    <row r="1405" spans="1:15" x14ac:dyDescent="0.25">
      <c r="A1405" s="8">
        <v>87624</v>
      </c>
      <c r="B1405" s="9" t="s">
        <v>0</v>
      </c>
      <c r="C1405" s="9" t="s">
        <v>51</v>
      </c>
      <c r="D1405" s="9" t="s">
        <v>12</v>
      </c>
      <c r="E1405" s="9" t="s">
        <v>17</v>
      </c>
      <c r="F1405" s="9" t="str">
        <f t="shared" si="21"/>
        <v>Not Delivered</v>
      </c>
      <c r="G1405" s="9" t="b">
        <v>1</v>
      </c>
      <c r="H1405" s="9" t="s">
        <v>18</v>
      </c>
      <c r="I1405" s="8">
        <v>9939</v>
      </c>
      <c r="J1405" s="10">
        <v>1042.77</v>
      </c>
      <c r="K1405" s="10">
        <v>119.59</v>
      </c>
      <c r="L1405" s="10">
        <v>272.56</v>
      </c>
      <c r="M1405" s="10">
        <v>1434.92</v>
      </c>
      <c r="N1405" s="8">
        <v>4</v>
      </c>
      <c r="O1405" s="6">
        <v>4.5</v>
      </c>
    </row>
    <row r="1406" spans="1:15" x14ac:dyDescent="0.25">
      <c r="A1406" s="8">
        <v>33583</v>
      </c>
      <c r="B1406" s="9" t="s">
        <v>41</v>
      </c>
      <c r="C1406" s="9" t="s">
        <v>46</v>
      </c>
      <c r="D1406" s="9" t="s">
        <v>45</v>
      </c>
      <c r="E1406" s="9" t="s">
        <v>21</v>
      </c>
      <c r="F1406" s="9" t="str">
        <f t="shared" si="21"/>
        <v>Not Delivered</v>
      </c>
      <c r="G1406" s="9" t="b">
        <v>0</v>
      </c>
      <c r="H1406" s="9" t="s">
        <v>22</v>
      </c>
      <c r="I1406" s="8">
        <v>1440</v>
      </c>
      <c r="J1406" s="10">
        <v>2334.58</v>
      </c>
      <c r="K1406" s="10">
        <v>0</v>
      </c>
      <c r="L1406" s="10">
        <v>0</v>
      </c>
      <c r="M1406" s="10">
        <v>2334.58</v>
      </c>
      <c r="N1406" s="8">
        <v>12</v>
      </c>
      <c r="O1406" s="6">
        <v>2.4</v>
      </c>
    </row>
    <row r="1407" spans="1:15" x14ac:dyDescent="0.25">
      <c r="A1407" s="8">
        <v>70505</v>
      </c>
      <c r="B1407" s="9" t="s">
        <v>23</v>
      </c>
      <c r="C1407" s="9" t="s">
        <v>60</v>
      </c>
      <c r="D1407" s="9" t="s">
        <v>38</v>
      </c>
      <c r="E1407" s="9" t="s">
        <v>17</v>
      </c>
      <c r="F1407" s="9" t="str">
        <f t="shared" si="21"/>
        <v>Not Delivered</v>
      </c>
      <c r="G1407" s="9" t="b">
        <v>0</v>
      </c>
      <c r="H1407" s="9" t="s">
        <v>22</v>
      </c>
      <c r="I1407" s="8">
        <v>4434</v>
      </c>
      <c r="J1407" s="10">
        <v>2255.87</v>
      </c>
      <c r="K1407" s="10">
        <v>107.17</v>
      </c>
      <c r="L1407" s="10">
        <v>0</v>
      </c>
      <c r="M1407" s="10">
        <v>2363.04</v>
      </c>
      <c r="N1407" s="8">
        <v>4</v>
      </c>
      <c r="O1407" s="6">
        <v>1.6</v>
      </c>
    </row>
    <row r="1408" spans="1:15" x14ac:dyDescent="0.25">
      <c r="A1408" s="8">
        <v>67469</v>
      </c>
      <c r="B1408" s="9" t="s">
        <v>23</v>
      </c>
      <c r="C1408" s="9" t="s">
        <v>24</v>
      </c>
      <c r="D1408" s="9" t="s">
        <v>45</v>
      </c>
      <c r="E1408" s="9" t="s">
        <v>32</v>
      </c>
      <c r="F1408" s="9" t="str">
        <f t="shared" si="21"/>
        <v>Not Delivered</v>
      </c>
      <c r="G1408" s="9" t="b">
        <v>0</v>
      </c>
      <c r="H1408" s="9" t="s">
        <v>18</v>
      </c>
      <c r="I1408" s="8">
        <v>5773</v>
      </c>
      <c r="J1408" s="10">
        <v>2507.7399999999998</v>
      </c>
      <c r="K1408" s="10">
        <v>0</v>
      </c>
      <c r="L1408" s="10">
        <v>0</v>
      </c>
      <c r="M1408" s="10">
        <v>2507.7399999999998</v>
      </c>
      <c r="N1408" s="8">
        <v>8</v>
      </c>
    </row>
    <row r="1409" spans="1:15" x14ac:dyDescent="0.25">
      <c r="A1409" s="8">
        <v>19064</v>
      </c>
      <c r="B1409" s="9" t="s">
        <v>23</v>
      </c>
      <c r="C1409" s="9" t="s">
        <v>60</v>
      </c>
      <c r="D1409" s="9" t="s">
        <v>7</v>
      </c>
      <c r="E1409" s="9" t="s">
        <v>8</v>
      </c>
      <c r="F1409" s="9" t="str">
        <f t="shared" si="21"/>
        <v>Not Delivered</v>
      </c>
      <c r="G1409" s="9" t="b">
        <v>1</v>
      </c>
      <c r="H1409" s="9" t="s">
        <v>4</v>
      </c>
      <c r="I1409" s="8">
        <v>7703</v>
      </c>
      <c r="J1409" s="10">
        <v>485.95</v>
      </c>
      <c r="K1409" s="10">
        <v>93.42</v>
      </c>
      <c r="L1409" s="10">
        <v>162.71</v>
      </c>
      <c r="M1409" s="10">
        <v>742.08</v>
      </c>
      <c r="N1409" s="8">
        <v>13</v>
      </c>
      <c r="O1409" s="6">
        <v>3.7</v>
      </c>
    </row>
    <row r="1410" spans="1:15" x14ac:dyDescent="0.25">
      <c r="A1410" s="8">
        <v>98208</v>
      </c>
      <c r="B1410" s="9" t="s">
        <v>23</v>
      </c>
      <c r="C1410" s="9" t="s">
        <v>54</v>
      </c>
      <c r="D1410" s="9" t="s">
        <v>7</v>
      </c>
      <c r="E1410" s="9" t="s">
        <v>32</v>
      </c>
      <c r="F1410" s="9" t="str">
        <f t="shared" si="21"/>
        <v>Not Delivered</v>
      </c>
      <c r="G1410" s="9" t="b">
        <v>1</v>
      </c>
      <c r="H1410" s="9" t="s">
        <v>4</v>
      </c>
      <c r="I1410" s="8">
        <v>9180</v>
      </c>
      <c r="J1410" s="10">
        <v>1227.55</v>
      </c>
      <c r="K1410" s="10">
        <v>0</v>
      </c>
      <c r="L1410" s="10">
        <v>84.22</v>
      </c>
      <c r="M1410" s="10">
        <v>1311.77</v>
      </c>
      <c r="N1410" s="8">
        <v>7</v>
      </c>
    </row>
    <row r="1411" spans="1:15" x14ac:dyDescent="0.25">
      <c r="A1411" s="8">
        <v>28242</v>
      </c>
      <c r="B1411" s="9" t="s">
        <v>23</v>
      </c>
      <c r="C1411" s="9" t="s">
        <v>54</v>
      </c>
      <c r="D1411" s="9" t="s">
        <v>2</v>
      </c>
      <c r="E1411" s="9" t="s">
        <v>21</v>
      </c>
      <c r="F1411" s="9" t="str">
        <f t="shared" ref="F1411:F1474" si="22">IF(OR(
E1411="Failed Delivery",
E1411="Cancelled",
E1411="Pending",
E1411="Rescheduled",
E1411="In Transit"
),"Not Delivered","Delivered")</f>
        <v>Not Delivered</v>
      </c>
      <c r="G1411" s="9" t="b">
        <v>1</v>
      </c>
      <c r="H1411" s="9" t="s">
        <v>33</v>
      </c>
      <c r="I1411" s="8">
        <v>5961</v>
      </c>
      <c r="J1411" s="10">
        <v>459.05</v>
      </c>
      <c r="K1411" s="10">
        <v>42.19</v>
      </c>
      <c r="L1411" s="10">
        <v>171.37</v>
      </c>
      <c r="M1411" s="10">
        <v>672.61</v>
      </c>
      <c r="N1411" s="8">
        <v>12</v>
      </c>
      <c r="O1411" s="6">
        <v>3.7</v>
      </c>
    </row>
    <row r="1412" spans="1:15" x14ac:dyDescent="0.25">
      <c r="A1412" s="8">
        <v>41722</v>
      </c>
      <c r="B1412" s="9" t="s">
        <v>39</v>
      </c>
      <c r="C1412" s="9" t="s">
        <v>40</v>
      </c>
      <c r="D1412" s="9" t="s">
        <v>35</v>
      </c>
      <c r="E1412" s="9" t="s">
        <v>13</v>
      </c>
      <c r="F1412" s="9" t="str">
        <f t="shared" si="22"/>
        <v>Delivered</v>
      </c>
      <c r="G1412" s="9" t="b">
        <v>1</v>
      </c>
      <c r="H1412" s="9" t="s">
        <v>18</v>
      </c>
      <c r="I1412" s="8">
        <v>5139</v>
      </c>
      <c r="J1412" s="10">
        <v>1256.8599999999999</v>
      </c>
      <c r="L1412" s="10">
        <v>213.73</v>
      </c>
      <c r="M1412" s="10">
        <v>1586.64</v>
      </c>
      <c r="N1412" s="8">
        <v>10</v>
      </c>
      <c r="O1412" s="6">
        <v>2.8</v>
      </c>
    </row>
    <row r="1413" spans="1:15" x14ac:dyDescent="0.25">
      <c r="A1413" s="8">
        <v>96332</v>
      </c>
      <c r="B1413" s="9" t="s">
        <v>23</v>
      </c>
      <c r="C1413" s="9" t="s">
        <v>48</v>
      </c>
      <c r="D1413" s="9" t="s">
        <v>12</v>
      </c>
      <c r="E1413" s="9" t="s">
        <v>21</v>
      </c>
      <c r="F1413" s="9" t="str">
        <f t="shared" si="22"/>
        <v>Not Delivered</v>
      </c>
      <c r="G1413" s="9" t="b">
        <v>0</v>
      </c>
      <c r="H1413" s="9" t="s">
        <v>4</v>
      </c>
      <c r="I1413" s="8">
        <v>3525</v>
      </c>
      <c r="J1413" s="10">
        <v>2425.16</v>
      </c>
      <c r="K1413" s="10">
        <v>69.63</v>
      </c>
      <c r="L1413" s="10">
        <v>0</v>
      </c>
      <c r="M1413" s="10">
        <v>2494.79</v>
      </c>
      <c r="N1413" s="8">
        <v>7</v>
      </c>
      <c r="O1413" s="6">
        <v>2.9</v>
      </c>
    </row>
    <row r="1414" spans="1:15" x14ac:dyDescent="0.25">
      <c r="A1414" s="8">
        <v>65460</v>
      </c>
      <c r="B1414" s="9" t="s">
        <v>0</v>
      </c>
      <c r="C1414" s="9" t="s">
        <v>53</v>
      </c>
      <c r="D1414" s="9" t="s">
        <v>7</v>
      </c>
      <c r="E1414" s="9" t="s">
        <v>17</v>
      </c>
      <c r="F1414" s="9" t="str">
        <f t="shared" si="22"/>
        <v>Not Delivered</v>
      </c>
      <c r="G1414" s="9" t="b">
        <v>1</v>
      </c>
      <c r="H1414" s="9" t="s">
        <v>18</v>
      </c>
      <c r="I1414" s="8">
        <v>7176</v>
      </c>
      <c r="J1414" s="10">
        <v>1636.37</v>
      </c>
      <c r="K1414" s="10">
        <v>0</v>
      </c>
      <c r="L1414" s="10">
        <v>209.19</v>
      </c>
      <c r="M1414" s="10">
        <v>1845.56</v>
      </c>
      <c r="N1414" s="8">
        <v>11</v>
      </c>
      <c r="O1414" s="6">
        <v>4</v>
      </c>
    </row>
    <row r="1415" spans="1:15" x14ac:dyDescent="0.25">
      <c r="A1415" s="8">
        <v>19694</v>
      </c>
      <c r="B1415" s="9" t="s">
        <v>23</v>
      </c>
      <c r="C1415" s="9" t="s">
        <v>34</v>
      </c>
      <c r="D1415" s="9" t="s">
        <v>30</v>
      </c>
      <c r="E1415" s="9" t="s">
        <v>21</v>
      </c>
      <c r="F1415" s="9" t="str">
        <f t="shared" si="22"/>
        <v>Not Delivered</v>
      </c>
      <c r="G1415" s="9" t="b">
        <v>1</v>
      </c>
      <c r="H1415" s="9" t="s">
        <v>4</v>
      </c>
      <c r="I1415" s="8">
        <v>8357</v>
      </c>
      <c r="J1415" s="10">
        <v>2646.03</v>
      </c>
      <c r="K1415" s="10">
        <v>74.05</v>
      </c>
      <c r="L1415" s="10">
        <v>31.04</v>
      </c>
      <c r="M1415" s="10">
        <v>2751.12</v>
      </c>
      <c r="N1415" s="8">
        <v>9</v>
      </c>
    </row>
    <row r="1416" spans="1:15" x14ac:dyDescent="0.25">
      <c r="A1416" s="8">
        <v>88372</v>
      </c>
      <c r="B1416" s="9" t="s">
        <v>10</v>
      </c>
      <c r="C1416" s="9" t="s">
        <v>11</v>
      </c>
      <c r="D1416" s="9" t="s">
        <v>19</v>
      </c>
      <c r="E1416" s="9" t="s">
        <v>8</v>
      </c>
      <c r="F1416" s="9" t="str">
        <f t="shared" si="22"/>
        <v>Not Delivered</v>
      </c>
      <c r="G1416" s="9" t="b">
        <v>1</v>
      </c>
      <c r="H1416" s="9" t="s">
        <v>22</v>
      </c>
      <c r="I1416" s="8">
        <v>8851</v>
      </c>
      <c r="J1416" s="10">
        <v>730.94</v>
      </c>
      <c r="K1416" s="10">
        <v>0</v>
      </c>
      <c r="L1416" s="10">
        <v>35.69</v>
      </c>
      <c r="M1416" s="10">
        <v>766.63</v>
      </c>
      <c r="N1416" s="8">
        <v>14</v>
      </c>
      <c r="O1416" s="6">
        <v>1.6</v>
      </c>
    </row>
    <row r="1417" spans="1:15" x14ac:dyDescent="0.25">
      <c r="A1417" s="8">
        <v>86315</v>
      </c>
      <c r="B1417" s="9" t="s">
        <v>5</v>
      </c>
      <c r="C1417" s="9" t="s">
        <v>59</v>
      </c>
      <c r="D1417" s="9" t="s">
        <v>25</v>
      </c>
      <c r="E1417" s="9" t="s">
        <v>17</v>
      </c>
      <c r="F1417" s="9" t="str">
        <f t="shared" si="22"/>
        <v>Not Delivered</v>
      </c>
      <c r="G1417" s="9" t="b">
        <v>1</v>
      </c>
      <c r="H1417" s="9" t="s">
        <v>14</v>
      </c>
      <c r="I1417" s="8">
        <v>7566</v>
      </c>
      <c r="J1417" s="10">
        <v>539.99</v>
      </c>
      <c r="K1417" s="10">
        <v>92.21</v>
      </c>
      <c r="L1417" s="10">
        <v>146.09</v>
      </c>
      <c r="M1417" s="10">
        <v>778.29</v>
      </c>
      <c r="N1417" s="8">
        <v>11</v>
      </c>
      <c r="O1417" s="6">
        <v>4.4000000000000004</v>
      </c>
    </row>
    <row r="1418" spans="1:15" x14ac:dyDescent="0.25">
      <c r="A1418" s="8">
        <v>80040</v>
      </c>
      <c r="B1418" s="9" t="s">
        <v>5</v>
      </c>
      <c r="C1418" s="9" t="s">
        <v>6</v>
      </c>
      <c r="D1418" s="9" t="s">
        <v>12</v>
      </c>
      <c r="E1418" s="9" t="s">
        <v>17</v>
      </c>
      <c r="F1418" s="9" t="str">
        <f t="shared" si="22"/>
        <v>Not Delivered</v>
      </c>
      <c r="G1418" s="9" t="b">
        <v>1</v>
      </c>
      <c r="H1418" s="9" t="s">
        <v>22</v>
      </c>
      <c r="I1418" s="8">
        <v>9300</v>
      </c>
      <c r="J1418" s="10">
        <v>1983.2</v>
      </c>
      <c r="K1418" s="10">
        <v>136.29</v>
      </c>
      <c r="L1418" s="10">
        <v>33.06</v>
      </c>
      <c r="M1418" s="10">
        <v>2152.5500000000002</v>
      </c>
      <c r="N1418" s="8">
        <v>13</v>
      </c>
      <c r="O1418" s="6">
        <v>3.5</v>
      </c>
    </row>
    <row r="1419" spans="1:15" x14ac:dyDescent="0.25">
      <c r="A1419" s="8">
        <v>64827</v>
      </c>
      <c r="B1419" s="9" t="s">
        <v>23</v>
      </c>
      <c r="C1419" s="9" t="s">
        <v>54</v>
      </c>
      <c r="E1419" s="9" t="s">
        <v>17</v>
      </c>
      <c r="F1419" s="9" t="str">
        <f t="shared" si="22"/>
        <v>Not Delivered</v>
      </c>
      <c r="G1419" s="9" t="b">
        <v>0</v>
      </c>
      <c r="H1419" s="9" t="s">
        <v>22</v>
      </c>
      <c r="I1419" s="8">
        <v>9907</v>
      </c>
      <c r="J1419" s="10">
        <v>2866.3</v>
      </c>
      <c r="K1419" s="10">
        <v>0</v>
      </c>
      <c r="L1419" s="10">
        <v>0</v>
      </c>
      <c r="M1419" s="10">
        <v>2866.3</v>
      </c>
      <c r="N1419" s="8">
        <v>1</v>
      </c>
      <c r="O1419" s="6">
        <v>4</v>
      </c>
    </row>
    <row r="1420" spans="1:15" x14ac:dyDescent="0.25">
      <c r="A1420" s="8">
        <v>14818</v>
      </c>
      <c r="B1420" s="9" t="s">
        <v>23</v>
      </c>
      <c r="C1420" s="9" t="s">
        <v>49</v>
      </c>
      <c r="D1420" s="9" t="s">
        <v>30</v>
      </c>
      <c r="E1420" s="9" t="s">
        <v>32</v>
      </c>
      <c r="F1420" s="9" t="str">
        <f t="shared" si="22"/>
        <v>Not Delivered</v>
      </c>
      <c r="G1420" s="9" t="b">
        <v>0</v>
      </c>
      <c r="H1420" s="9" t="s">
        <v>18</v>
      </c>
      <c r="I1420" s="8">
        <v>6890</v>
      </c>
      <c r="J1420" s="10">
        <v>1041.6099999999999</v>
      </c>
      <c r="K1420" s="10">
        <v>129.47</v>
      </c>
      <c r="L1420" s="10">
        <v>0</v>
      </c>
      <c r="M1420" s="10">
        <v>1171.08</v>
      </c>
      <c r="N1420" s="8">
        <v>13</v>
      </c>
      <c r="O1420" s="6">
        <v>1.6</v>
      </c>
    </row>
    <row r="1421" spans="1:15" x14ac:dyDescent="0.25">
      <c r="A1421" s="8">
        <v>80373</v>
      </c>
      <c r="B1421" s="9" t="s">
        <v>0</v>
      </c>
      <c r="C1421" s="9" t="s">
        <v>43</v>
      </c>
      <c r="D1421" s="9" t="s">
        <v>25</v>
      </c>
      <c r="E1421" s="9" t="s">
        <v>13</v>
      </c>
      <c r="F1421" s="9" t="str">
        <f t="shared" si="22"/>
        <v>Delivered</v>
      </c>
      <c r="G1421" s="9" t="b">
        <v>1</v>
      </c>
      <c r="H1421" s="9" t="s">
        <v>9</v>
      </c>
      <c r="I1421" s="8">
        <v>2392</v>
      </c>
      <c r="J1421" s="10">
        <v>1041.02</v>
      </c>
      <c r="K1421" s="10">
        <v>0</v>
      </c>
      <c r="L1421" s="10">
        <v>58.79</v>
      </c>
      <c r="M1421" s="10">
        <v>1099.81</v>
      </c>
      <c r="N1421" s="8">
        <v>13</v>
      </c>
      <c r="O1421" s="6">
        <v>3.5</v>
      </c>
    </row>
    <row r="1422" spans="1:15" x14ac:dyDescent="0.25">
      <c r="A1422" s="8">
        <v>24335</v>
      </c>
      <c r="B1422" s="9" t="s">
        <v>39</v>
      </c>
      <c r="C1422" s="9" t="s">
        <v>57</v>
      </c>
      <c r="D1422" s="9" t="s">
        <v>12</v>
      </c>
      <c r="E1422" s="9" t="s">
        <v>13</v>
      </c>
      <c r="F1422" s="9" t="str">
        <f t="shared" si="22"/>
        <v>Delivered</v>
      </c>
      <c r="G1422" s="9" t="b">
        <v>1</v>
      </c>
      <c r="H1422" s="9" t="s">
        <v>22</v>
      </c>
      <c r="I1422" s="8">
        <v>5067</v>
      </c>
      <c r="J1422" s="10">
        <v>800.14</v>
      </c>
      <c r="K1422" s="10">
        <v>54.41</v>
      </c>
      <c r="L1422" s="10">
        <v>41.55</v>
      </c>
      <c r="M1422" s="10">
        <v>896.1</v>
      </c>
      <c r="N1422" s="8">
        <v>4</v>
      </c>
      <c r="O1422" s="6">
        <v>3.5</v>
      </c>
    </row>
    <row r="1423" spans="1:15" x14ac:dyDescent="0.25">
      <c r="A1423" s="8">
        <v>96193</v>
      </c>
      <c r="B1423" s="9" t="s">
        <v>41</v>
      </c>
      <c r="C1423" s="9" t="s">
        <v>61</v>
      </c>
      <c r="D1423" s="9" t="s">
        <v>35</v>
      </c>
      <c r="E1423" s="9" t="s">
        <v>8</v>
      </c>
      <c r="F1423" s="9" t="str">
        <f t="shared" si="22"/>
        <v>Not Delivered</v>
      </c>
      <c r="G1423" s="9" t="b">
        <v>1</v>
      </c>
      <c r="H1423" s="9" t="s">
        <v>4</v>
      </c>
      <c r="I1423" s="8">
        <v>6816</v>
      </c>
      <c r="J1423" s="10">
        <v>1466.08</v>
      </c>
      <c r="K1423" s="10">
        <v>106.3</v>
      </c>
      <c r="L1423" s="10">
        <v>172.39</v>
      </c>
      <c r="M1423" s="10">
        <v>1744.77</v>
      </c>
      <c r="N1423" s="8">
        <v>5</v>
      </c>
      <c r="O1423" s="6">
        <v>5</v>
      </c>
    </row>
    <row r="1424" spans="1:15" x14ac:dyDescent="0.25">
      <c r="A1424" s="8">
        <v>31802</v>
      </c>
      <c r="B1424" s="9" t="s">
        <v>10</v>
      </c>
      <c r="C1424" s="9" t="s">
        <v>11</v>
      </c>
      <c r="D1424" s="9" t="s">
        <v>2</v>
      </c>
      <c r="E1424" s="9" t="s">
        <v>21</v>
      </c>
      <c r="F1424" s="9" t="str">
        <f t="shared" si="22"/>
        <v>Not Delivered</v>
      </c>
      <c r="G1424" s="9" t="b">
        <v>1</v>
      </c>
      <c r="H1424" s="9" t="s">
        <v>18</v>
      </c>
      <c r="I1424" s="8">
        <v>1725</v>
      </c>
      <c r="J1424" s="10">
        <v>1661</v>
      </c>
      <c r="L1424" s="10">
        <v>40.630000000000003</v>
      </c>
      <c r="M1424" s="10">
        <v>1789.16</v>
      </c>
      <c r="N1424" s="8">
        <v>1</v>
      </c>
      <c r="O1424" s="6">
        <v>2</v>
      </c>
    </row>
    <row r="1425" spans="1:15" x14ac:dyDescent="0.25">
      <c r="A1425" s="8">
        <v>83822</v>
      </c>
      <c r="B1425" s="9" t="s">
        <v>39</v>
      </c>
      <c r="C1425" s="9" t="s">
        <v>55</v>
      </c>
      <c r="D1425" s="9" t="s">
        <v>16</v>
      </c>
      <c r="E1425" s="9" t="s">
        <v>13</v>
      </c>
      <c r="F1425" s="9" t="str">
        <f t="shared" si="22"/>
        <v>Delivered</v>
      </c>
      <c r="G1425" s="9" t="b">
        <v>1</v>
      </c>
      <c r="H1425" s="9" t="s">
        <v>14</v>
      </c>
      <c r="I1425" s="8">
        <v>7547</v>
      </c>
      <c r="J1425" s="10">
        <v>584.21</v>
      </c>
      <c r="K1425" s="10">
        <v>127.24</v>
      </c>
      <c r="L1425" s="10">
        <v>53.23</v>
      </c>
      <c r="M1425" s="10">
        <v>764.68</v>
      </c>
      <c r="N1425" s="8">
        <v>5</v>
      </c>
      <c r="O1425" s="6">
        <v>4.7</v>
      </c>
    </row>
    <row r="1426" spans="1:15" x14ac:dyDescent="0.25">
      <c r="A1426" s="8">
        <v>53463</v>
      </c>
      <c r="B1426" s="9" t="s">
        <v>41</v>
      </c>
      <c r="C1426" s="9" t="s">
        <v>47</v>
      </c>
      <c r="D1426" s="9" t="s">
        <v>27</v>
      </c>
      <c r="E1426" s="9" t="s">
        <v>32</v>
      </c>
      <c r="F1426" s="9" t="str">
        <f t="shared" si="22"/>
        <v>Not Delivered</v>
      </c>
      <c r="G1426" s="9" t="b">
        <v>0</v>
      </c>
      <c r="H1426" s="9" t="s">
        <v>18</v>
      </c>
      <c r="I1426" s="8">
        <v>8052</v>
      </c>
      <c r="J1426" s="10">
        <v>2258.4499999999998</v>
      </c>
      <c r="K1426" s="10">
        <v>123.85</v>
      </c>
      <c r="L1426" s="10">
        <v>0</v>
      </c>
      <c r="M1426" s="10">
        <v>2382.3000000000002</v>
      </c>
      <c r="N1426" s="8">
        <v>11</v>
      </c>
      <c r="O1426" s="6">
        <v>4.8</v>
      </c>
    </row>
    <row r="1427" spans="1:15" x14ac:dyDescent="0.25">
      <c r="A1427" s="8">
        <v>23886</v>
      </c>
      <c r="B1427" s="9" t="s">
        <v>39</v>
      </c>
      <c r="C1427" s="9" t="s">
        <v>58</v>
      </c>
      <c r="D1427" s="9" t="s">
        <v>50</v>
      </c>
      <c r="E1427" s="9" t="s">
        <v>32</v>
      </c>
      <c r="F1427" s="9" t="str">
        <f t="shared" si="22"/>
        <v>Not Delivered</v>
      </c>
      <c r="G1427" s="9" t="b">
        <v>1</v>
      </c>
      <c r="H1427" s="9" t="s">
        <v>28</v>
      </c>
      <c r="I1427" s="8">
        <v>1172</v>
      </c>
      <c r="J1427" s="10">
        <v>1330.24</v>
      </c>
      <c r="K1427" s="10">
        <v>0</v>
      </c>
      <c r="L1427" s="10">
        <v>257.73</v>
      </c>
      <c r="M1427" s="10">
        <v>1587.97</v>
      </c>
      <c r="N1427" s="8">
        <v>4</v>
      </c>
      <c r="O1427" s="6">
        <v>1.3</v>
      </c>
    </row>
    <row r="1428" spans="1:15" x14ac:dyDescent="0.25">
      <c r="A1428" s="8">
        <v>22924</v>
      </c>
      <c r="B1428" s="9" t="s">
        <v>0</v>
      </c>
      <c r="C1428" s="9" t="s">
        <v>1</v>
      </c>
      <c r="D1428" s="9" t="s">
        <v>27</v>
      </c>
      <c r="E1428" s="9" t="s">
        <v>8</v>
      </c>
      <c r="F1428" s="9" t="str">
        <f t="shared" si="22"/>
        <v>Not Delivered</v>
      </c>
      <c r="G1428" s="9" t="b">
        <v>0</v>
      </c>
      <c r="H1428" s="9" t="s">
        <v>22</v>
      </c>
      <c r="I1428" s="8">
        <v>5239</v>
      </c>
      <c r="J1428" s="10">
        <v>383.48</v>
      </c>
      <c r="K1428" s="10">
        <v>55.01</v>
      </c>
      <c r="L1428" s="10">
        <v>0</v>
      </c>
      <c r="M1428" s="10">
        <v>438.49</v>
      </c>
      <c r="N1428" s="8">
        <v>12</v>
      </c>
      <c r="O1428" s="6">
        <v>3.3</v>
      </c>
    </row>
    <row r="1429" spans="1:15" x14ac:dyDescent="0.25">
      <c r="A1429" s="8">
        <v>39098</v>
      </c>
      <c r="B1429" s="9" t="s">
        <v>10</v>
      </c>
      <c r="C1429" s="9" t="s">
        <v>20</v>
      </c>
      <c r="D1429" s="9" t="s">
        <v>38</v>
      </c>
      <c r="E1429" s="9" t="s">
        <v>21</v>
      </c>
      <c r="F1429" s="9" t="str">
        <f t="shared" si="22"/>
        <v>Not Delivered</v>
      </c>
      <c r="G1429" s="9" t="b">
        <v>0</v>
      </c>
      <c r="H1429" s="9" t="s">
        <v>9</v>
      </c>
      <c r="I1429" s="8">
        <v>9366</v>
      </c>
      <c r="J1429" s="10">
        <v>665.41</v>
      </c>
      <c r="K1429" s="10">
        <v>0</v>
      </c>
      <c r="L1429" s="10">
        <v>0</v>
      </c>
      <c r="M1429" s="10">
        <v>665.41</v>
      </c>
      <c r="N1429" s="8">
        <v>13</v>
      </c>
      <c r="O1429" s="6">
        <v>2.5</v>
      </c>
    </row>
    <row r="1430" spans="1:15" x14ac:dyDescent="0.25">
      <c r="A1430" s="8">
        <v>77999</v>
      </c>
      <c r="B1430" s="9" t="s">
        <v>23</v>
      </c>
      <c r="C1430" s="9" t="s">
        <v>60</v>
      </c>
      <c r="D1430" s="9" t="s">
        <v>35</v>
      </c>
      <c r="E1430" s="9" t="s">
        <v>13</v>
      </c>
      <c r="F1430" s="9" t="str">
        <f t="shared" si="22"/>
        <v>Delivered</v>
      </c>
      <c r="G1430" s="9" t="b">
        <v>1</v>
      </c>
      <c r="H1430" s="9" t="s">
        <v>14</v>
      </c>
      <c r="I1430" s="8">
        <v>4621</v>
      </c>
      <c r="J1430" s="10">
        <v>1032.32</v>
      </c>
      <c r="K1430" s="10">
        <v>58.22</v>
      </c>
      <c r="L1430" s="10">
        <v>193.74</v>
      </c>
      <c r="M1430" s="10">
        <v>1284.28</v>
      </c>
      <c r="N1430" s="8">
        <v>11</v>
      </c>
      <c r="O1430" s="6">
        <v>2.4</v>
      </c>
    </row>
    <row r="1431" spans="1:15" x14ac:dyDescent="0.25">
      <c r="A1431" s="8">
        <v>68429</v>
      </c>
      <c r="B1431" s="9" t="s">
        <v>5</v>
      </c>
      <c r="C1431" s="9" t="s">
        <v>36</v>
      </c>
      <c r="D1431" s="9" t="s">
        <v>19</v>
      </c>
      <c r="E1431" s="9" t="s">
        <v>8</v>
      </c>
      <c r="F1431" s="9" t="str">
        <f t="shared" si="22"/>
        <v>Not Delivered</v>
      </c>
      <c r="G1431" s="9" t="b">
        <v>0</v>
      </c>
      <c r="H1431" s="9" t="s">
        <v>4</v>
      </c>
      <c r="I1431" s="8">
        <v>7129</v>
      </c>
      <c r="J1431" s="10">
        <v>1127.54</v>
      </c>
      <c r="K1431" s="10">
        <v>0</v>
      </c>
      <c r="L1431" s="10">
        <v>0</v>
      </c>
      <c r="M1431" s="10">
        <v>1127.54</v>
      </c>
      <c r="N1431" s="8">
        <v>6</v>
      </c>
      <c r="O1431" s="6">
        <v>1.7</v>
      </c>
    </row>
    <row r="1432" spans="1:15" x14ac:dyDescent="0.25">
      <c r="A1432" s="8">
        <v>61266</v>
      </c>
      <c r="B1432" s="9" t="s">
        <v>0</v>
      </c>
      <c r="C1432" s="9" t="s">
        <v>1</v>
      </c>
      <c r="D1432" s="9" t="s">
        <v>30</v>
      </c>
      <c r="E1432" s="9" t="s">
        <v>17</v>
      </c>
      <c r="F1432" s="9" t="str">
        <f t="shared" si="22"/>
        <v>Not Delivered</v>
      </c>
      <c r="G1432" s="9" t="b">
        <v>0</v>
      </c>
      <c r="H1432" s="9" t="s">
        <v>14</v>
      </c>
      <c r="I1432" s="8">
        <v>8586</v>
      </c>
      <c r="J1432" s="10">
        <v>925.22</v>
      </c>
      <c r="K1432" s="10">
        <v>129.21</v>
      </c>
      <c r="L1432" s="10">
        <v>0</v>
      </c>
      <c r="M1432" s="10">
        <v>1054.43</v>
      </c>
      <c r="N1432" s="8">
        <v>9</v>
      </c>
      <c r="O1432" s="6">
        <v>4.3</v>
      </c>
    </row>
    <row r="1433" spans="1:15" x14ac:dyDescent="0.25">
      <c r="A1433" s="8">
        <v>99070</v>
      </c>
      <c r="B1433" s="9" t="s">
        <v>23</v>
      </c>
      <c r="C1433" s="9" t="s">
        <v>48</v>
      </c>
      <c r="D1433" s="9" t="s">
        <v>25</v>
      </c>
      <c r="E1433" s="9" t="s">
        <v>8</v>
      </c>
      <c r="F1433" s="9" t="str">
        <f t="shared" si="22"/>
        <v>Not Delivered</v>
      </c>
      <c r="G1433" s="9" t="b">
        <v>1</v>
      </c>
      <c r="H1433" s="9" t="s">
        <v>22</v>
      </c>
      <c r="I1433" s="8">
        <v>9199</v>
      </c>
      <c r="J1433" s="10">
        <v>460.55</v>
      </c>
      <c r="K1433" s="10">
        <v>43.11</v>
      </c>
      <c r="L1433" s="10">
        <v>133.16</v>
      </c>
      <c r="M1433" s="10">
        <v>636.82000000000005</v>
      </c>
      <c r="N1433" s="8">
        <v>3</v>
      </c>
      <c r="O1433" s="6">
        <v>4.3</v>
      </c>
    </row>
    <row r="1434" spans="1:15" x14ac:dyDescent="0.25">
      <c r="A1434" s="8">
        <v>29758</v>
      </c>
      <c r="B1434" s="9" t="s">
        <v>10</v>
      </c>
      <c r="C1434" s="9" t="s">
        <v>26</v>
      </c>
      <c r="D1434" s="9" t="s">
        <v>35</v>
      </c>
      <c r="E1434" s="9" t="s">
        <v>32</v>
      </c>
      <c r="F1434" s="9" t="str">
        <f t="shared" si="22"/>
        <v>Not Delivered</v>
      </c>
      <c r="G1434" s="9" t="b">
        <v>0</v>
      </c>
      <c r="H1434" s="9" t="s">
        <v>14</v>
      </c>
      <c r="I1434" s="8">
        <v>6651</v>
      </c>
      <c r="J1434" s="10">
        <v>650.41999999999996</v>
      </c>
      <c r="K1434" s="10">
        <v>149.31</v>
      </c>
      <c r="L1434" s="10">
        <v>0</v>
      </c>
      <c r="M1434" s="10">
        <v>799.73</v>
      </c>
      <c r="N1434" s="8">
        <v>4</v>
      </c>
      <c r="O1434" s="6">
        <v>1.9</v>
      </c>
    </row>
    <row r="1435" spans="1:15" x14ac:dyDescent="0.25">
      <c r="A1435" s="8">
        <v>13219</v>
      </c>
      <c r="B1435" s="9" t="s">
        <v>41</v>
      </c>
      <c r="C1435" s="9" t="s">
        <v>61</v>
      </c>
      <c r="D1435" s="9" t="s">
        <v>2</v>
      </c>
      <c r="E1435" s="9" t="s">
        <v>3</v>
      </c>
      <c r="F1435" s="9" t="str">
        <f t="shared" si="22"/>
        <v>Not Delivered</v>
      </c>
      <c r="G1435" s="9" t="b">
        <v>1</v>
      </c>
      <c r="H1435" s="9" t="s">
        <v>18</v>
      </c>
      <c r="I1435" s="8">
        <v>8909</v>
      </c>
      <c r="J1435" s="10">
        <v>1591.67</v>
      </c>
      <c r="K1435" s="10">
        <v>62.22</v>
      </c>
      <c r="L1435" s="10">
        <v>90.3</v>
      </c>
      <c r="M1435" s="10">
        <v>1744.19</v>
      </c>
      <c r="N1435" s="8">
        <v>2</v>
      </c>
    </row>
    <row r="1436" spans="1:15" x14ac:dyDescent="0.25">
      <c r="A1436" s="8">
        <v>23703</v>
      </c>
      <c r="B1436" s="9" t="s">
        <v>39</v>
      </c>
      <c r="C1436" s="9" t="s">
        <v>57</v>
      </c>
      <c r="D1436" s="9" t="s">
        <v>19</v>
      </c>
      <c r="E1436" s="9" t="s">
        <v>17</v>
      </c>
      <c r="F1436" s="9" t="str">
        <f t="shared" si="22"/>
        <v>Not Delivered</v>
      </c>
      <c r="G1436" s="9" t="b">
        <v>1</v>
      </c>
      <c r="H1436" s="9" t="s">
        <v>9</v>
      </c>
      <c r="I1436" s="8">
        <v>5840</v>
      </c>
      <c r="J1436" s="10">
        <v>853.02</v>
      </c>
      <c r="K1436" s="10">
        <v>69.86</v>
      </c>
      <c r="L1436" s="10">
        <v>74.63</v>
      </c>
      <c r="M1436" s="10">
        <v>997.51</v>
      </c>
      <c r="N1436" s="8">
        <v>3</v>
      </c>
      <c r="O1436" s="6">
        <v>2.2999999999999998</v>
      </c>
    </row>
    <row r="1437" spans="1:15" x14ac:dyDescent="0.25">
      <c r="A1437" s="8">
        <v>64522</v>
      </c>
      <c r="B1437" s="9" t="s">
        <v>5</v>
      </c>
      <c r="C1437" s="9" t="s">
        <v>31</v>
      </c>
      <c r="D1437" s="9" t="s">
        <v>12</v>
      </c>
      <c r="E1437" s="9" t="s">
        <v>3</v>
      </c>
      <c r="F1437" s="9" t="str">
        <f t="shared" si="22"/>
        <v>Not Delivered</v>
      </c>
      <c r="G1437" s="9" t="b">
        <v>0</v>
      </c>
      <c r="H1437" s="9" t="s">
        <v>18</v>
      </c>
      <c r="I1437" s="8">
        <v>2406</v>
      </c>
      <c r="J1437" s="10">
        <v>376.73</v>
      </c>
      <c r="K1437" s="10">
        <v>31.29</v>
      </c>
      <c r="L1437" s="10">
        <v>0</v>
      </c>
      <c r="M1437" s="10">
        <v>408.02</v>
      </c>
      <c r="N1437" s="8">
        <v>13</v>
      </c>
      <c r="O1437" s="6">
        <v>5</v>
      </c>
    </row>
    <row r="1438" spans="1:15" x14ac:dyDescent="0.25">
      <c r="A1438" s="8">
        <v>25213</v>
      </c>
      <c r="B1438" s="9" t="s">
        <v>39</v>
      </c>
      <c r="C1438" s="9" t="s">
        <v>55</v>
      </c>
      <c r="D1438" s="9" t="s">
        <v>12</v>
      </c>
      <c r="E1438" s="9" t="s">
        <v>13</v>
      </c>
      <c r="F1438" s="9" t="str">
        <f t="shared" si="22"/>
        <v>Delivered</v>
      </c>
      <c r="G1438" s="9" t="b">
        <v>1</v>
      </c>
      <c r="H1438" s="9" t="s">
        <v>14</v>
      </c>
      <c r="I1438" s="8">
        <v>3321</v>
      </c>
      <c r="J1438" s="10">
        <v>1102.81</v>
      </c>
      <c r="K1438" s="10">
        <v>50.84</v>
      </c>
      <c r="L1438" s="10">
        <v>91.02</v>
      </c>
      <c r="M1438" s="10">
        <v>1244.67</v>
      </c>
      <c r="N1438" s="8">
        <v>13</v>
      </c>
    </row>
    <row r="1439" spans="1:15" x14ac:dyDescent="0.25">
      <c r="A1439" s="8">
        <v>55656</v>
      </c>
      <c r="B1439" s="9" t="s">
        <v>39</v>
      </c>
      <c r="C1439" s="9" t="s">
        <v>57</v>
      </c>
      <c r="D1439" s="9" t="s">
        <v>50</v>
      </c>
      <c r="E1439" s="9" t="s">
        <v>8</v>
      </c>
      <c r="F1439" s="9" t="str">
        <f t="shared" si="22"/>
        <v>Not Delivered</v>
      </c>
      <c r="G1439" s="9" t="b">
        <v>1</v>
      </c>
      <c r="H1439" s="9" t="s">
        <v>33</v>
      </c>
      <c r="I1439" s="8">
        <v>6110</v>
      </c>
      <c r="J1439" s="10">
        <v>860.63</v>
      </c>
      <c r="K1439" s="10">
        <v>102.39</v>
      </c>
      <c r="L1439" s="10">
        <v>84.42</v>
      </c>
      <c r="M1439" s="10">
        <v>1047.44</v>
      </c>
      <c r="N1439" s="8">
        <v>6</v>
      </c>
      <c r="O1439" s="6">
        <v>3.8</v>
      </c>
    </row>
    <row r="1440" spans="1:15" x14ac:dyDescent="0.25">
      <c r="A1440" s="8">
        <v>54966</v>
      </c>
      <c r="B1440" s="9" t="s">
        <v>41</v>
      </c>
      <c r="C1440" s="9" t="s">
        <v>47</v>
      </c>
      <c r="D1440" s="9" t="s">
        <v>12</v>
      </c>
      <c r="E1440" s="9" t="s">
        <v>13</v>
      </c>
      <c r="F1440" s="9" t="str">
        <f t="shared" si="22"/>
        <v>Delivered</v>
      </c>
      <c r="G1440" s="9" t="b">
        <v>1</v>
      </c>
      <c r="H1440" s="9" t="s">
        <v>18</v>
      </c>
      <c r="I1440" s="8">
        <v>8460</v>
      </c>
      <c r="J1440" s="10">
        <v>2412.81</v>
      </c>
      <c r="K1440" s="10">
        <v>141.66999999999999</v>
      </c>
      <c r="L1440" s="10">
        <v>205.19</v>
      </c>
      <c r="M1440" s="10">
        <v>2759.67</v>
      </c>
      <c r="N1440" s="8">
        <v>13</v>
      </c>
      <c r="O1440" s="6">
        <v>4.5</v>
      </c>
    </row>
    <row r="1441" spans="1:15" x14ac:dyDescent="0.25">
      <c r="A1441" s="8">
        <v>37114</v>
      </c>
      <c r="B1441" s="9" t="s">
        <v>5</v>
      </c>
      <c r="C1441" s="9" t="s">
        <v>6</v>
      </c>
      <c r="D1441" s="9" t="s">
        <v>25</v>
      </c>
      <c r="E1441" s="9" t="s">
        <v>21</v>
      </c>
      <c r="F1441" s="9" t="str">
        <f t="shared" si="22"/>
        <v>Not Delivered</v>
      </c>
      <c r="G1441" s="9" t="b">
        <v>1</v>
      </c>
      <c r="H1441" s="9" t="s">
        <v>28</v>
      </c>
      <c r="I1441" s="8">
        <v>9537</v>
      </c>
      <c r="J1441" s="10">
        <v>2202.94</v>
      </c>
      <c r="L1441" s="10">
        <v>122.58</v>
      </c>
      <c r="M1441" s="10">
        <v>2433.02</v>
      </c>
      <c r="N1441" s="8">
        <v>7</v>
      </c>
      <c r="O1441" s="6">
        <v>2.4</v>
      </c>
    </row>
    <row r="1442" spans="1:15" x14ac:dyDescent="0.25">
      <c r="A1442" s="8">
        <v>73298</v>
      </c>
      <c r="B1442" s="9" t="s">
        <v>39</v>
      </c>
      <c r="C1442" s="9" t="s">
        <v>40</v>
      </c>
      <c r="D1442" s="9" t="s">
        <v>12</v>
      </c>
      <c r="E1442" s="9" t="s">
        <v>17</v>
      </c>
      <c r="F1442" s="9" t="str">
        <f t="shared" si="22"/>
        <v>Not Delivered</v>
      </c>
      <c r="G1442" s="9" t="b">
        <v>1</v>
      </c>
      <c r="H1442" s="9" t="s">
        <v>33</v>
      </c>
      <c r="I1442" s="8">
        <v>6706</v>
      </c>
      <c r="J1442" s="10">
        <v>322.25</v>
      </c>
      <c r="K1442" s="10">
        <v>79.22</v>
      </c>
      <c r="L1442" s="10">
        <v>53.68</v>
      </c>
      <c r="M1442" s="10">
        <v>455.15</v>
      </c>
      <c r="N1442" s="8">
        <v>8</v>
      </c>
      <c r="O1442" s="6">
        <v>2.4</v>
      </c>
    </row>
    <row r="1443" spans="1:15" x14ac:dyDescent="0.25">
      <c r="A1443" s="8">
        <v>72411</v>
      </c>
      <c r="B1443" s="9" t="s">
        <v>5</v>
      </c>
      <c r="C1443" s="9" t="s">
        <v>31</v>
      </c>
      <c r="D1443" s="9" t="s">
        <v>35</v>
      </c>
      <c r="E1443" s="9" t="s">
        <v>8</v>
      </c>
      <c r="F1443" s="9" t="str">
        <f t="shared" si="22"/>
        <v>Not Delivered</v>
      </c>
      <c r="G1443" s="9" t="b">
        <v>0</v>
      </c>
      <c r="H1443" s="9" t="s">
        <v>4</v>
      </c>
      <c r="I1443" s="8">
        <v>2599</v>
      </c>
      <c r="J1443" s="10">
        <v>1915.84</v>
      </c>
      <c r="K1443" s="10">
        <v>63.01</v>
      </c>
      <c r="L1443" s="10">
        <v>0</v>
      </c>
      <c r="M1443" s="10">
        <v>1978.85</v>
      </c>
      <c r="N1443" s="8">
        <v>12</v>
      </c>
    </row>
    <row r="1444" spans="1:15" x14ac:dyDescent="0.25">
      <c r="A1444" s="8">
        <v>67431</v>
      </c>
      <c r="B1444" s="9" t="s">
        <v>10</v>
      </c>
      <c r="C1444" s="9" t="s">
        <v>29</v>
      </c>
      <c r="D1444" s="9" t="s">
        <v>25</v>
      </c>
      <c r="E1444" s="9" t="s">
        <v>32</v>
      </c>
      <c r="F1444" s="9" t="str">
        <f t="shared" si="22"/>
        <v>Not Delivered</v>
      </c>
      <c r="G1444" s="9" t="b">
        <v>1</v>
      </c>
      <c r="H1444" s="9" t="s">
        <v>14</v>
      </c>
      <c r="I1444" s="8">
        <v>8412</v>
      </c>
      <c r="J1444" s="10">
        <v>1035.51</v>
      </c>
      <c r="K1444" s="10">
        <v>93.54</v>
      </c>
      <c r="L1444" s="10">
        <v>27.91</v>
      </c>
      <c r="M1444" s="10">
        <v>1156.96</v>
      </c>
      <c r="N1444" s="8">
        <v>3</v>
      </c>
      <c r="O1444" s="6">
        <v>4.4000000000000004</v>
      </c>
    </row>
    <row r="1445" spans="1:15" x14ac:dyDescent="0.25">
      <c r="A1445" s="8">
        <v>51800</v>
      </c>
      <c r="B1445" s="9" t="s">
        <v>5</v>
      </c>
      <c r="C1445" s="9" t="s">
        <v>59</v>
      </c>
      <c r="D1445" s="9" t="s">
        <v>38</v>
      </c>
      <c r="E1445" s="9" t="s">
        <v>32</v>
      </c>
      <c r="F1445" s="9" t="str">
        <f t="shared" si="22"/>
        <v>Not Delivered</v>
      </c>
      <c r="G1445" s="9" t="b">
        <v>1</v>
      </c>
      <c r="H1445" s="9" t="s">
        <v>4</v>
      </c>
      <c r="I1445" s="8">
        <v>2100</v>
      </c>
      <c r="J1445" s="10">
        <v>2235.36</v>
      </c>
      <c r="K1445" s="10">
        <v>89.78</v>
      </c>
      <c r="L1445" s="10">
        <v>34.659999999999997</v>
      </c>
      <c r="M1445" s="10">
        <v>2359.8000000000002</v>
      </c>
      <c r="N1445" s="8">
        <v>11</v>
      </c>
      <c r="O1445" s="6">
        <v>2.2999999999999998</v>
      </c>
    </row>
    <row r="1446" spans="1:15" x14ac:dyDescent="0.25">
      <c r="A1446" s="8">
        <v>49356</v>
      </c>
      <c r="B1446" s="9" t="s">
        <v>23</v>
      </c>
      <c r="C1446" s="9" t="s">
        <v>24</v>
      </c>
      <c r="D1446" s="9" t="s">
        <v>12</v>
      </c>
      <c r="E1446" s="9" t="s">
        <v>3</v>
      </c>
      <c r="F1446" s="9" t="str">
        <f t="shared" si="22"/>
        <v>Not Delivered</v>
      </c>
      <c r="G1446" s="9" t="b">
        <v>0</v>
      </c>
      <c r="H1446" s="9" t="s">
        <v>22</v>
      </c>
      <c r="I1446" s="8">
        <v>1732</v>
      </c>
      <c r="J1446" s="10">
        <v>873.98</v>
      </c>
      <c r="K1446" s="10">
        <v>55.21</v>
      </c>
      <c r="L1446" s="10">
        <v>0</v>
      </c>
      <c r="M1446" s="10">
        <v>929.19</v>
      </c>
      <c r="N1446" s="8">
        <v>9</v>
      </c>
      <c r="O1446" s="6">
        <v>2.7</v>
      </c>
    </row>
    <row r="1447" spans="1:15" x14ac:dyDescent="0.25">
      <c r="A1447" s="8">
        <v>25084</v>
      </c>
      <c r="B1447" s="9" t="s">
        <v>39</v>
      </c>
      <c r="C1447" s="9" t="s">
        <v>58</v>
      </c>
      <c r="D1447" s="9" t="s">
        <v>50</v>
      </c>
      <c r="E1447" s="9" t="s">
        <v>21</v>
      </c>
      <c r="F1447" s="9" t="str">
        <f t="shared" si="22"/>
        <v>Not Delivered</v>
      </c>
      <c r="G1447" s="9" t="b">
        <v>1</v>
      </c>
      <c r="H1447" s="9" t="s">
        <v>4</v>
      </c>
      <c r="I1447" s="8">
        <v>1370</v>
      </c>
      <c r="J1447" s="10">
        <v>1163.53</v>
      </c>
      <c r="K1447" s="10">
        <v>64.260000000000005</v>
      </c>
      <c r="L1447" s="10">
        <v>129.04</v>
      </c>
      <c r="M1447" s="10">
        <v>1356.83</v>
      </c>
      <c r="N1447" s="8">
        <v>1</v>
      </c>
    </row>
    <row r="1448" spans="1:15" x14ac:dyDescent="0.25">
      <c r="A1448" s="8">
        <v>54967</v>
      </c>
      <c r="B1448" s="9" t="s">
        <v>41</v>
      </c>
      <c r="C1448" s="9" t="s">
        <v>42</v>
      </c>
      <c r="D1448" s="9" t="s">
        <v>12</v>
      </c>
      <c r="E1448" s="9" t="s">
        <v>17</v>
      </c>
      <c r="F1448" s="9" t="str">
        <f t="shared" si="22"/>
        <v>Not Delivered</v>
      </c>
      <c r="G1448" s="9" t="b">
        <v>1</v>
      </c>
      <c r="H1448" s="9" t="s">
        <v>4</v>
      </c>
      <c r="I1448" s="8">
        <v>2791</v>
      </c>
      <c r="J1448" s="10">
        <v>2016.54</v>
      </c>
      <c r="K1448" s="10">
        <v>73.739999999999995</v>
      </c>
      <c r="L1448" s="10">
        <v>156.91999999999999</v>
      </c>
      <c r="M1448" s="10">
        <v>2247.1999999999998</v>
      </c>
      <c r="N1448" s="8">
        <v>4</v>
      </c>
      <c r="O1448" s="6">
        <v>3.5</v>
      </c>
    </row>
    <row r="1449" spans="1:15" x14ac:dyDescent="0.25">
      <c r="A1449" s="8">
        <v>98754</v>
      </c>
      <c r="B1449" s="9" t="s">
        <v>0</v>
      </c>
      <c r="C1449" s="9" t="s">
        <v>51</v>
      </c>
      <c r="D1449" s="9" t="s">
        <v>50</v>
      </c>
      <c r="E1449" s="9" t="s">
        <v>21</v>
      </c>
      <c r="F1449" s="9" t="str">
        <f t="shared" si="22"/>
        <v>Not Delivered</v>
      </c>
      <c r="G1449" s="9" t="b">
        <v>1</v>
      </c>
      <c r="H1449" s="9" t="s">
        <v>28</v>
      </c>
      <c r="I1449" s="8">
        <v>3692</v>
      </c>
      <c r="J1449" s="10">
        <v>895.03</v>
      </c>
      <c r="K1449" s="10">
        <v>110.57</v>
      </c>
      <c r="L1449" s="10">
        <v>199.32</v>
      </c>
      <c r="M1449" s="10">
        <v>1204.92</v>
      </c>
      <c r="N1449" s="8">
        <v>10</v>
      </c>
      <c r="O1449" s="6">
        <v>4.2</v>
      </c>
    </row>
    <row r="1450" spans="1:15" x14ac:dyDescent="0.25">
      <c r="A1450" s="8">
        <v>41970</v>
      </c>
      <c r="B1450" s="9" t="s">
        <v>5</v>
      </c>
      <c r="C1450" s="9" t="s">
        <v>31</v>
      </c>
      <c r="D1450" s="9" t="s">
        <v>16</v>
      </c>
      <c r="E1450" s="9" t="s">
        <v>21</v>
      </c>
      <c r="F1450" s="9" t="str">
        <f t="shared" si="22"/>
        <v>Not Delivered</v>
      </c>
      <c r="G1450" s="9" t="b">
        <v>1</v>
      </c>
      <c r="H1450" s="9" t="s">
        <v>18</v>
      </c>
      <c r="I1450" s="8">
        <v>9454</v>
      </c>
      <c r="J1450" s="10">
        <v>2489.34</v>
      </c>
      <c r="K1450" s="10">
        <v>108.29</v>
      </c>
      <c r="L1450" s="10">
        <v>263.43</v>
      </c>
      <c r="M1450" s="10">
        <v>2861.06</v>
      </c>
      <c r="N1450" s="8">
        <v>12</v>
      </c>
      <c r="O1450" s="6">
        <v>4.8</v>
      </c>
    </row>
    <row r="1451" spans="1:15" x14ac:dyDescent="0.25">
      <c r="A1451" s="8">
        <v>32865</v>
      </c>
      <c r="B1451" s="9" t="s">
        <v>39</v>
      </c>
      <c r="C1451" s="9" t="s">
        <v>52</v>
      </c>
      <c r="D1451" s="9" t="s">
        <v>30</v>
      </c>
      <c r="E1451" s="9" t="s">
        <v>13</v>
      </c>
      <c r="F1451" s="9" t="str">
        <f t="shared" si="22"/>
        <v>Delivered</v>
      </c>
      <c r="G1451" s="9" t="b">
        <v>0</v>
      </c>
      <c r="H1451" s="9" t="s">
        <v>18</v>
      </c>
      <c r="I1451" s="8">
        <v>3623</v>
      </c>
      <c r="J1451" s="10">
        <v>1259</v>
      </c>
      <c r="K1451" s="10">
        <v>125.95</v>
      </c>
      <c r="L1451" s="10">
        <v>0</v>
      </c>
      <c r="M1451" s="10">
        <v>1384.95</v>
      </c>
      <c r="N1451" s="8">
        <v>2</v>
      </c>
      <c r="O1451" s="6">
        <v>2.2000000000000002</v>
      </c>
    </row>
    <row r="1452" spans="1:15" x14ac:dyDescent="0.25">
      <c r="A1452" s="8">
        <v>53383</v>
      </c>
      <c r="B1452" s="9" t="s">
        <v>39</v>
      </c>
      <c r="C1452" s="9" t="s">
        <v>55</v>
      </c>
      <c r="D1452" s="9" t="s">
        <v>19</v>
      </c>
      <c r="E1452" s="9" t="s">
        <v>32</v>
      </c>
      <c r="F1452" s="9" t="str">
        <f t="shared" si="22"/>
        <v>Not Delivered</v>
      </c>
      <c r="G1452" s="9" t="b">
        <v>1</v>
      </c>
      <c r="H1452" s="9" t="s">
        <v>28</v>
      </c>
      <c r="I1452" s="8">
        <v>7985</v>
      </c>
      <c r="J1452" s="10">
        <v>432.45</v>
      </c>
      <c r="K1452" s="10">
        <v>49.78</v>
      </c>
      <c r="L1452" s="10">
        <v>102.13</v>
      </c>
      <c r="M1452" s="10">
        <v>584.36</v>
      </c>
      <c r="N1452" s="8">
        <v>9</v>
      </c>
      <c r="O1452" s="6">
        <v>3.3</v>
      </c>
    </row>
    <row r="1453" spans="1:15" x14ac:dyDescent="0.25">
      <c r="A1453" s="8">
        <v>70562</v>
      </c>
      <c r="B1453" s="9" t="s">
        <v>5</v>
      </c>
      <c r="C1453" s="9" t="s">
        <v>36</v>
      </c>
      <c r="D1453" s="9" t="s">
        <v>2</v>
      </c>
      <c r="E1453" s="9" t="s">
        <v>8</v>
      </c>
      <c r="F1453" s="9" t="str">
        <f t="shared" si="22"/>
        <v>Not Delivered</v>
      </c>
      <c r="G1453" s="9" t="b">
        <v>1</v>
      </c>
      <c r="H1453" s="9" t="s">
        <v>4</v>
      </c>
      <c r="I1453" s="8">
        <v>4798</v>
      </c>
      <c r="J1453" s="10">
        <v>2130.13</v>
      </c>
      <c r="K1453" s="10">
        <v>72.3</v>
      </c>
      <c r="L1453" s="10">
        <v>210.63</v>
      </c>
      <c r="M1453" s="10">
        <v>2413.06</v>
      </c>
      <c r="N1453" s="8">
        <v>9</v>
      </c>
      <c r="O1453" s="6">
        <v>1.2</v>
      </c>
    </row>
    <row r="1454" spans="1:15" x14ac:dyDescent="0.25">
      <c r="A1454" s="8">
        <v>63090</v>
      </c>
      <c r="B1454" s="9" t="s">
        <v>41</v>
      </c>
      <c r="C1454" s="9" t="s">
        <v>42</v>
      </c>
      <c r="D1454" s="9" t="s">
        <v>19</v>
      </c>
      <c r="E1454" s="9" t="s">
        <v>13</v>
      </c>
      <c r="F1454" s="9" t="str">
        <f t="shared" si="22"/>
        <v>Delivered</v>
      </c>
      <c r="G1454" s="9" t="b">
        <v>0</v>
      </c>
      <c r="H1454" s="9" t="s">
        <v>18</v>
      </c>
      <c r="I1454" s="8">
        <v>4022</v>
      </c>
      <c r="J1454" s="10">
        <v>641</v>
      </c>
      <c r="L1454" s="10">
        <v>0</v>
      </c>
      <c r="M1454" s="10">
        <v>736.72</v>
      </c>
      <c r="N1454" s="8">
        <v>1</v>
      </c>
      <c r="O1454" s="6">
        <v>1.7</v>
      </c>
    </row>
    <row r="1455" spans="1:15" x14ac:dyDescent="0.25">
      <c r="A1455" s="8">
        <v>34430</v>
      </c>
      <c r="B1455" s="9" t="s">
        <v>0</v>
      </c>
      <c r="C1455" s="9" t="s">
        <v>53</v>
      </c>
      <c r="D1455" s="9" t="s">
        <v>7</v>
      </c>
      <c r="E1455" s="9" t="s">
        <v>8</v>
      </c>
      <c r="F1455" s="9" t="str">
        <f t="shared" si="22"/>
        <v>Not Delivered</v>
      </c>
      <c r="G1455" s="9" t="b">
        <v>0</v>
      </c>
      <c r="H1455" s="9" t="s">
        <v>18</v>
      </c>
      <c r="I1455" s="8">
        <v>8080</v>
      </c>
      <c r="J1455" s="10">
        <v>1007.99</v>
      </c>
      <c r="K1455" s="10">
        <v>0</v>
      </c>
      <c r="L1455" s="10">
        <v>0</v>
      </c>
      <c r="M1455" s="10">
        <v>1007.99</v>
      </c>
      <c r="N1455" s="8">
        <v>11</v>
      </c>
      <c r="O1455" s="6">
        <v>4.8</v>
      </c>
    </row>
    <row r="1456" spans="1:15" x14ac:dyDescent="0.25">
      <c r="A1456" s="8">
        <v>61849</v>
      </c>
      <c r="B1456" s="9" t="s">
        <v>5</v>
      </c>
      <c r="C1456" s="9" t="s">
        <v>56</v>
      </c>
      <c r="D1456" s="9" t="s">
        <v>30</v>
      </c>
      <c r="E1456" s="9" t="s">
        <v>32</v>
      </c>
      <c r="F1456" s="9" t="str">
        <f t="shared" si="22"/>
        <v>Not Delivered</v>
      </c>
      <c r="G1456" s="9" t="b">
        <v>1</v>
      </c>
      <c r="H1456" s="9" t="s">
        <v>9</v>
      </c>
      <c r="I1456" s="8">
        <v>1478</v>
      </c>
      <c r="J1456" s="10">
        <v>2104.4299999999998</v>
      </c>
      <c r="K1456" s="10">
        <v>146</v>
      </c>
      <c r="L1456" s="10">
        <v>95.11</v>
      </c>
      <c r="M1456" s="10">
        <v>2345.54</v>
      </c>
      <c r="N1456" s="8">
        <v>10</v>
      </c>
      <c r="O1456" s="6">
        <v>2.4</v>
      </c>
    </row>
    <row r="1457" spans="1:15" x14ac:dyDescent="0.25">
      <c r="A1457" s="8">
        <v>90492</v>
      </c>
      <c r="B1457" s="9" t="s">
        <v>41</v>
      </c>
      <c r="C1457" s="9" t="s">
        <v>61</v>
      </c>
      <c r="D1457" s="9" t="s">
        <v>16</v>
      </c>
      <c r="E1457" s="9" t="s">
        <v>13</v>
      </c>
      <c r="F1457" s="9" t="str">
        <f t="shared" si="22"/>
        <v>Delivered</v>
      </c>
      <c r="G1457" s="9" t="b">
        <v>0</v>
      </c>
      <c r="H1457" s="9" t="s">
        <v>9</v>
      </c>
      <c r="I1457" s="8">
        <v>4232</v>
      </c>
      <c r="J1457" s="10">
        <v>1497.9</v>
      </c>
      <c r="K1457" s="10">
        <v>0</v>
      </c>
      <c r="L1457" s="10">
        <v>0</v>
      </c>
      <c r="M1457" s="10">
        <v>1497.9</v>
      </c>
      <c r="N1457" s="8">
        <v>2</v>
      </c>
      <c r="O1457" s="6">
        <v>2.5</v>
      </c>
    </row>
    <row r="1458" spans="1:15" x14ac:dyDescent="0.25">
      <c r="A1458" s="8">
        <v>68926</v>
      </c>
      <c r="B1458" s="9" t="s">
        <v>0</v>
      </c>
      <c r="C1458" s="9" t="s">
        <v>1</v>
      </c>
      <c r="D1458" s="9" t="s">
        <v>27</v>
      </c>
      <c r="E1458" s="9" t="s">
        <v>32</v>
      </c>
      <c r="F1458" s="9" t="str">
        <f t="shared" si="22"/>
        <v>Not Delivered</v>
      </c>
      <c r="G1458" s="9" t="b">
        <v>0</v>
      </c>
      <c r="H1458" s="9" t="s">
        <v>14</v>
      </c>
      <c r="I1458" s="8">
        <v>8037</v>
      </c>
      <c r="J1458" s="10">
        <v>1673.71</v>
      </c>
      <c r="K1458" s="10">
        <v>0</v>
      </c>
      <c r="L1458" s="10">
        <v>0</v>
      </c>
      <c r="M1458" s="10">
        <v>1673.71</v>
      </c>
      <c r="N1458" s="8">
        <v>13</v>
      </c>
      <c r="O1458" s="6">
        <v>3.7</v>
      </c>
    </row>
    <row r="1459" spans="1:15" x14ac:dyDescent="0.25">
      <c r="A1459" s="8">
        <v>60965</v>
      </c>
      <c r="B1459" s="9" t="s">
        <v>23</v>
      </c>
      <c r="C1459" s="9" t="s">
        <v>34</v>
      </c>
      <c r="E1459" s="9" t="s">
        <v>21</v>
      </c>
      <c r="F1459" s="9" t="str">
        <f t="shared" si="22"/>
        <v>Not Delivered</v>
      </c>
      <c r="G1459" s="9" t="b">
        <v>1</v>
      </c>
      <c r="H1459" s="9" t="s">
        <v>14</v>
      </c>
      <c r="I1459" s="8">
        <v>1072</v>
      </c>
      <c r="J1459" s="10">
        <v>1044.03</v>
      </c>
      <c r="K1459" s="10">
        <v>142.38</v>
      </c>
      <c r="L1459" s="10">
        <v>184.33</v>
      </c>
      <c r="M1459" s="10">
        <v>1370.74</v>
      </c>
      <c r="N1459" s="8">
        <v>13</v>
      </c>
      <c r="O1459" s="6">
        <v>3.2</v>
      </c>
    </row>
    <row r="1460" spans="1:15" x14ac:dyDescent="0.25">
      <c r="A1460" s="8">
        <v>38153</v>
      </c>
      <c r="B1460" s="9" t="s">
        <v>10</v>
      </c>
      <c r="C1460" s="9" t="s">
        <v>15</v>
      </c>
      <c r="D1460" s="9" t="s">
        <v>30</v>
      </c>
      <c r="E1460" s="9" t="s">
        <v>3</v>
      </c>
      <c r="F1460" s="9" t="str">
        <f t="shared" si="22"/>
        <v>Not Delivered</v>
      </c>
      <c r="G1460" s="9" t="b">
        <v>1</v>
      </c>
      <c r="H1460" s="9" t="s">
        <v>18</v>
      </c>
      <c r="I1460" s="8">
        <v>4371</v>
      </c>
      <c r="J1460" s="10">
        <v>616.61</v>
      </c>
      <c r="K1460" s="10">
        <v>135.46</v>
      </c>
      <c r="L1460" s="10">
        <v>262.85000000000002</v>
      </c>
      <c r="M1460" s="10">
        <v>1014.92</v>
      </c>
      <c r="N1460" s="8">
        <v>1</v>
      </c>
    </row>
    <row r="1461" spans="1:15" x14ac:dyDescent="0.25">
      <c r="A1461" s="8">
        <v>46483</v>
      </c>
      <c r="B1461" s="9" t="s">
        <v>39</v>
      </c>
      <c r="C1461" s="9" t="s">
        <v>58</v>
      </c>
      <c r="D1461" s="9" t="s">
        <v>19</v>
      </c>
      <c r="E1461" s="9" t="s">
        <v>21</v>
      </c>
      <c r="F1461" s="9" t="str">
        <f t="shared" si="22"/>
        <v>Not Delivered</v>
      </c>
      <c r="G1461" s="9" t="b">
        <v>0</v>
      </c>
      <c r="H1461" s="9" t="s">
        <v>33</v>
      </c>
      <c r="I1461" s="8">
        <v>2025</v>
      </c>
      <c r="J1461" s="10">
        <v>168.9</v>
      </c>
      <c r="K1461" s="10">
        <v>29.14</v>
      </c>
      <c r="L1461" s="10">
        <v>0</v>
      </c>
      <c r="M1461" s="10">
        <v>198.04</v>
      </c>
      <c r="N1461" s="8">
        <v>9</v>
      </c>
      <c r="O1461" s="6">
        <v>1.3</v>
      </c>
    </row>
    <row r="1462" spans="1:15" x14ac:dyDescent="0.25">
      <c r="A1462" s="8">
        <v>85674</v>
      </c>
      <c r="B1462" s="9" t="s">
        <v>5</v>
      </c>
      <c r="C1462" s="9" t="s">
        <v>6</v>
      </c>
      <c r="D1462" s="9" t="s">
        <v>38</v>
      </c>
      <c r="E1462" s="9" t="s">
        <v>13</v>
      </c>
      <c r="F1462" s="9" t="str">
        <f t="shared" si="22"/>
        <v>Delivered</v>
      </c>
      <c r="G1462" s="9" t="b">
        <v>0</v>
      </c>
      <c r="H1462" s="9" t="s">
        <v>4</v>
      </c>
      <c r="I1462" s="8">
        <v>2667</v>
      </c>
      <c r="J1462" s="10">
        <v>2374.29</v>
      </c>
      <c r="K1462" s="10">
        <v>55.6</v>
      </c>
      <c r="L1462" s="10">
        <v>0</v>
      </c>
      <c r="M1462" s="10">
        <v>2429.89</v>
      </c>
      <c r="N1462" s="8">
        <v>2</v>
      </c>
      <c r="O1462" s="6">
        <v>3.4</v>
      </c>
    </row>
    <row r="1463" spans="1:15" x14ac:dyDescent="0.25">
      <c r="A1463" s="8">
        <v>80371</v>
      </c>
      <c r="B1463" s="9" t="s">
        <v>39</v>
      </c>
      <c r="C1463" s="9" t="s">
        <v>58</v>
      </c>
      <c r="D1463" s="9" t="s">
        <v>38</v>
      </c>
      <c r="E1463" s="9" t="s">
        <v>13</v>
      </c>
      <c r="F1463" s="9" t="str">
        <f t="shared" si="22"/>
        <v>Delivered</v>
      </c>
      <c r="G1463" s="9" t="b">
        <v>0</v>
      </c>
      <c r="H1463" s="9" t="s">
        <v>28</v>
      </c>
      <c r="I1463" s="8">
        <v>4063</v>
      </c>
      <c r="J1463" s="10">
        <v>1178.5899999999999</v>
      </c>
      <c r="K1463" s="10">
        <v>102.18</v>
      </c>
      <c r="L1463" s="10">
        <v>0</v>
      </c>
      <c r="M1463" s="10">
        <v>1280.77</v>
      </c>
      <c r="N1463" s="8">
        <v>11</v>
      </c>
      <c r="O1463" s="6">
        <v>1.6</v>
      </c>
    </row>
    <row r="1464" spans="1:15" x14ac:dyDescent="0.25">
      <c r="A1464" s="8">
        <v>57945</v>
      </c>
      <c r="B1464" s="9" t="s">
        <v>0</v>
      </c>
      <c r="C1464" s="9" t="s">
        <v>51</v>
      </c>
      <c r="D1464" s="9" t="s">
        <v>45</v>
      </c>
      <c r="E1464" s="9" t="s">
        <v>32</v>
      </c>
      <c r="F1464" s="9" t="str">
        <f t="shared" si="22"/>
        <v>Not Delivered</v>
      </c>
      <c r="G1464" s="9" t="b">
        <v>0</v>
      </c>
      <c r="H1464" s="9" t="s">
        <v>22</v>
      </c>
      <c r="I1464" s="8">
        <v>6340</v>
      </c>
      <c r="J1464" s="10">
        <v>595.70000000000005</v>
      </c>
      <c r="K1464" s="10">
        <v>94.06</v>
      </c>
      <c r="L1464" s="10">
        <v>0</v>
      </c>
      <c r="M1464" s="10">
        <v>689.76</v>
      </c>
      <c r="N1464" s="8">
        <v>7</v>
      </c>
      <c r="O1464" s="6">
        <v>3.9</v>
      </c>
    </row>
    <row r="1465" spans="1:15" x14ac:dyDescent="0.25">
      <c r="A1465" s="8">
        <v>35830</v>
      </c>
      <c r="B1465" s="9" t="s">
        <v>39</v>
      </c>
      <c r="C1465" s="9" t="s">
        <v>58</v>
      </c>
      <c r="E1465" s="9" t="s">
        <v>32</v>
      </c>
      <c r="F1465" s="9" t="str">
        <f t="shared" si="22"/>
        <v>Not Delivered</v>
      </c>
      <c r="G1465" s="9" t="b">
        <v>1</v>
      </c>
      <c r="H1465" s="9" t="s">
        <v>18</v>
      </c>
      <c r="I1465" s="8">
        <v>8496</v>
      </c>
      <c r="J1465" s="10">
        <v>1033.3800000000001</v>
      </c>
      <c r="K1465" s="10">
        <v>84.46</v>
      </c>
      <c r="L1465" s="10">
        <v>258.75</v>
      </c>
      <c r="M1465" s="10">
        <v>1376.59</v>
      </c>
      <c r="N1465" s="8">
        <v>14</v>
      </c>
      <c r="O1465" s="6">
        <v>2.5</v>
      </c>
    </row>
    <row r="1466" spans="1:15" x14ac:dyDescent="0.25">
      <c r="A1466" s="8">
        <v>24936</v>
      </c>
      <c r="B1466" s="9" t="s">
        <v>0</v>
      </c>
      <c r="C1466" s="9" t="s">
        <v>43</v>
      </c>
      <c r="E1466" s="9" t="s">
        <v>32</v>
      </c>
      <c r="F1466" s="9" t="str">
        <f t="shared" si="22"/>
        <v>Not Delivered</v>
      </c>
      <c r="G1466" s="9" t="b">
        <v>1</v>
      </c>
      <c r="H1466" s="9" t="s">
        <v>28</v>
      </c>
      <c r="I1466" s="8">
        <v>5298</v>
      </c>
      <c r="J1466" s="10">
        <v>260.20999999999998</v>
      </c>
      <c r="K1466" s="10">
        <v>83.33</v>
      </c>
      <c r="L1466" s="10">
        <v>290.49</v>
      </c>
      <c r="M1466" s="10">
        <v>634.03</v>
      </c>
      <c r="N1466" s="8">
        <v>11</v>
      </c>
      <c r="O1466" s="6">
        <v>1.3</v>
      </c>
    </row>
    <row r="1467" spans="1:15" x14ac:dyDescent="0.25">
      <c r="A1467" s="8">
        <v>97910</v>
      </c>
      <c r="B1467" s="9" t="s">
        <v>39</v>
      </c>
      <c r="C1467" s="9" t="s">
        <v>40</v>
      </c>
      <c r="E1467" s="9" t="s">
        <v>3</v>
      </c>
      <c r="F1467" s="9" t="str">
        <f t="shared" si="22"/>
        <v>Not Delivered</v>
      </c>
      <c r="G1467" s="9" t="b">
        <v>0</v>
      </c>
      <c r="H1467" s="9" t="s">
        <v>4</v>
      </c>
      <c r="I1467" s="8">
        <v>9019</v>
      </c>
      <c r="J1467" s="10">
        <v>206.65</v>
      </c>
      <c r="K1467" s="10">
        <v>34.950000000000003</v>
      </c>
      <c r="L1467" s="10">
        <v>0</v>
      </c>
      <c r="M1467" s="10">
        <v>241.6</v>
      </c>
      <c r="N1467" s="8">
        <v>6</v>
      </c>
      <c r="O1467" s="6">
        <v>1.7</v>
      </c>
    </row>
    <row r="1468" spans="1:15" x14ac:dyDescent="0.25">
      <c r="A1468" s="8">
        <v>79168</v>
      </c>
      <c r="B1468" s="9" t="s">
        <v>39</v>
      </c>
      <c r="C1468" s="9" t="s">
        <v>55</v>
      </c>
      <c r="D1468" s="9" t="s">
        <v>12</v>
      </c>
      <c r="E1468" s="9" t="s">
        <v>32</v>
      </c>
      <c r="F1468" s="9" t="str">
        <f t="shared" si="22"/>
        <v>Not Delivered</v>
      </c>
      <c r="G1468" s="9" t="b">
        <v>1</v>
      </c>
      <c r="H1468" s="9" t="s">
        <v>14</v>
      </c>
      <c r="I1468" s="8">
        <v>6134</v>
      </c>
      <c r="J1468" s="10">
        <v>1396.58</v>
      </c>
      <c r="K1468" s="10">
        <v>70.489999999999995</v>
      </c>
      <c r="L1468" s="10">
        <v>26.96</v>
      </c>
      <c r="M1468" s="10">
        <v>1494.03</v>
      </c>
      <c r="N1468" s="8">
        <v>3</v>
      </c>
    </row>
    <row r="1469" spans="1:15" x14ac:dyDescent="0.25">
      <c r="A1469" s="8">
        <v>88246</v>
      </c>
      <c r="B1469" s="9" t="s">
        <v>39</v>
      </c>
      <c r="C1469" s="9" t="s">
        <v>40</v>
      </c>
      <c r="D1469" s="9" t="s">
        <v>16</v>
      </c>
      <c r="E1469" s="9" t="s">
        <v>17</v>
      </c>
      <c r="F1469" s="9" t="str">
        <f t="shared" si="22"/>
        <v>Not Delivered</v>
      </c>
      <c r="G1469" s="9" t="b">
        <v>0</v>
      </c>
      <c r="H1469" s="9" t="s">
        <v>28</v>
      </c>
      <c r="I1469" s="8">
        <v>7367</v>
      </c>
      <c r="J1469" s="10">
        <v>1251.74</v>
      </c>
      <c r="K1469" s="10">
        <v>81.78</v>
      </c>
      <c r="L1469" s="10">
        <v>0</v>
      </c>
      <c r="M1469" s="10">
        <v>1333.52</v>
      </c>
      <c r="N1469" s="8">
        <v>8</v>
      </c>
      <c r="O1469" s="6">
        <v>4.9000000000000004</v>
      </c>
    </row>
    <row r="1470" spans="1:15" x14ac:dyDescent="0.25">
      <c r="A1470" s="8">
        <v>90125</v>
      </c>
      <c r="B1470" s="9" t="s">
        <v>23</v>
      </c>
      <c r="C1470" s="9" t="s">
        <v>54</v>
      </c>
      <c r="D1470" s="9" t="s">
        <v>7</v>
      </c>
      <c r="E1470" s="9" t="s">
        <v>21</v>
      </c>
      <c r="F1470" s="9" t="str">
        <f t="shared" si="22"/>
        <v>Not Delivered</v>
      </c>
      <c r="G1470" s="9" t="b">
        <v>0</v>
      </c>
      <c r="H1470" s="9" t="s">
        <v>33</v>
      </c>
      <c r="I1470" s="8">
        <v>7431</v>
      </c>
      <c r="J1470" s="10">
        <v>361.86</v>
      </c>
      <c r="K1470" s="10">
        <v>75.09</v>
      </c>
      <c r="L1470" s="10">
        <v>0</v>
      </c>
      <c r="M1470" s="10">
        <v>436.95</v>
      </c>
      <c r="N1470" s="8">
        <v>5</v>
      </c>
      <c r="O1470" s="6">
        <v>1.2</v>
      </c>
    </row>
    <row r="1471" spans="1:15" x14ac:dyDescent="0.25">
      <c r="A1471" s="8">
        <v>86939</v>
      </c>
      <c r="B1471" s="9" t="s">
        <v>5</v>
      </c>
      <c r="C1471" s="9" t="s">
        <v>36</v>
      </c>
      <c r="D1471" s="9" t="s">
        <v>19</v>
      </c>
      <c r="E1471" s="9" t="s">
        <v>8</v>
      </c>
      <c r="F1471" s="9" t="str">
        <f t="shared" si="22"/>
        <v>Not Delivered</v>
      </c>
      <c r="G1471" s="9" t="b">
        <v>1</v>
      </c>
      <c r="H1471" s="9" t="s">
        <v>33</v>
      </c>
      <c r="I1471" s="8">
        <v>2871</v>
      </c>
      <c r="J1471" s="10">
        <v>2187.48</v>
      </c>
      <c r="K1471" s="10">
        <v>0</v>
      </c>
      <c r="L1471" s="10">
        <v>35.78</v>
      </c>
      <c r="M1471" s="10">
        <v>2223.2600000000002</v>
      </c>
      <c r="N1471" s="8">
        <v>5</v>
      </c>
      <c r="O1471" s="6">
        <v>1.9</v>
      </c>
    </row>
    <row r="1472" spans="1:15" x14ac:dyDescent="0.25">
      <c r="A1472" s="8">
        <v>55603</v>
      </c>
      <c r="B1472" s="9" t="s">
        <v>5</v>
      </c>
      <c r="C1472" s="9" t="s">
        <v>44</v>
      </c>
      <c r="D1472" s="9" t="s">
        <v>7</v>
      </c>
      <c r="E1472" s="9" t="s">
        <v>17</v>
      </c>
      <c r="F1472" s="9" t="str">
        <f t="shared" si="22"/>
        <v>Not Delivered</v>
      </c>
      <c r="G1472" s="9" t="b">
        <v>1</v>
      </c>
      <c r="H1472" s="9" t="s">
        <v>4</v>
      </c>
      <c r="I1472" s="8">
        <v>6766</v>
      </c>
      <c r="J1472" s="10">
        <v>1281.92</v>
      </c>
      <c r="L1472" s="10">
        <v>261.14</v>
      </c>
      <c r="M1472" s="10">
        <v>1543.06</v>
      </c>
      <c r="N1472" s="8">
        <v>8</v>
      </c>
      <c r="O1472" s="6">
        <v>1.7</v>
      </c>
    </row>
    <row r="1473" spans="1:15" x14ac:dyDescent="0.25">
      <c r="A1473" s="8">
        <v>70012</v>
      </c>
      <c r="B1473" s="9" t="s">
        <v>23</v>
      </c>
      <c r="C1473" s="9" t="s">
        <v>48</v>
      </c>
      <c r="D1473" s="9" t="s">
        <v>7</v>
      </c>
      <c r="E1473" s="9" t="s">
        <v>21</v>
      </c>
      <c r="F1473" s="9" t="str">
        <f t="shared" si="22"/>
        <v>Not Delivered</v>
      </c>
      <c r="G1473" s="9" t="b">
        <v>1</v>
      </c>
      <c r="H1473" s="9" t="s">
        <v>18</v>
      </c>
      <c r="I1473" s="8">
        <v>3826</v>
      </c>
      <c r="J1473" s="10">
        <v>412.97</v>
      </c>
      <c r="K1473" s="10">
        <v>61.87</v>
      </c>
      <c r="L1473" s="10">
        <v>40.71</v>
      </c>
      <c r="M1473" s="10">
        <v>515.54999999999995</v>
      </c>
      <c r="N1473" s="8">
        <v>5</v>
      </c>
      <c r="O1473" s="6">
        <v>4.9000000000000004</v>
      </c>
    </row>
    <row r="1474" spans="1:15" x14ac:dyDescent="0.25">
      <c r="A1474" s="8">
        <v>98288</v>
      </c>
      <c r="B1474" s="9" t="s">
        <v>10</v>
      </c>
      <c r="C1474" s="9" t="s">
        <v>20</v>
      </c>
      <c r="D1474" s="9" t="s">
        <v>30</v>
      </c>
      <c r="E1474" s="9" t="s">
        <v>32</v>
      </c>
      <c r="F1474" s="9" t="str">
        <f t="shared" si="22"/>
        <v>Not Delivered</v>
      </c>
      <c r="G1474" s="9" t="b">
        <v>0</v>
      </c>
      <c r="H1474" s="9" t="s">
        <v>4</v>
      </c>
      <c r="I1474" s="8">
        <v>5873</v>
      </c>
      <c r="J1474" s="10">
        <v>1590.35</v>
      </c>
      <c r="K1474" s="10">
        <v>93.79</v>
      </c>
      <c r="L1474" s="10">
        <v>0</v>
      </c>
      <c r="M1474" s="10">
        <v>1684.14</v>
      </c>
      <c r="N1474" s="8">
        <v>14</v>
      </c>
      <c r="O1474" s="6">
        <v>4.5</v>
      </c>
    </row>
    <row r="1475" spans="1:15" x14ac:dyDescent="0.25">
      <c r="A1475" s="8">
        <v>90541</v>
      </c>
      <c r="B1475" s="9" t="s">
        <v>41</v>
      </c>
      <c r="C1475" s="9" t="s">
        <v>46</v>
      </c>
      <c r="D1475" s="9" t="s">
        <v>38</v>
      </c>
      <c r="E1475" s="9" t="s">
        <v>17</v>
      </c>
      <c r="F1475" s="9" t="str">
        <f t="shared" ref="F1475:F1538" si="23">IF(OR(
E1475="Failed Delivery",
E1475="Cancelled",
E1475="Pending",
E1475="Rescheduled",
E1475="In Transit"
),"Not Delivered","Delivered")</f>
        <v>Not Delivered</v>
      </c>
      <c r="G1475" s="9" t="b">
        <v>0</v>
      </c>
      <c r="H1475" s="9" t="s">
        <v>9</v>
      </c>
      <c r="I1475" s="8">
        <v>2388</v>
      </c>
      <c r="J1475" s="10">
        <v>1495.73</v>
      </c>
      <c r="K1475" s="10">
        <v>90.84</v>
      </c>
      <c r="L1475" s="10">
        <v>0</v>
      </c>
      <c r="M1475" s="10">
        <v>1586.57</v>
      </c>
      <c r="N1475" s="8">
        <v>4</v>
      </c>
      <c r="O1475" s="6">
        <v>2.8</v>
      </c>
    </row>
    <row r="1476" spans="1:15" x14ac:dyDescent="0.25">
      <c r="A1476" s="8">
        <v>98094</v>
      </c>
      <c r="B1476" s="9" t="s">
        <v>0</v>
      </c>
      <c r="C1476" s="9" t="s">
        <v>43</v>
      </c>
      <c r="D1476" s="9" t="s">
        <v>19</v>
      </c>
      <c r="E1476" s="9" t="s">
        <v>3</v>
      </c>
      <c r="F1476" s="9" t="str">
        <f t="shared" si="23"/>
        <v>Not Delivered</v>
      </c>
      <c r="G1476" s="9" t="b">
        <v>1</v>
      </c>
      <c r="H1476" s="9" t="s">
        <v>18</v>
      </c>
      <c r="I1476" s="8">
        <v>3194</v>
      </c>
      <c r="J1476" s="10">
        <v>1048.5899999999999</v>
      </c>
      <c r="K1476" s="10">
        <v>90.28</v>
      </c>
      <c r="L1476" s="10">
        <v>221.75</v>
      </c>
      <c r="M1476" s="10">
        <v>1360.62</v>
      </c>
      <c r="N1476" s="8">
        <v>1</v>
      </c>
      <c r="O1476" s="6">
        <v>4.8</v>
      </c>
    </row>
    <row r="1477" spans="1:15" x14ac:dyDescent="0.25">
      <c r="A1477" s="8">
        <v>51049</v>
      </c>
      <c r="B1477" s="9" t="s">
        <v>23</v>
      </c>
      <c r="C1477" s="9" t="s">
        <v>60</v>
      </c>
      <c r="D1477" s="9" t="s">
        <v>35</v>
      </c>
      <c r="E1477" s="9" t="s">
        <v>8</v>
      </c>
      <c r="F1477" s="9" t="str">
        <f t="shared" si="23"/>
        <v>Not Delivered</v>
      </c>
      <c r="G1477" s="9" t="b">
        <v>1</v>
      </c>
      <c r="H1477" s="9" t="s">
        <v>28</v>
      </c>
      <c r="I1477" s="8">
        <v>2931</v>
      </c>
      <c r="J1477" s="10">
        <v>1190.5</v>
      </c>
      <c r="K1477" s="10">
        <v>0</v>
      </c>
      <c r="L1477" s="10">
        <v>41.47</v>
      </c>
      <c r="M1477" s="10">
        <v>1231.97</v>
      </c>
      <c r="N1477" s="8">
        <v>3</v>
      </c>
      <c r="O1477" s="6">
        <v>3.5</v>
      </c>
    </row>
    <row r="1478" spans="1:15" x14ac:dyDescent="0.25">
      <c r="A1478" s="8">
        <v>41270</v>
      </c>
      <c r="B1478" s="9" t="s">
        <v>5</v>
      </c>
      <c r="C1478" s="9" t="s">
        <v>44</v>
      </c>
      <c r="D1478" s="9" t="s">
        <v>27</v>
      </c>
      <c r="E1478" s="9" t="s">
        <v>13</v>
      </c>
      <c r="F1478" s="9" t="str">
        <f t="shared" si="23"/>
        <v>Delivered</v>
      </c>
      <c r="G1478" s="9" t="b">
        <v>0</v>
      </c>
      <c r="H1478" s="9" t="s">
        <v>9</v>
      </c>
      <c r="I1478" s="8">
        <v>6003</v>
      </c>
      <c r="J1478" s="10">
        <v>1761.12</v>
      </c>
      <c r="K1478" s="10">
        <v>51.48</v>
      </c>
      <c r="L1478" s="10">
        <v>0</v>
      </c>
      <c r="M1478" s="10">
        <v>1812.6</v>
      </c>
      <c r="N1478" s="8">
        <v>9</v>
      </c>
      <c r="O1478" s="6">
        <v>4.7</v>
      </c>
    </row>
    <row r="1479" spans="1:15" x14ac:dyDescent="0.25">
      <c r="A1479" s="8">
        <v>25328</v>
      </c>
      <c r="B1479" s="9" t="s">
        <v>41</v>
      </c>
      <c r="C1479" s="9" t="s">
        <v>46</v>
      </c>
      <c r="D1479" s="9" t="s">
        <v>45</v>
      </c>
      <c r="E1479" s="9" t="s">
        <v>21</v>
      </c>
      <c r="F1479" s="9" t="str">
        <f t="shared" si="23"/>
        <v>Not Delivered</v>
      </c>
      <c r="G1479" s="9" t="b">
        <v>1</v>
      </c>
      <c r="H1479" s="9" t="s">
        <v>4</v>
      </c>
      <c r="I1479" s="8">
        <v>3999</v>
      </c>
      <c r="J1479" s="10">
        <v>1911.48</v>
      </c>
      <c r="K1479" s="10">
        <v>127.01</v>
      </c>
      <c r="L1479" s="10">
        <v>49.54</v>
      </c>
      <c r="M1479" s="10">
        <v>2088.0300000000002</v>
      </c>
      <c r="N1479" s="8">
        <v>3</v>
      </c>
      <c r="O1479" s="6">
        <v>2.6</v>
      </c>
    </row>
    <row r="1480" spans="1:15" x14ac:dyDescent="0.25">
      <c r="A1480" s="8">
        <v>58929</v>
      </c>
      <c r="B1480" s="9" t="s">
        <v>41</v>
      </c>
      <c r="C1480" s="9" t="s">
        <v>61</v>
      </c>
      <c r="D1480" s="9" t="s">
        <v>2</v>
      </c>
      <c r="E1480" s="9" t="s">
        <v>8</v>
      </c>
      <c r="F1480" s="9" t="str">
        <f t="shared" si="23"/>
        <v>Not Delivered</v>
      </c>
      <c r="G1480" s="9" t="b">
        <v>1</v>
      </c>
      <c r="H1480" s="9" t="s">
        <v>22</v>
      </c>
      <c r="I1480" s="8">
        <v>3316</v>
      </c>
      <c r="J1480" s="10">
        <v>817.48</v>
      </c>
      <c r="K1480" s="10">
        <v>104.19</v>
      </c>
      <c r="L1480" s="10">
        <v>56.34</v>
      </c>
      <c r="M1480" s="10">
        <v>978.01</v>
      </c>
      <c r="N1480" s="8">
        <v>1</v>
      </c>
      <c r="O1480" s="6">
        <v>4.2</v>
      </c>
    </row>
    <row r="1481" spans="1:15" x14ac:dyDescent="0.25">
      <c r="A1481" s="8">
        <v>76954</v>
      </c>
      <c r="B1481" s="9" t="s">
        <v>23</v>
      </c>
      <c r="C1481" s="9" t="s">
        <v>48</v>
      </c>
      <c r="D1481" s="9" t="s">
        <v>50</v>
      </c>
      <c r="E1481" s="9" t="s">
        <v>21</v>
      </c>
      <c r="F1481" s="9" t="str">
        <f t="shared" si="23"/>
        <v>Not Delivered</v>
      </c>
      <c r="G1481" s="9" t="b">
        <v>0</v>
      </c>
      <c r="H1481" s="9" t="s">
        <v>33</v>
      </c>
      <c r="I1481" s="8">
        <v>7364</v>
      </c>
      <c r="J1481" s="10">
        <v>2549.0300000000002</v>
      </c>
      <c r="K1481" s="10">
        <v>121.92</v>
      </c>
      <c r="L1481" s="10">
        <v>0</v>
      </c>
      <c r="M1481" s="10">
        <v>2670.95</v>
      </c>
      <c r="N1481" s="8">
        <v>9</v>
      </c>
      <c r="O1481" s="6">
        <v>3.6</v>
      </c>
    </row>
    <row r="1482" spans="1:15" x14ac:dyDescent="0.25">
      <c r="A1482" s="8">
        <v>64819</v>
      </c>
      <c r="B1482" s="9" t="s">
        <v>0</v>
      </c>
      <c r="C1482" s="9" t="s">
        <v>43</v>
      </c>
      <c r="D1482" s="9" t="s">
        <v>45</v>
      </c>
      <c r="E1482" s="9" t="s">
        <v>17</v>
      </c>
      <c r="F1482" s="9" t="str">
        <f t="shared" si="23"/>
        <v>Not Delivered</v>
      </c>
      <c r="G1482" s="9" t="b">
        <v>0</v>
      </c>
      <c r="H1482" s="9" t="s">
        <v>22</v>
      </c>
      <c r="I1482" s="8">
        <v>3258</v>
      </c>
      <c r="J1482" s="10">
        <v>995.14</v>
      </c>
      <c r="K1482" s="10">
        <v>114.73</v>
      </c>
      <c r="L1482" s="10">
        <v>0</v>
      </c>
      <c r="M1482" s="10">
        <v>1109.8699999999999</v>
      </c>
      <c r="N1482" s="8">
        <v>6</v>
      </c>
      <c r="O1482" s="6">
        <v>3.2</v>
      </c>
    </row>
    <row r="1483" spans="1:15" x14ac:dyDescent="0.25">
      <c r="A1483" s="8">
        <v>85340</v>
      </c>
      <c r="B1483" s="9" t="s">
        <v>0</v>
      </c>
      <c r="C1483" s="9" t="s">
        <v>37</v>
      </c>
      <c r="D1483" s="9" t="s">
        <v>27</v>
      </c>
      <c r="E1483" s="9" t="s">
        <v>32</v>
      </c>
      <c r="F1483" s="9" t="str">
        <f t="shared" si="23"/>
        <v>Not Delivered</v>
      </c>
      <c r="G1483" s="9" t="b">
        <v>1</v>
      </c>
      <c r="H1483" s="9" t="s">
        <v>4</v>
      </c>
      <c r="I1483" s="8">
        <v>7286</v>
      </c>
      <c r="J1483" s="10">
        <v>301.25</v>
      </c>
      <c r="K1483" s="10">
        <v>94.27</v>
      </c>
      <c r="L1483" s="10">
        <v>217.14</v>
      </c>
      <c r="M1483" s="10">
        <v>612.66</v>
      </c>
      <c r="N1483" s="8">
        <v>8</v>
      </c>
      <c r="O1483" s="6">
        <v>4.0999999999999996</v>
      </c>
    </row>
    <row r="1484" spans="1:15" x14ac:dyDescent="0.25">
      <c r="A1484" s="8">
        <v>65448</v>
      </c>
      <c r="B1484" s="9" t="s">
        <v>41</v>
      </c>
      <c r="C1484" s="9" t="s">
        <v>42</v>
      </c>
      <c r="D1484" s="9" t="s">
        <v>2</v>
      </c>
      <c r="E1484" s="9" t="s">
        <v>21</v>
      </c>
      <c r="F1484" s="9" t="str">
        <f t="shared" si="23"/>
        <v>Not Delivered</v>
      </c>
      <c r="G1484" s="9" t="b">
        <v>1</v>
      </c>
      <c r="H1484" s="9" t="s">
        <v>9</v>
      </c>
      <c r="I1484" s="8">
        <v>4043</v>
      </c>
      <c r="J1484" s="10">
        <v>904.78</v>
      </c>
      <c r="K1484" s="10">
        <v>146.35</v>
      </c>
      <c r="L1484" s="10">
        <v>224.23</v>
      </c>
      <c r="M1484" s="10">
        <v>1275.3599999999999</v>
      </c>
      <c r="N1484" s="8">
        <v>9</v>
      </c>
      <c r="O1484" s="6">
        <v>3.2</v>
      </c>
    </row>
    <row r="1485" spans="1:15" x14ac:dyDescent="0.25">
      <c r="A1485" s="8">
        <v>73788</v>
      </c>
      <c r="B1485" s="9" t="s">
        <v>41</v>
      </c>
      <c r="C1485" s="9" t="s">
        <v>42</v>
      </c>
      <c r="D1485" s="9" t="s">
        <v>27</v>
      </c>
      <c r="E1485" s="9" t="s">
        <v>21</v>
      </c>
      <c r="F1485" s="9" t="str">
        <f t="shared" si="23"/>
        <v>Not Delivered</v>
      </c>
      <c r="G1485" s="9" t="b">
        <v>1</v>
      </c>
      <c r="H1485" s="9" t="s">
        <v>33</v>
      </c>
      <c r="I1485" s="8">
        <v>9804</v>
      </c>
      <c r="J1485" s="10">
        <v>1880.79</v>
      </c>
      <c r="K1485" s="10">
        <v>0</v>
      </c>
      <c r="L1485" s="10">
        <v>151.61000000000001</v>
      </c>
      <c r="M1485" s="10">
        <v>2032.4</v>
      </c>
      <c r="N1485" s="8">
        <v>4</v>
      </c>
      <c r="O1485" s="6">
        <v>4</v>
      </c>
    </row>
    <row r="1486" spans="1:15" x14ac:dyDescent="0.25">
      <c r="A1486" s="8">
        <v>94575</v>
      </c>
      <c r="B1486" s="9" t="s">
        <v>0</v>
      </c>
      <c r="C1486" s="9" t="s">
        <v>43</v>
      </c>
      <c r="D1486" s="9" t="s">
        <v>35</v>
      </c>
      <c r="E1486" s="9" t="s">
        <v>3</v>
      </c>
      <c r="F1486" s="9" t="str">
        <f t="shared" si="23"/>
        <v>Not Delivered</v>
      </c>
      <c r="G1486" s="9" t="b">
        <v>1</v>
      </c>
      <c r="H1486" s="9" t="s">
        <v>9</v>
      </c>
      <c r="I1486" s="8">
        <v>3838</v>
      </c>
      <c r="J1486" s="10">
        <v>151.08000000000001</v>
      </c>
      <c r="L1486" s="10">
        <v>105.19</v>
      </c>
      <c r="M1486" s="10">
        <v>329.54</v>
      </c>
      <c r="N1486" s="8">
        <v>5</v>
      </c>
      <c r="O1486" s="6">
        <v>3.7</v>
      </c>
    </row>
    <row r="1487" spans="1:15" x14ac:dyDescent="0.25">
      <c r="A1487" s="8">
        <v>82733</v>
      </c>
      <c r="B1487" s="9" t="s">
        <v>0</v>
      </c>
      <c r="C1487" s="9" t="s">
        <v>43</v>
      </c>
      <c r="D1487" s="9" t="s">
        <v>35</v>
      </c>
      <c r="E1487" s="9" t="s">
        <v>13</v>
      </c>
      <c r="F1487" s="9" t="str">
        <f t="shared" si="23"/>
        <v>Delivered</v>
      </c>
      <c r="G1487" s="9" t="b">
        <v>1</v>
      </c>
      <c r="H1487" s="9" t="s">
        <v>33</v>
      </c>
      <c r="I1487" s="8">
        <v>3733</v>
      </c>
      <c r="J1487" s="10">
        <v>697.6</v>
      </c>
      <c r="K1487" s="10">
        <v>53.83</v>
      </c>
      <c r="L1487" s="10">
        <v>63.98</v>
      </c>
      <c r="M1487" s="10">
        <v>815.41</v>
      </c>
      <c r="N1487" s="8">
        <v>9</v>
      </c>
      <c r="O1487" s="6">
        <v>4</v>
      </c>
    </row>
    <row r="1488" spans="1:15" x14ac:dyDescent="0.25">
      <c r="A1488" s="8">
        <v>74178</v>
      </c>
      <c r="B1488" s="9" t="s">
        <v>23</v>
      </c>
      <c r="C1488" s="9" t="s">
        <v>34</v>
      </c>
      <c r="D1488" s="9" t="s">
        <v>27</v>
      </c>
      <c r="E1488" s="9" t="s">
        <v>32</v>
      </c>
      <c r="F1488" s="9" t="str">
        <f t="shared" si="23"/>
        <v>Not Delivered</v>
      </c>
      <c r="G1488" s="9" t="b">
        <v>0</v>
      </c>
      <c r="H1488" s="9" t="s">
        <v>22</v>
      </c>
      <c r="I1488" s="8">
        <v>5732</v>
      </c>
      <c r="J1488" s="10">
        <v>1270.54</v>
      </c>
      <c r="K1488" s="10">
        <v>69.61</v>
      </c>
      <c r="L1488" s="10">
        <v>0</v>
      </c>
      <c r="M1488" s="10">
        <v>1340.15</v>
      </c>
      <c r="N1488" s="8">
        <v>14</v>
      </c>
      <c r="O1488" s="6">
        <v>2.2000000000000002</v>
      </c>
    </row>
    <row r="1489" spans="1:15" x14ac:dyDescent="0.25">
      <c r="A1489" s="8">
        <v>28388</v>
      </c>
      <c r="B1489" s="9" t="s">
        <v>23</v>
      </c>
      <c r="C1489" s="9" t="s">
        <v>48</v>
      </c>
      <c r="D1489" s="9" t="s">
        <v>19</v>
      </c>
      <c r="E1489" s="9" t="s">
        <v>21</v>
      </c>
      <c r="F1489" s="9" t="str">
        <f t="shared" si="23"/>
        <v>Not Delivered</v>
      </c>
      <c r="G1489" s="9" t="b">
        <v>0</v>
      </c>
      <c r="H1489" s="9" t="s">
        <v>18</v>
      </c>
      <c r="I1489" s="8">
        <v>4065</v>
      </c>
      <c r="J1489" s="10">
        <v>1668.2</v>
      </c>
      <c r="K1489" s="10">
        <v>76.930000000000007</v>
      </c>
      <c r="L1489" s="10">
        <v>0</v>
      </c>
      <c r="M1489" s="10">
        <v>1745.13</v>
      </c>
      <c r="N1489" s="8">
        <v>14</v>
      </c>
      <c r="O1489" s="6">
        <v>4.5</v>
      </c>
    </row>
    <row r="1490" spans="1:15" x14ac:dyDescent="0.25">
      <c r="A1490" s="8">
        <v>51232</v>
      </c>
      <c r="B1490" s="9" t="s">
        <v>5</v>
      </c>
      <c r="C1490" s="9" t="s">
        <v>56</v>
      </c>
      <c r="D1490" s="9" t="s">
        <v>45</v>
      </c>
      <c r="E1490" s="9" t="s">
        <v>32</v>
      </c>
      <c r="F1490" s="9" t="str">
        <f t="shared" si="23"/>
        <v>Not Delivered</v>
      </c>
      <c r="G1490" s="9" t="b">
        <v>0</v>
      </c>
      <c r="H1490" s="9" t="s">
        <v>33</v>
      </c>
      <c r="I1490" s="8">
        <v>8389</v>
      </c>
      <c r="J1490" s="10">
        <v>1131.27</v>
      </c>
      <c r="K1490" s="10">
        <v>0</v>
      </c>
      <c r="L1490" s="10">
        <v>0</v>
      </c>
      <c r="M1490" s="10">
        <v>1131.27</v>
      </c>
      <c r="N1490" s="8">
        <v>3</v>
      </c>
      <c r="O1490" s="6">
        <v>2.4</v>
      </c>
    </row>
    <row r="1491" spans="1:15" x14ac:dyDescent="0.25">
      <c r="A1491" s="8">
        <v>91187</v>
      </c>
      <c r="B1491" s="9" t="s">
        <v>39</v>
      </c>
      <c r="C1491" s="9" t="s">
        <v>40</v>
      </c>
      <c r="D1491" s="9" t="s">
        <v>19</v>
      </c>
      <c r="E1491" s="9" t="s">
        <v>21</v>
      </c>
      <c r="F1491" s="9" t="str">
        <f t="shared" si="23"/>
        <v>Not Delivered</v>
      </c>
      <c r="G1491" s="9" t="b">
        <v>1</v>
      </c>
      <c r="H1491" s="9" t="s">
        <v>4</v>
      </c>
      <c r="I1491" s="8">
        <v>1878</v>
      </c>
      <c r="J1491" s="10">
        <v>1455.45</v>
      </c>
      <c r="K1491" s="10">
        <v>0</v>
      </c>
      <c r="L1491" s="10">
        <v>67.17</v>
      </c>
      <c r="M1491" s="10">
        <v>1522.62</v>
      </c>
      <c r="N1491" s="8">
        <v>10</v>
      </c>
      <c r="O1491" s="6">
        <v>2.5</v>
      </c>
    </row>
    <row r="1492" spans="1:15" x14ac:dyDescent="0.25">
      <c r="A1492" s="8">
        <v>57059</v>
      </c>
      <c r="B1492" s="9" t="s">
        <v>41</v>
      </c>
      <c r="C1492" s="9" t="s">
        <v>42</v>
      </c>
      <c r="D1492" s="9" t="s">
        <v>30</v>
      </c>
      <c r="E1492" s="9" t="s">
        <v>13</v>
      </c>
      <c r="F1492" s="9" t="str">
        <f t="shared" si="23"/>
        <v>Delivered</v>
      </c>
      <c r="G1492" s="9" t="b">
        <v>0</v>
      </c>
      <c r="H1492" s="9" t="s">
        <v>4</v>
      </c>
      <c r="I1492" s="8">
        <v>1157</v>
      </c>
      <c r="J1492" s="10">
        <v>1112.31</v>
      </c>
      <c r="K1492" s="10">
        <v>0</v>
      </c>
      <c r="L1492" s="10">
        <v>0</v>
      </c>
      <c r="M1492" s="10">
        <v>1112.31</v>
      </c>
      <c r="N1492" s="8">
        <v>9</v>
      </c>
      <c r="O1492" s="6">
        <v>2.5</v>
      </c>
    </row>
    <row r="1493" spans="1:15" x14ac:dyDescent="0.25">
      <c r="A1493" s="8">
        <v>73518</v>
      </c>
      <c r="B1493" s="9" t="s">
        <v>41</v>
      </c>
      <c r="C1493" s="9" t="s">
        <v>61</v>
      </c>
      <c r="D1493" s="9" t="s">
        <v>50</v>
      </c>
      <c r="E1493" s="9" t="s">
        <v>8</v>
      </c>
      <c r="F1493" s="9" t="str">
        <f t="shared" si="23"/>
        <v>Not Delivered</v>
      </c>
      <c r="G1493" s="9" t="b">
        <v>0</v>
      </c>
      <c r="H1493" s="9" t="s">
        <v>18</v>
      </c>
      <c r="I1493" s="8">
        <v>3236</v>
      </c>
      <c r="J1493" s="10">
        <v>1963.17</v>
      </c>
      <c r="K1493" s="10">
        <v>78.73</v>
      </c>
      <c r="L1493" s="10">
        <v>0</v>
      </c>
      <c r="M1493" s="10">
        <v>2041.9</v>
      </c>
      <c r="N1493" s="8">
        <v>4</v>
      </c>
    </row>
    <row r="1494" spans="1:15" x14ac:dyDescent="0.25">
      <c r="A1494" s="8">
        <v>35575</v>
      </c>
      <c r="B1494" s="9" t="s">
        <v>5</v>
      </c>
      <c r="C1494" s="9" t="s">
        <v>31</v>
      </c>
      <c r="D1494" s="9" t="s">
        <v>30</v>
      </c>
      <c r="E1494" s="9" t="s">
        <v>8</v>
      </c>
      <c r="F1494" s="9" t="str">
        <f t="shared" si="23"/>
        <v>Not Delivered</v>
      </c>
      <c r="G1494" s="9" t="b">
        <v>1</v>
      </c>
      <c r="H1494" s="9" t="s">
        <v>33</v>
      </c>
      <c r="I1494" s="8">
        <v>7290</v>
      </c>
      <c r="J1494" s="10">
        <v>2255.89</v>
      </c>
      <c r="K1494" s="10">
        <v>57.45</v>
      </c>
      <c r="L1494" s="10">
        <v>239.85</v>
      </c>
      <c r="M1494" s="10">
        <v>2553.19</v>
      </c>
      <c r="N1494" s="8">
        <v>3</v>
      </c>
    </row>
    <row r="1495" spans="1:15" x14ac:dyDescent="0.25">
      <c r="A1495" s="8">
        <v>83607</v>
      </c>
      <c r="B1495" s="9" t="s">
        <v>41</v>
      </c>
      <c r="C1495" s="9" t="s">
        <v>46</v>
      </c>
      <c r="D1495" s="9" t="s">
        <v>50</v>
      </c>
      <c r="E1495" s="9" t="s">
        <v>3</v>
      </c>
      <c r="F1495" s="9" t="str">
        <f t="shared" si="23"/>
        <v>Not Delivered</v>
      </c>
      <c r="G1495" s="9" t="b">
        <v>0</v>
      </c>
      <c r="H1495" s="9" t="s">
        <v>4</v>
      </c>
      <c r="I1495" s="8">
        <v>9281</v>
      </c>
      <c r="J1495" s="10">
        <v>892.09</v>
      </c>
      <c r="K1495" s="10">
        <v>0</v>
      </c>
      <c r="L1495" s="10">
        <v>0</v>
      </c>
      <c r="M1495" s="10">
        <v>892.09</v>
      </c>
      <c r="N1495" s="8">
        <v>4</v>
      </c>
      <c r="O1495" s="6">
        <v>1.4</v>
      </c>
    </row>
    <row r="1496" spans="1:15" x14ac:dyDescent="0.25">
      <c r="A1496" s="8">
        <v>95599</v>
      </c>
      <c r="B1496" s="9" t="s">
        <v>10</v>
      </c>
      <c r="C1496" s="9" t="s">
        <v>11</v>
      </c>
      <c r="D1496" s="9" t="s">
        <v>30</v>
      </c>
      <c r="E1496" s="9" t="s">
        <v>17</v>
      </c>
      <c r="F1496" s="9" t="str">
        <f t="shared" si="23"/>
        <v>Not Delivered</v>
      </c>
      <c r="G1496" s="9" t="b">
        <v>1</v>
      </c>
      <c r="H1496" s="9" t="s">
        <v>28</v>
      </c>
      <c r="I1496" s="8">
        <v>9109</v>
      </c>
      <c r="J1496" s="10">
        <v>484.36</v>
      </c>
      <c r="K1496" s="10">
        <v>41.24</v>
      </c>
      <c r="L1496" s="10">
        <v>161.94</v>
      </c>
      <c r="M1496" s="10">
        <v>687.54</v>
      </c>
      <c r="N1496" s="8">
        <v>4</v>
      </c>
      <c r="O1496" s="6">
        <v>2.9</v>
      </c>
    </row>
    <row r="1497" spans="1:15" x14ac:dyDescent="0.25">
      <c r="A1497" s="8">
        <v>63626</v>
      </c>
      <c r="B1497" s="9" t="s">
        <v>39</v>
      </c>
      <c r="C1497" s="9" t="s">
        <v>58</v>
      </c>
      <c r="D1497" s="9" t="s">
        <v>27</v>
      </c>
      <c r="E1497" s="9" t="s">
        <v>17</v>
      </c>
      <c r="F1497" s="9" t="str">
        <f t="shared" si="23"/>
        <v>Not Delivered</v>
      </c>
      <c r="G1497" s="9" t="b">
        <v>0</v>
      </c>
      <c r="H1497" s="9" t="s">
        <v>33</v>
      </c>
      <c r="I1497" s="8">
        <v>9056</v>
      </c>
      <c r="J1497" s="10">
        <v>1289.21</v>
      </c>
      <c r="K1497" s="10">
        <v>0</v>
      </c>
      <c r="L1497" s="10">
        <v>0</v>
      </c>
      <c r="M1497" s="10">
        <v>1289.21</v>
      </c>
      <c r="N1497" s="8">
        <v>14</v>
      </c>
    </row>
    <row r="1498" spans="1:15" x14ac:dyDescent="0.25">
      <c r="A1498" s="8">
        <v>64477</v>
      </c>
      <c r="B1498" s="9" t="s">
        <v>5</v>
      </c>
      <c r="C1498" s="9" t="s">
        <v>6</v>
      </c>
      <c r="D1498" s="9" t="s">
        <v>38</v>
      </c>
      <c r="E1498" s="9" t="s">
        <v>21</v>
      </c>
      <c r="F1498" s="9" t="str">
        <f t="shared" si="23"/>
        <v>Not Delivered</v>
      </c>
      <c r="G1498" s="9" t="b">
        <v>0</v>
      </c>
      <c r="H1498" s="9" t="s">
        <v>18</v>
      </c>
      <c r="I1498" s="8">
        <v>8272</v>
      </c>
      <c r="J1498" s="10">
        <v>1985.57</v>
      </c>
      <c r="K1498" s="10">
        <v>0</v>
      </c>
      <c r="L1498" s="10">
        <v>0</v>
      </c>
      <c r="M1498" s="10">
        <v>1985.57</v>
      </c>
      <c r="N1498" s="8">
        <v>10</v>
      </c>
      <c r="O1498" s="6">
        <v>5</v>
      </c>
    </row>
    <row r="1499" spans="1:15" x14ac:dyDescent="0.25">
      <c r="A1499" s="8">
        <v>74054</v>
      </c>
      <c r="B1499" s="9" t="s">
        <v>39</v>
      </c>
      <c r="C1499" s="9" t="s">
        <v>55</v>
      </c>
      <c r="E1499" s="9" t="s">
        <v>21</v>
      </c>
      <c r="F1499" s="9" t="str">
        <f t="shared" si="23"/>
        <v>Not Delivered</v>
      </c>
      <c r="G1499" s="9" t="b">
        <v>1</v>
      </c>
      <c r="H1499" s="9" t="s">
        <v>18</v>
      </c>
      <c r="I1499" s="8">
        <v>3740</v>
      </c>
      <c r="J1499" s="10">
        <v>165.4</v>
      </c>
      <c r="K1499" s="10">
        <v>79.94</v>
      </c>
      <c r="L1499" s="10">
        <v>151.01</v>
      </c>
      <c r="M1499" s="10">
        <v>396.35</v>
      </c>
      <c r="N1499" s="8">
        <v>6</v>
      </c>
    </row>
    <row r="1500" spans="1:15" x14ac:dyDescent="0.25">
      <c r="A1500" s="8">
        <v>20835</v>
      </c>
      <c r="B1500" s="9" t="s">
        <v>10</v>
      </c>
      <c r="C1500" s="9" t="s">
        <v>20</v>
      </c>
      <c r="D1500" s="9" t="s">
        <v>16</v>
      </c>
      <c r="E1500" s="9" t="s">
        <v>3</v>
      </c>
      <c r="F1500" s="9" t="str">
        <f t="shared" si="23"/>
        <v>Not Delivered</v>
      </c>
      <c r="G1500" s="9" t="b">
        <v>0</v>
      </c>
      <c r="H1500" s="9" t="s">
        <v>4</v>
      </c>
      <c r="I1500" s="8">
        <v>1505</v>
      </c>
      <c r="J1500" s="10">
        <v>409.3</v>
      </c>
      <c r="K1500" s="10">
        <v>35.26</v>
      </c>
      <c r="L1500" s="10">
        <v>0</v>
      </c>
      <c r="M1500" s="10">
        <v>444.56</v>
      </c>
      <c r="N1500" s="8">
        <v>9</v>
      </c>
      <c r="O1500" s="6">
        <v>4.2</v>
      </c>
    </row>
    <row r="1501" spans="1:15" x14ac:dyDescent="0.25">
      <c r="A1501" s="8">
        <v>38905</v>
      </c>
      <c r="B1501" s="9" t="s">
        <v>10</v>
      </c>
      <c r="C1501" s="9" t="s">
        <v>15</v>
      </c>
      <c r="D1501" s="9" t="s">
        <v>45</v>
      </c>
      <c r="E1501" s="9" t="s">
        <v>8</v>
      </c>
      <c r="F1501" s="9" t="str">
        <f t="shared" si="23"/>
        <v>Not Delivered</v>
      </c>
      <c r="G1501" s="9" t="b">
        <v>0</v>
      </c>
      <c r="H1501" s="9" t="s">
        <v>33</v>
      </c>
      <c r="I1501" s="8">
        <v>5785</v>
      </c>
      <c r="J1501" s="10">
        <v>1062.23</v>
      </c>
      <c r="K1501" s="10">
        <v>94.98</v>
      </c>
      <c r="L1501" s="10">
        <v>0</v>
      </c>
      <c r="M1501" s="10">
        <v>1157.21</v>
      </c>
      <c r="N1501" s="8">
        <v>5</v>
      </c>
      <c r="O1501" s="6">
        <v>1.7</v>
      </c>
    </row>
    <row r="1502" spans="1:15" x14ac:dyDescent="0.25">
      <c r="A1502" s="8">
        <v>14285</v>
      </c>
      <c r="B1502" s="9" t="s">
        <v>41</v>
      </c>
      <c r="C1502" s="9" t="s">
        <v>61</v>
      </c>
      <c r="D1502" s="9" t="s">
        <v>35</v>
      </c>
      <c r="E1502" s="9" t="s">
        <v>8</v>
      </c>
      <c r="F1502" s="9" t="str">
        <f t="shared" si="23"/>
        <v>Not Delivered</v>
      </c>
      <c r="G1502" s="9" t="b">
        <v>0</v>
      </c>
      <c r="H1502" s="9" t="s">
        <v>14</v>
      </c>
      <c r="I1502" s="8">
        <v>5503</v>
      </c>
      <c r="J1502" s="10">
        <v>2462.94</v>
      </c>
      <c r="K1502" s="10">
        <v>77.959999999999994</v>
      </c>
      <c r="L1502" s="10">
        <v>0</v>
      </c>
      <c r="M1502" s="10">
        <v>2540.9</v>
      </c>
      <c r="N1502" s="8">
        <v>12</v>
      </c>
      <c r="O1502" s="6">
        <v>4.9000000000000004</v>
      </c>
    </row>
    <row r="1503" spans="1:15" x14ac:dyDescent="0.25">
      <c r="A1503" s="8">
        <v>39470</v>
      </c>
      <c r="B1503" s="9" t="s">
        <v>41</v>
      </c>
      <c r="C1503" s="9" t="s">
        <v>61</v>
      </c>
      <c r="D1503" s="9" t="s">
        <v>25</v>
      </c>
      <c r="E1503" s="9" t="s">
        <v>17</v>
      </c>
      <c r="F1503" s="9" t="str">
        <f t="shared" si="23"/>
        <v>Not Delivered</v>
      </c>
      <c r="G1503" s="9" t="b">
        <v>1</v>
      </c>
      <c r="H1503" s="9" t="s">
        <v>4</v>
      </c>
      <c r="I1503" s="8">
        <v>9808</v>
      </c>
      <c r="J1503" s="10">
        <v>691.11</v>
      </c>
      <c r="K1503" s="10">
        <v>0</v>
      </c>
      <c r="L1503" s="10">
        <v>45.31</v>
      </c>
      <c r="M1503" s="10">
        <v>736.42</v>
      </c>
      <c r="N1503" s="8">
        <v>7</v>
      </c>
      <c r="O1503" s="6">
        <v>1.1000000000000001</v>
      </c>
    </row>
    <row r="1504" spans="1:15" x14ac:dyDescent="0.25">
      <c r="A1504" s="8">
        <v>47836</v>
      </c>
      <c r="B1504" s="9" t="s">
        <v>23</v>
      </c>
      <c r="C1504" s="9" t="s">
        <v>49</v>
      </c>
      <c r="D1504" s="9" t="s">
        <v>12</v>
      </c>
      <c r="E1504" s="9" t="s">
        <v>13</v>
      </c>
      <c r="F1504" s="9" t="str">
        <f t="shared" si="23"/>
        <v>Delivered</v>
      </c>
      <c r="G1504" s="9" t="b">
        <v>1</v>
      </c>
      <c r="H1504" s="9" t="s">
        <v>14</v>
      </c>
      <c r="I1504" s="8">
        <v>3755</v>
      </c>
      <c r="J1504" s="10">
        <v>1211.6400000000001</v>
      </c>
      <c r="K1504" s="10">
        <v>0</v>
      </c>
      <c r="M1504" s="10">
        <v>1260.5999999999999</v>
      </c>
      <c r="N1504" s="8">
        <v>3</v>
      </c>
      <c r="O1504" s="6">
        <v>4.3</v>
      </c>
    </row>
    <row r="1505" spans="1:15" x14ac:dyDescent="0.25">
      <c r="A1505" s="8">
        <v>69942</v>
      </c>
      <c r="B1505" s="9" t="s">
        <v>10</v>
      </c>
      <c r="C1505" s="9" t="s">
        <v>26</v>
      </c>
      <c r="D1505" s="9" t="s">
        <v>16</v>
      </c>
      <c r="E1505" s="9" t="s">
        <v>21</v>
      </c>
      <c r="F1505" s="9" t="str">
        <f t="shared" si="23"/>
        <v>Not Delivered</v>
      </c>
      <c r="G1505" s="9" t="b">
        <v>0</v>
      </c>
      <c r="H1505" s="9" t="s">
        <v>22</v>
      </c>
      <c r="I1505" s="8">
        <v>9115</v>
      </c>
      <c r="J1505" s="10">
        <v>495.85</v>
      </c>
      <c r="K1505" s="10">
        <v>49.3</v>
      </c>
      <c r="L1505" s="10">
        <v>0</v>
      </c>
      <c r="M1505" s="10">
        <v>545.15</v>
      </c>
      <c r="N1505" s="8">
        <v>1</v>
      </c>
      <c r="O1505" s="6">
        <v>3.5</v>
      </c>
    </row>
    <row r="1506" spans="1:15" x14ac:dyDescent="0.25">
      <c r="A1506" s="8">
        <v>82053</v>
      </c>
      <c r="B1506" s="9" t="s">
        <v>23</v>
      </c>
      <c r="C1506" s="9" t="s">
        <v>48</v>
      </c>
      <c r="D1506" s="9" t="s">
        <v>45</v>
      </c>
      <c r="E1506" s="9" t="s">
        <v>32</v>
      </c>
      <c r="F1506" s="9" t="str">
        <f t="shared" si="23"/>
        <v>Not Delivered</v>
      </c>
      <c r="G1506" s="9" t="b">
        <v>0</v>
      </c>
      <c r="H1506" s="9" t="s">
        <v>9</v>
      </c>
      <c r="I1506" s="8">
        <v>9369</v>
      </c>
      <c r="J1506" s="10">
        <v>436.05</v>
      </c>
      <c r="K1506" s="10">
        <v>47.74</v>
      </c>
      <c r="L1506" s="10">
        <v>0</v>
      </c>
      <c r="M1506" s="10">
        <v>483.79</v>
      </c>
      <c r="N1506" s="8">
        <v>7</v>
      </c>
      <c r="O1506" s="6">
        <v>5</v>
      </c>
    </row>
    <row r="1507" spans="1:15" x14ac:dyDescent="0.25">
      <c r="A1507" s="8">
        <v>24838</v>
      </c>
      <c r="B1507" s="9" t="s">
        <v>0</v>
      </c>
      <c r="C1507" s="9" t="s">
        <v>53</v>
      </c>
      <c r="E1507" s="9" t="s">
        <v>13</v>
      </c>
      <c r="F1507" s="9" t="str">
        <f t="shared" si="23"/>
        <v>Delivered</v>
      </c>
      <c r="G1507" s="9" t="b">
        <v>0</v>
      </c>
      <c r="H1507" s="9" t="s">
        <v>14</v>
      </c>
      <c r="I1507" s="8">
        <v>2871</v>
      </c>
      <c r="J1507" s="10">
        <v>848.07</v>
      </c>
      <c r="K1507" s="10">
        <v>128.88</v>
      </c>
      <c r="L1507" s="10">
        <v>0</v>
      </c>
      <c r="M1507" s="10">
        <v>976.95</v>
      </c>
      <c r="N1507" s="8">
        <v>11</v>
      </c>
      <c r="O1507" s="6">
        <v>4</v>
      </c>
    </row>
    <row r="1508" spans="1:15" x14ac:dyDescent="0.25">
      <c r="A1508" s="8">
        <v>45112</v>
      </c>
      <c r="B1508" s="9" t="s">
        <v>41</v>
      </c>
      <c r="C1508" s="9" t="s">
        <v>46</v>
      </c>
      <c r="D1508" s="9" t="s">
        <v>12</v>
      </c>
      <c r="E1508" s="9" t="s">
        <v>8</v>
      </c>
      <c r="F1508" s="9" t="str">
        <f t="shared" si="23"/>
        <v>Not Delivered</v>
      </c>
      <c r="G1508" s="9" t="b">
        <v>1</v>
      </c>
      <c r="H1508" s="9" t="s">
        <v>28</v>
      </c>
      <c r="I1508" s="8">
        <v>9898</v>
      </c>
      <c r="J1508" s="10">
        <v>2322.33</v>
      </c>
      <c r="K1508" s="10">
        <v>0</v>
      </c>
      <c r="L1508" s="10">
        <v>90.27</v>
      </c>
      <c r="M1508" s="10">
        <v>2412.6</v>
      </c>
      <c r="N1508" s="8">
        <v>3</v>
      </c>
      <c r="O1508" s="6">
        <v>4.2</v>
      </c>
    </row>
    <row r="1509" spans="1:15" x14ac:dyDescent="0.25">
      <c r="A1509" s="8">
        <v>58085</v>
      </c>
      <c r="B1509" s="9" t="s">
        <v>23</v>
      </c>
      <c r="C1509" s="9" t="s">
        <v>60</v>
      </c>
      <c r="D1509" s="9" t="s">
        <v>12</v>
      </c>
      <c r="E1509" s="9" t="s">
        <v>21</v>
      </c>
      <c r="F1509" s="9" t="str">
        <f t="shared" si="23"/>
        <v>Not Delivered</v>
      </c>
      <c r="G1509" s="9" t="b">
        <v>1</v>
      </c>
      <c r="H1509" s="9" t="s">
        <v>28</v>
      </c>
      <c r="I1509" s="8">
        <v>9880</v>
      </c>
      <c r="J1509" s="10">
        <v>509.94</v>
      </c>
      <c r="K1509" s="10">
        <v>137.87</v>
      </c>
      <c r="L1509" s="10">
        <v>162.41</v>
      </c>
      <c r="M1509" s="10">
        <v>810.22</v>
      </c>
      <c r="N1509" s="8">
        <v>1</v>
      </c>
      <c r="O1509" s="6">
        <v>1</v>
      </c>
    </row>
    <row r="1510" spans="1:15" x14ac:dyDescent="0.25">
      <c r="A1510" s="8">
        <v>15453</v>
      </c>
      <c r="B1510" s="9" t="s">
        <v>39</v>
      </c>
      <c r="C1510" s="9" t="s">
        <v>52</v>
      </c>
      <c r="D1510" s="9" t="s">
        <v>7</v>
      </c>
      <c r="E1510" s="9" t="s">
        <v>3</v>
      </c>
      <c r="F1510" s="9" t="str">
        <f t="shared" si="23"/>
        <v>Not Delivered</v>
      </c>
      <c r="G1510" s="9" t="b">
        <v>0</v>
      </c>
      <c r="H1510" s="9" t="s">
        <v>9</v>
      </c>
      <c r="I1510" s="8">
        <v>8231</v>
      </c>
      <c r="J1510" s="10">
        <v>775.14</v>
      </c>
      <c r="K1510" s="10">
        <v>0</v>
      </c>
      <c r="L1510" s="10">
        <v>0</v>
      </c>
      <c r="M1510" s="10">
        <v>775.14</v>
      </c>
      <c r="N1510" s="8">
        <v>6</v>
      </c>
    </row>
    <row r="1511" spans="1:15" x14ac:dyDescent="0.25">
      <c r="A1511" s="8">
        <v>81611</v>
      </c>
      <c r="B1511" s="9" t="s">
        <v>41</v>
      </c>
      <c r="C1511" s="9" t="s">
        <v>47</v>
      </c>
      <c r="D1511" s="9" t="s">
        <v>30</v>
      </c>
      <c r="E1511" s="9" t="s">
        <v>8</v>
      </c>
      <c r="F1511" s="9" t="str">
        <f t="shared" si="23"/>
        <v>Not Delivered</v>
      </c>
      <c r="G1511" s="9" t="b">
        <v>1</v>
      </c>
      <c r="H1511" s="9" t="s">
        <v>33</v>
      </c>
      <c r="I1511" s="8">
        <v>4580</v>
      </c>
      <c r="J1511" s="10">
        <v>1763.35</v>
      </c>
      <c r="K1511" s="10">
        <v>0</v>
      </c>
      <c r="L1511" s="10">
        <v>148.01</v>
      </c>
      <c r="M1511" s="10">
        <v>1911.36</v>
      </c>
      <c r="N1511" s="8">
        <v>6</v>
      </c>
      <c r="O1511" s="6">
        <v>4.9000000000000004</v>
      </c>
    </row>
    <row r="1512" spans="1:15" x14ac:dyDescent="0.25">
      <c r="A1512" s="8">
        <v>65725</v>
      </c>
      <c r="B1512" s="9" t="s">
        <v>39</v>
      </c>
      <c r="C1512" s="9" t="s">
        <v>40</v>
      </c>
      <c r="D1512" s="9" t="s">
        <v>27</v>
      </c>
      <c r="E1512" s="9" t="s">
        <v>8</v>
      </c>
      <c r="F1512" s="9" t="str">
        <f t="shared" si="23"/>
        <v>Not Delivered</v>
      </c>
      <c r="G1512" s="9" t="b">
        <v>0</v>
      </c>
      <c r="H1512" s="9" t="s">
        <v>9</v>
      </c>
      <c r="I1512" s="8">
        <v>2677</v>
      </c>
      <c r="J1512" s="10">
        <v>618.04999999999995</v>
      </c>
      <c r="K1512" s="10">
        <v>144.21</v>
      </c>
      <c r="L1512" s="10">
        <v>0</v>
      </c>
      <c r="M1512" s="10">
        <v>762.26</v>
      </c>
      <c r="N1512" s="8">
        <v>3</v>
      </c>
      <c r="O1512" s="6">
        <v>3</v>
      </c>
    </row>
    <row r="1513" spans="1:15" x14ac:dyDescent="0.25">
      <c r="A1513" s="8">
        <v>95678</v>
      </c>
      <c r="B1513" s="9" t="s">
        <v>39</v>
      </c>
      <c r="C1513" s="9" t="s">
        <v>55</v>
      </c>
      <c r="D1513" s="9" t="s">
        <v>45</v>
      </c>
      <c r="E1513" s="9" t="s">
        <v>8</v>
      </c>
      <c r="F1513" s="9" t="str">
        <f t="shared" si="23"/>
        <v>Not Delivered</v>
      </c>
      <c r="G1513" s="9" t="b">
        <v>1</v>
      </c>
      <c r="H1513" s="9" t="s">
        <v>28</v>
      </c>
      <c r="I1513" s="8">
        <v>5055</v>
      </c>
      <c r="J1513" s="10">
        <v>422.35</v>
      </c>
      <c r="K1513" s="10">
        <v>32.67</v>
      </c>
      <c r="L1513" s="10">
        <v>85.91</v>
      </c>
      <c r="M1513" s="10">
        <v>540.92999999999995</v>
      </c>
      <c r="N1513" s="8">
        <v>2</v>
      </c>
      <c r="O1513" s="6">
        <v>1.7</v>
      </c>
    </row>
    <row r="1514" spans="1:15" x14ac:dyDescent="0.25">
      <c r="A1514" s="8">
        <v>49021</v>
      </c>
      <c r="B1514" s="9" t="s">
        <v>23</v>
      </c>
      <c r="C1514" s="9" t="s">
        <v>54</v>
      </c>
      <c r="D1514" s="9" t="s">
        <v>2</v>
      </c>
      <c r="E1514" s="9" t="s">
        <v>32</v>
      </c>
      <c r="F1514" s="9" t="str">
        <f t="shared" si="23"/>
        <v>Not Delivered</v>
      </c>
      <c r="G1514" s="9" t="b">
        <v>1</v>
      </c>
      <c r="H1514" s="9" t="s">
        <v>22</v>
      </c>
      <c r="I1514" s="8">
        <v>1528</v>
      </c>
      <c r="J1514" s="10">
        <v>2393.5500000000002</v>
      </c>
      <c r="K1514" s="10">
        <v>142.58000000000001</v>
      </c>
      <c r="L1514" s="10">
        <v>33.15</v>
      </c>
      <c r="M1514" s="10">
        <v>2569.2800000000002</v>
      </c>
      <c r="N1514" s="8">
        <v>3</v>
      </c>
      <c r="O1514" s="6">
        <v>4.8</v>
      </c>
    </row>
    <row r="1515" spans="1:15" x14ac:dyDescent="0.25">
      <c r="A1515" s="8">
        <v>68947</v>
      </c>
      <c r="B1515" s="9" t="s">
        <v>39</v>
      </c>
      <c r="C1515" s="9" t="s">
        <v>40</v>
      </c>
      <c r="D1515" s="9" t="s">
        <v>7</v>
      </c>
      <c r="E1515" s="9" t="s">
        <v>13</v>
      </c>
      <c r="F1515" s="9" t="str">
        <f t="shared" si="23"/>
        <v>Delivered</v>
      </c>
      <c r="G1515" s="9" t="b">
        <v>1</v>
      </c>
      <c r="H1515" s="9" t="s">
        <v>22</v>
      </c>
      <c r="I1515" s="8">
        <v>5305</v>
      </c>
      <c r="J1515" s="10">
        <v>1436.59</v>
      </c>
      <c r="K1515" s="10">
        <v>129.94</v>
      </c>
      <c r="M1515" s="10">
        <v>1690.16</v>
      </c>
      <c r="N1515" s="8">
        <v>9</v>
      </c>
    </row>
    <row r="1516" spans="1:15" x14ac:dyDescent="0.25">
      <c r="A1516" s="8">
        <v>55688</v>
      </c>
      <c r="B1516" s="9" t="s">
        <v>10</v>
      </c>
      <c r="C1516" s="9" t="s">
        <v>29</v>
      </c>
      <c r="D1516" s="9" t="s">
        <v>12</v>
      </c>
      <c r="E1516" s="9" t="s">
        <v>3</v>
      </c>
      <c r="F1516" s="9" t="str">
        <f t="shared" si="23"/>
        <v>Not Delivered</v>
      </c>
      <c r="G1516" s="9" t="b">
        <v>0</v>
      </c>
      <c r="H1516" s="9" t="s">
        <v>22</v>
      </c>
      <c r="I1516" s="8">
        <v>2425</v>
      </c>
      <c r="J1516" s="10">
        <v>1599.77</v>
      </c>
      <c r="K1516" s="10">
        <v>104.02</v>
      </c>
      <c r="L1516" s="10">
        <v>0</v>
      </c>
      <c r="M1516" s="10">
        <v>1703.79</v>
      </c>
      <c r="N1516" s="8">
        <v>9</v>
      </c>
      <c r="O1516" s="6">
        <v>2.1</v>
      </c>
    </row>
    <row r="1517" spans="1:15" x14ac:dyDescent="0.25">
      <c r="A1517" s="8">
        <v>67549</v>
      </c>
      <c r="B1517" s="9" t="s">
        <v>0</v>
      </c>
      <c r="C1517" s="9" t="s">
        <v>37</v>
      </c>
      <c r="D1517" s="9" t="s">
        <v>35</v>
      </c>
      <c r="E1517" s="9" t="s">
        <v>13</v>
      </c>
      <c r="F1517" s="9" t="str">
        <f t="shared" si="23"/>
        <v>Delivered</v>
      </c>
      <c r="G1517" s="9" t="b">
        <v>0</v>
      </c>
      <c r="H1517" s="9" t="s">
        <v>14</v>
      </c>
      <c r="I1517" s="8">
        <v>2923</v>
      </c>
      <c r="J1517" s="10">
        <v>1366.24</v>
      </c>
      <c r="K1517" s="10">
        <v>71.89</v>
      </c>
      <c r="L1517" s="10">
        <v>0</v>
      </c>
      <c r="M1517" s="10">
        <v>1438.13</v>
      </c>
      <c r="N1517" s="8">
        <v>5</v>
      </c>
      <c r="O1517" s="6">
        <v>1.1000000000000001</v>
      </c>
    </row>
    <row r="1518" spans="1:15" x14ac:dyDescent="0.25">
      <c r="A1518" s="8">
        <v>41056</v>
      </c>
      <c r="B1518" s="9" t="s">
        <v>10</v>
      </c>
      <c r="C1518" s="9" t="s">
        <v>15</v>
      </c>
      <c r="D1518" s="9" t="s">
        <v>45</v>
      </c>
      <c r="E1518" s="9" t="s">
        <v>17</v>
      </c>
      <c r="F1518" s="9" t="str">
        <f t="shared" si="23"/>
        <v>Not Delivered</v>
      </c>
      <c r="G1518" s="9" t="b">
        <v>1</v>
      </c>
      <c r="H1518" s="9" t="s">
        <v>28</v>
      </c>
      <c r="I1518" s="8">
        <v>4438</v>
      </c>
      <c r="J1518" s="10">
        <v>1640.45</v>
      </c>
      <c r="K1518" s="10">
        <v>111.12</v>
      </c>
      <c r="L1518" s="10">
        <v>94.66</v>
      </c>
      <c r="M1518" s="10">
        <v>1846.23</v>
      </c>
      <c r="N1518" s="8">
        <v>10</v>
      </c>
      <c r="O1518" s="6">
        <v>4.4000000000000004</v>
      </c>
    </row>
    <row r="1519" spans="1:15" x14ac:dyDescent="0.25">
      <c r="A1519" s="8">
        <v>87060</v>
      </c>
      <c r="B1519" s="9" t="s">
        <v>41</v>
      </c>
      <c r="C1519" s="9" t="s">
        <v>46</v>
      </c>
      <c r="E1519" s="9" t="s">
        <v>3</v>
      </c>
      <c r="F1519" s="9" t="str">
        <f t="shared" si="23"/>
        <v>Not Delivered</v>
      </c>
      <c r="G1519" s="9" t="b">
        <v>0</v>
      </c>
      <c r="H1519" s="9" t="s">
        <v>22</v>
      </c>
      <c r="I1519" s="8">
        <v>6744</v>
      </c>
      <c r="J1519" s="10">
        <v>1268.31</v>
      </c>
      <c r="K1519" s="10">
        <v>0</v>
      </c>
      <c r="L1519" s="10">
        <v>0</v>
      </c>
      <c r="M1519" s="10">
        <v>1268.31</v>
      </c>
      <c r="N1519" s="8">
        <v>4</v>
      </c>
      <c r="O1519" s="6">
        <v>3.4</v>
      </c>
    </row>
    <row r="1520" spans="1:15" x14ac:dyDescent="0.25">
      <c r="A1520" s="8">
        <v>89988</v>
      </c>
      <c r="B1520" s="9" t="s">
        <v>5</v>
      </c>
      <c r="C1520" s="9" t="s">
        <v>36</v>
      </c>
      <c r="D1520" s="9" t="s">
        <v>7</v>
      </c>
      <c r="E1520" s="9" t="s">
        <v>13</v>
      </c>
      <c r="F1520" s="9" t="str">
        <f t="shared" si="23"/>
        <v>Delivered</v>
      </c>
      <c r="G1520" s="9" t="b">
        <v>1</v>
      </c>
      <c r="H1520" s="9" t="s">
        <v>9</v>
      </c>
      <c r="I1520" s="8">
        <v>8015</v>
      </c>
      <c r="J1520" s="10">
        <v>1327.75</v>
      </c>
      <c r="K1520" s="10">
        <v>82.69</v>
      </c>
      <c r="L1520" s="10">
        <v>57.46</v>
      </c>
      <c r="M1520" s="10">
        <v>1467.9</v>
      </c>
      <c r="N1520" s="8">
        <v>13</v>
      </c>
      <c r="O1520" s="6">
        <v>4.9000000000000004</v>
      </c>
    </row>
    <row r="1521" spans="1:15" x14ac:dyDescent="0.25">
      <c r="A1521" s="8">
        <v>31755</v>
      </c>
      <c r="B1521" s="9" t="s">
        <v>0</v>
      </c>
      <c r="C1521" s="9" t="s">
        <v>1</v>
      </c>
      <c r="D1521" s="9" t="s">
        <v>45</v>
      </c>
      <c r="E1521" s="9" t="s">
        <v>21</v>
      </c>
      <c r="F1521" s="9" t="str">
        <f t="shared" si="23"/>
        <v>Not Delivered</v>
      </c>
      <c r="G1521" s="9" t="b">
        <v>1</v>
      </c>
      <c r="H1521" s="9" t="s">
        <v>18</v>
      </c>
      <c r="I1521" s="8">
        <v>3281</v>
      </c>
      <c r="J1521" s="10">
        <v>1054.17</v>
      </c>
      <c r="K1521" s="10">
        <v>0</v>
      </c>
      <c r="L1521" s="10">
        <v>176.1</v>
      </c>
      <c r="M1521" s="10">
        <v>1230.27</v>
      </c>
      <c r="N1521" s="8">
        <v>8</v>
      </c>
      <c r="O1521" s="6">
        <v>4.8</v>
      </c>
    </row>
    <row r="1522" spans="1:15" x14ac:dyDescent="0.25">
      <c r="A1522" s="8">
        <v>37082</v>
      </c>
      <c r="B1522" s="9" t="s">
        <v>41</v>
      </c>
      <c r="C1522" s="9" t="s">
        <v>42</v>
      </c>
      <c r="D1522" s="9" t="s">
        <v>27</v>
      </c>
      <c r="E1522" s="9" t="s">
        <v>21</v>
      </c>
      <c r="F1522" s="9" t="str">
        <f t="shared" si="23"/>
        <v>Not Delivered</v>
      </c>
      <c r="G1522" s="9" t="b">
        <v>0</v>
      </c>
      <c r="H1522" s="9" t="s">
        <v>9</v>
      </c>
      <c r="I1522" s="8">
        <v>4390</v>
      </c>
      <c r="J1522" s="10">
        <v>1068.49</v>
      </c>
      <c r="K1522" s="10">
        <v>0</v>
      </c>
      <c r="L1522" s="10">
        <v>0</v>
      </c>
      <c r="M1522" s="10">
        <v>1068.49</v>
      </c>
      <c r="N1522" s="8">
        <v>11</v>
      </c>
      <c r="O1522" s="6">
        <v>1.7</v>
      </c>
    </row>
    <row r="1523" spans="1:15" x14ac:dyDescent="0.25">
      <c r="A1523" s="8">
        <v>17780</v>
      </c>
      <c r="B1523" s="9" t="s">
        <v>5</v>
      </c>
      <c r="C1523" s="9" t="s">
        <v>6</v>
      </c>
      <c r="D1523" s="9" t="s">
        <v>2</v>
      </c>
      <c r="E1523" s="9" t="s">
        <v>21</v>
      </c>
      <c r="F1523" s="9" t="str">
        <f t="shared" si="23"/>
        <v>Not Delivered</v>
      </c>
      <c r="G1523" s="9" t="b">
        <v>0</v>
      </c>
      <c r="H1523" s="9" t="s">
        <v>33</v>
      </c>
      <c r="I1523" s="8">
        <v>6747</v>
      </c>
      <c r="J1523" s="10">
        <v>664.59</v>
      </c>
      <c r="K1523" s="10">
        <v>0</v>
      </c>
      <c r="L1523" s="10">
        <v>0</v>
      </c>
      <c r="M1523" s="10">
        <v>664.59</v>
      </c>
      <c r="N1523" s="8">
        <v>4</v>
      </c>
      <c r="O1523" s="6">
        <v>3.6</v>
      </c>
    </row>
    <row r="1524" spans="1:15" x14ac:dyDescent="0.25">
      <c r="A1524" s="8">
        <v>79767</v>
      </c>
      <c r="B1524" s="9" t="s">
        <v>5</v>
      </c>
      <c r="C1524" s="9" t="s">
        <v>44</v>
      </c>
      <c r="D1524" s="9" t="s">
        <v>25</v>
      </c>
      <c r="E1524" s="9" t="s">
        <v>32</v>
      </c>
      <c r="F1524" s="9" t="str">
        <f t="shared" si="23"/>
        <v>Not Delivered</v>
      </c>
      <c r="G1524" s="9" t="b">
        <v>1</v>
      </c>
      <c r="H1524" s="9" t="s">
        <v>22</v>
      </c>
      <c r="I1524" s="8">
        <v>5605</v>
      </c>
      <c r="J1524" s="10">
        <v>352.74</v>
      </c>
      <c r="K1524" s="10">
        <v>87.64</v>
      </c>
      <c r="L1524" s="10">
        <v>93.6</v>
      </c>
      <c r="M1524" s="10">
        <v>533.98</v>
      </c>
      <c r="N1524" s="8">
        <v>10</v>
      </c>
      <c r="O1524" s="6">
        <v>4.5</v>
      </c>
    </row>
    <row r="1525" spans="1:15" x14ac:dyDescent="0.25">
      <c r="A1525" s="8">
        <v>88231</v>
      </c>
      <c r="B1525" s="9" t="s">
        <v>41</v>
      </c>
      <c r="C1525" s="9" t="s">
        <v>46</v>
      </c>
      <c r="D1525" s="9" t="s">
        <v>50</v>
      </c>
      <c r="E1525" s="9" t="s">
        <v>32</v>
      </c>
      <c r="F1525" s="9" t="str">
        <f t="shared" si="23"/>
        <v>Not Delivered</v>
      </c>
      <c r="G1525" s="9" t="b">
        <v>0</v>
      </c>
      <c r="H1525" s="9" t="s">
        <v>9</v>
      </c>
      <c r="I1525" s="8">
        <v>9827</v>
      </c>
      <c r="J1525" s="10">
        <v>2014.29</v>
      </c>
      <c r="K1525" s="10">
        <v>108.69</v>
      </c>
      <c r="L1525" s="10">
        <v>0</v>
      </c>
      <c r="M1525" s="10">
        <v>2122.98</v>
      </c>
      <c r="N1525" s="8">
        <v>11</v>
      </c>
    </row>
    <row r="1526" spans="1:15" x14ac:dyDescent="0.25">
      <c r="A1526" s="8">
        <v>32069</v>
      </c>
      <c r="B1526" s="9" t="s">
        <v>10</v>
      </c>
      <c r="C1526" s="9" t="s">
        <v>15</v>
      </c>
      <c r="D1526" s="9" t="s">
        <v>27</v>
      </c>
      <c r="E1526" s="9" t="s">
        <v>21</v>
      </c>
      <c r="F1526" s="9" t="str">
        <f t="shared" si="23"/>
        <v>Not Delivered</v>
      </c>
      <c r="G1526" s="9" t="b">
        <v>1</v>
      </c>
      <c r="H1526" s="9" t="s">
        <v>9</v>
      </c>
      <c r="I1526" s="8">
        <v>6302</v>
      </c>
      <c r="J1526" s="10">
        <v>466.42</v>
      </c>
      <c r="K1526" s="10">
        <v>70.91</v>
      </c>
      <c r="L1526" s="10">
        <v>39.409999999999997</v>
      </c>
      <c r="M1526" s="10">
        <v>576.74</v>
      </c>
      <c r="N1526" s="8">
        <v>8</v>
      </c>
    </row>
    <row r="1527" spans="1:15" x14ac:dyDescent="0.25">
      <c r="A1527" s="8">
        <v>48356</v>
      </c>
      <c r="B1527" s="9" t="s">
        <v>5</v>
      </c>
      <c r="C1527" s="9" t="s">
        <v>59</v>
      </c>
      <c r="D1527" s="9" t="s">
        <v>27</v>
      </c>
      <c r="E1527" s="9" t="s">
        <v>8</v>
      </c>
      <c r="F1527" s="9" t="str">
        <f t="shared" si="23"/>
        <v>Not Delivered</v>
      </c>
      <c r="G1527" s="9" t="b">
        <v>1</v>
      </c>
      <c r="H1527" s="9" t="s">
        <v>9</v>
      </c>
      <c r="I1527" s="8">
        <v>5740</v>
      </c>
      <c r="J1527" s="10">
        <v>2425.0500000000002</v>
      </c>
      <c r="K1527" s="10">
        <v>0</v>
      </c>
      <c r="L1527" s="10">
        <v>86.59</v>
      </c>
      <c r="M1527" s="10">
        <v>2511.64</v>
      </c>
      <c r="N1527" s="8">
        <v>2</v>
      </c>
      <c r="O1527" s="6">
        <v>1.5</v>
      </c>
    </row>
    <row r="1528" spans="1:15" x14ac:dyDescent="0.25">
      <c r="A1528" s="8">
        <v>85069</v>
      </c>
      <c r="B1528" s="9" t="s">
        <v>39</v>
      </c>
      <c r="C1528" s="9" t="s">
        <v>58</v>
      </c>
      <c r="D1528" s="9" t="s">
        <v>7</v>
      </c>
      <c r="E1528" s="9" t="s">
        <v>17</v>
      </c>
      <c r="F1528" s="9" t="str">
        <f t="shared" si="23"/>
        <v>Not Delivered</v>
      </c>
      <c r="G1528" s="9" t="b">
        <v>1</v>
      </c>
      <c r="H1528" s="9" t="s">
        <v>4</v>
      </c>
      <c r="I1528" s="8">
        <v>5380</v>
      </c>
      <c r="J1528" s="10">
        <v>1148.78</v>
      </c>
      <c r="K1528" s="10">
        <v>0</v>
      </c>
      <c r="L1528" s="10">
        <v>27.9</v>
      </c>
      <c r="M1528" s="10">
        <v>1176.68</v>
      </c>
      <c r="N1528" s="8">
        <v>7</v>
      </c>
      <c r="O1528" s="6">
        <v>1.5</v>
      </c>
    </row>
    <row r="1529" spans="1:15" x14ac:dyDescent="0.25">
      <c r="A1529" s="8">
        <v>77425</v>
      </c>
      <c r="B1529" s="9" t="s">
        <v>41</v>
      </c>
      <c r="C1529" s="9" t="s">
        <v>47</v>
      </c>
      <c r="D1529" s="9" t="s">
        <v>38</v>
      </c>
      <c r="E1529" s="9" t="s">
        <v>32</v>
      </c>
      <c r="F1529" s="9" t="str">
        <f t="shared" si="23"/>
        <v>Not Delivered</v>
      </c>
      <c r="G1529" s="9" t="b">
        <v>0</v>
      </c>
      <c r="H1529" s="9" t="s">
        <v>4</v>
      </c>
      <c r="I1529" s="8">
        <v>2560</v>
      </c>
      <c r="J1529" s="10">
        <v>1282.28</v>
      </c>
      <c r="K1529" s="10">
        <v>116.17</v>
      </c>
      <c r="L1529" s="10">
        <v>0</v>
      </c>
      <c r="M1529" s="10">
        <v>1398.45</v>
      </c>
      <c r="N1529" s="8">
        <v>4</v>
      </c>
      <c r="O1529" s="6">
        <v>3.5</v>
      </c>
    </row>
    <row r="1530" spans="1:15" x14ac:dyDescent="0.25">
      <c r="A1530" s="8">
        <v>27771</v>
      </c>
      <c r="B1530" s="9" t="s">
        <v>10</v>
      </c>
      <c r="C1530" s="9" t="s">
        <v>15</v>
      </c>
      <c r="D1530" s="9" t="s">
        <v>50</v>
      </c>
      <c r="E1530" s="9" t="s">
        <v>21</v>
      </c>
      <c r="F1530" s="9" t="str">
        <f t="shared" si="23"/>
        <v>Not Delivered</v>
      </c>
      <c r="G1530" s="9" t="b">
        <v>1</v>
      </c>
      <c r="H1530" s="9" t="s">
        <v>4</v>
      </c>
      <c r="I1530" s="8">
        <v>7743</v>
      </c>
      <c r="J1530" s="10">
        <v>465.64</v>
      </c>
      <c r="K1530" s="10">
        <v>53.52</v>
      </c>
      <c r="L1530" s="10">
        <v>41.51</v>
      </c>
      <c r="M1530" s="10">
        <v>560.66999999999996</v>
      </c>
      <c r="N1530" s="8">
        <v>8</v>
      </c>
      <c r="O1530" s="6">
        <v>3.7</v>
      </c>
    </row>
    <row r="1531" spans="1:15" x14ac:dyDescent="0.25">
      <c r="A1531" s="8">
        <v>17770</v>
      </c>
      <c r="B1531" s="9" t="s">
        <v>23</v>
      </c>
      <c r="C1531" s="9" t="s">
        <v>49</v>
      </c>
      <c r="D1531" s="9" t="s">
        <v>2</v>
      </c>
      <c r="E1531" s="9" t="s">
        <v>8</v>
      </c>
      <c r="F1531" s="9" t="str">
        <f t="shared" si="23"/>
        <v>Not Delivered</v>
      </c>
      <c r="G1531" s="9" t="b">
        <v>1</v>
      </c>
      <c r="H1531" s="9" t="s">
        <v>33</v>
      </c>
      <c r="I1531" s="8">
        <v>5543</v>
      </c>
      <c r="J1531" s="10">
        <v>651.99</v>
      </c>
      <c r="K1531" s="10">
        <v>0</v>
      </c>
      <c r="L1531" s="10">
        <v>243.8</v>
      </c>
      <c r="M1531" s="10">
        <v>895.79</v>
      </c>
      <c r="N1531" s="8">
        <v>3</v>
      </c>
      <c r="O1531" s="6">
        <v>4.4000000000000004</v>
      </c>
    </row>
    <row r="1532" spans="1:15" x14ac:dyDescent="0.25">
      <c r="A1532" s="8">
        <v>95969</v>
      </c>
      <c r="B1532" s="9" t="s">
        <v>23</v>
      </c>
      <c r="C1532" s="9" t="s">
        <v>24</v>
      </c>
      <c r="D1532" s="9" t="s">
        <v>12</v>
      </c>
      <c r="E1532" s="9" t="s">
        <v>8</v>
      </c>
      <c r="F1532" s="9" t="str">
        <f t="shared" si="23"/>
        <v>Not Delivered</v>
      </c>
      <c r="G1532" s="9" t="b">
        <v>1</v>
      </c>
      <c r="H1532" s="9" t="s">
        <v>22</v>
      </c>
      <c r="I1532" s="8">
        <v>3078</v>
      </c>
      <c r="J1532" s="10">
        <v>1849.52</v>
      </c>
      <c r="K1532" s="10">
        <v>51.71</v>
      </c>
      <c r="L1532" s="10">
        <v>199.46</v>
      </c>
      <c r="M1532" s="10">
        <v>2100.69</v>
      </c>
      <c r="N1532" s="8">
        <v>6</v>
      </c>
      <c r="O1532" s="6">
        <v>4.4000000000000004</v>
      </c>
    </row>
    <row r="1533" spans="1:15" x14ac:dyDescent="0.25">
      <c r="A1533" s="8">
        <v>27392</v>
      </c>
      <c r="B1533" s="9" t="s">
        <v>0</v>
      </c>
      <c r="C1533" s="9" t="s">
        <v>1</v>
      </c>
      <c r="D1533" s="9" t="s">
        <v>25</v>
      </c>
      <c r="E1533" s="9" t="s">
        <v>17</v>
      </c>
      <c r="F1533" s="9" t="str">
        <f t="shared" si="23"/>
        <v>Not Delivered</v>
      </c>
      <c r="G1533" s="9" t="b">
        <v>0</v>
      </c>
      <c r="H1533" s="9" t="s">
        <v>28</v>
      </c>
      <c r="I1533" s="8">
        <v>5090</v>
      </c>
      <c r="J1533" s="10">
        <v>1478.85</v>
      </c>
      <c r="K1533" s="10">
        <v>0</v>
      </c>
      <c r="L1533" s="10">
        <v>0</v>
      </c>
      <c r="M1533" s="10">
        <v>1478.85</v>
      </c>
      <c r="N1533" s="8">
        <v>3</v>
      </c>
      <c r="O1533" s="6">
        <v>3.3</v>
      </c>
    </row>
    <row r="1534" spans="1:15" x14ac:dyDescent="0.25">
      <c r="A1534" s="8">
        <v>29168</v>
      </c>
      <c r="B1534" s="9" t="s">
        <v>39</v>
      </c>
      <c r="C1534" s="9" t="s">
        <v>57</v>
      </c>
      <c r="D1534" s="9" t="s">
        <v>50</v>
      </c>
      <c r="E1534" s="9" t="s">
        <v>32</v>
      </c>
      <c r="F1534" s="9" t="str">
        <f t="shared" si="23"/>
        <v>Not Delivered</v>
      </c>
      <c r="G1534" s="9" t="b">
        <v>0</v>
      </c>
      <c r="H1534" s="9" t="s">
        <v>28</v>
      </c>
      <c r="I1534" s="8">
        <v>6277</v>
      </c>
      <c r="J1534" s="10">
        <v>281.47000000000003</v>
      </c>
      <c r="K1534" s="10">
        <v>39.31</v>
      </c>
      <c r="L1534" s="10">
        <v>0</v>
      </c>
      <c r="M1534" s="10">
        <v>320.77999999999997</v>
      </c>
      <c r="N1534" s="8">
        <v>9</v>
      </c>
      <c r="O1534" s="6">
        <v>2.5</v>
      </c>
    </row>
    <row r="1535" spans="1:15" x14ac:dyDescent="0.25">
      <c r="A1535" s="8">
        <v>42447</v>
      </c>
      <c r="B1535" s="9" t="s">
        <v>5</v>
      </c>
      <c r="C1535" s="9" t="s">
        <v>56</v>
      </c>
      <c r="D1535" s="9" t="s">
        <v>7</v>
      </c>
      <c r="E1535" s="9" t="s">
        <v>3</v>
      </c>
      <c r="F1535" s="9" t="str">
        <f t="shared" si="23"/>
        <v>Not Delivered</v>
      </c>
      <c r="G1535" s="9" t="b">
        <v>1</v>
      </c>
      <c r="H1535" s="9" t="s">
        <v>28</v>
      </c>
      <c r="I1535" s="8">
        <v>7434</v>
      </c>
      <c r="J1535" s="10">
        <v>2365.48</v>
      </c>
      <c r="K1535" s="10">
        <v>127.85</v>
      </c>
      <c r="L1535" s="10">
        <v>99.5</v>
      </c>
      <c r="M1535" s="10">
        <v>2592.83</v>
      </c>
      <c r="N1535" s="8">
        <v>1</v>
      </c>
      <c r="O1535" s="6">
        <v>2.4</v>
      </c>
    </row>
    <row r="1536" spans="1:15" x14ac:dyDescent="0.25">
      <c r="A1536" s="8">
        <v>74154</v>
      </c>
      <c r="B1536" s="9" t="s">
        <v>41</v>
      </c>
      <c r="C1536" s="9" t="s">
        <v>42</v>
      </c>
      <c r="D1536" s="9" t="s">
        <v>25</v>
      </c>
      <c r="E1536" s="9" t="s">
        <v>3</v>
      </c>
      <c r="F1536" s="9" t="str">
        <f t="shared" si="23"/>
        <v>Not Delivered</v>
      </c>
      <c r="G1536" s="9" t="b">
        <v>1</v>
      </c>
      <c r="H1536" s="9" t="s">
        <v>28</v>
      </c>
      <c r="I1536" s="8">
        <v>3329</v>
      </c>
      <c r="J1536" s="10">
        <v>911.45</v>
      </c>
      <c r="K1536" s="10">
        <v>0</v>
      </c>
      <c r="L1536" s="10">
        <v>257.83</v>
      </c>
      <c r="M1536" s="10">
        <v>1169.28</v>
      </c>
      <c r="N1536" s="8">
        <v>2</v>
      </c>
      <c r="O1536" s="6">
        <v>4.4000000000000004</v>
      </c>
    </row>
    <row r="1537" spans="1:15" x14ac:dyDescent="0.25">
      <c r="A1537" s="8">
        <v>85684</v>
      </c>
      <c r="B1537" s="9" t="s">
        <v>23</v>
      </c>
      <c r="C1537" s="9" t="s">
        <v>24</v>
      </c>
      <c r="D1537" s="9" t="s">
        <v>27</v>
      </c>
      <c r="E1537" s="9" t="s">
        <v>8</v>
      </c>
      <c r="F1537" s="9" t="str">
        <f t="shared" si="23"/>
        <v>Not Delivered</v>
      </c>
      <c r="G1537" s="9" t="b">
        <v>1</v>
      </c>
      <c r="H1537" s="9" t="s">
        <v>4</v>
      </c>
      <c r="I1537" s="8">
        <v>5402</v>
      </c>
      <c r="J1537" s="10">
        <v>2601.0300000000002</v>
      </c>
      <c r="K1537" s="10">
        <v>144.52000000000001</v>
      </c>
      <c r="L1537" s="10">
        <v>131.94</v>
      </c>
      <c r="M1537" s="10">
        <v>2877.49</v>
      </c>
      <c r="N1537" s="8">
        <v>14</v>
      </c>
      <c r="O1537" s="6">
        <v>4.5</v>
      </c>
    </row>
    <row r="1538" spans="1:15" x14ac:dyDescent="0.25">
      <c r="A1538" s="8">
        <v>92288</v>
      </c>
      <c r="B1538" s="9" t="s">
        <v>23</v>
      </c>
      <c r="C1538" s="9" t="s">
        <v>48</v>
      </c>
      <c r="D1538" s="9" t="s">
        <v>45</v>
      </c>
      <c r="E1538" s="9" t="s">
        <v>21</v>
      </c>
      <c r="F1538" s="9" t="str">
        <f t="shared" si="23"/>
        <v>Not Delivered</v>
      </c>
      <c r="G1538" s="9" t="b">
        <v>1</v>
      </c>
      <c r="H1538" s="9" t="s">
        <v>14</v>
      </c>
      <c r="I1538" s="8">
        <v>7786</v>
      </c>
      <c r="J1538" s="10">
        <v>2174.4499999999998</v>
      </c>
      <c r="K1538" s="10">
        <v>0</v>
      </c>
      <c r="L1538" s="10">
        <v>28.12</v>
      </c>
      <c r="M1538" s="10">
        <v>2202.5700000000002</v>
      </c>
      <c r="N1538" s="8">
        <v>10</v>
      </c>
      <c r="O1538" s="6">
        <v>4.5999999999999996</v>
      </c>
    </row>
    <row r="1539" spans="1:15" x14ac:dyDescent="0.25">
      <c r="A1539" s="8">
        <v>59174</v>
      </c>
      <c r="B1539" s="9" t="s">
        <v>0</v>
      </c>
      <c r="C1539" s="9" t="s">
        <v>37</v>
      </c>
      <c r="D1539" s="9" t="s">
        <v>50</v>
      </c>
      <c r="E1539" s="9" t="s">
        <v>3</v>
      </c>
      <c r="F1539" s="9" t="str">
        <f t="shared" ref="F1539:F1602" si="24">IF(OR(
E1539="Failed Delivery",
E1539="Cancelled",
E1539="Pending",
E1539="Rescheduled",
E1539="In Transit"
),"Not Delivered","Delivered")</f>
        <v>Not Delivered</v>
      </c>
      <c r="G1539" s="9" t="b">
        <v>1</v>
      </c>
      <c r="H1539" s="9" t="s">
        <v>14</v>
      </c>
      <c r="I1539" s="8">
        <v>8405</v>
      </c>
      <c r="J1539" s="10">
        <v>758.13</v>
      </c>
      <c r="K1539" s="10">
        <v>80.83</v>
      </c>
      <c r="L1539" s="10">
        <v>144.28</v>
      </c>
      <c r="M1539" s="10">
        <v>983.24</v>
      </c>
      <c r="N1539" s="8">
        <v>11</v>
      </c>
      <c r="O1539" s="6">
        <v>2.4</v>
      </c>
    </row>
    <row r="1540" spans="1:15" x14ac:dyDescent="0.25">
      <c r="A1540" s="8">
        <v>19898</v>
      </c>
      <c r="B1540" s="9" t="s">
        <v>23</v>
      </c>
      <c r="C1540" s="9" t="s">
        <v>24</v>
      </c>
      <c r="D1540" s="9" t="s">
        <v>30</v>
      </c>
      <c r="E1540" s="9" t="s">
        <v>17</v>
      </c>
      <c r="F1540" s="9" t="str">
        <f t="shared" si="24"/>
        <v>Not Delivered</v>
      </c>
      <c r="G1540" s="9" t="b">
        <v>0</v>
      </c>
      <c r="H1540" s="9" t="s">
        <v>14</v>
      </c>
      <c r="I1540" s="8">
        <v>2525</v>
      </c>
      <c r="J1540" s="10">
        <v>866.15</v>
      </c>
      <c r="K1540" s="10">
        <v>63.69</v>
      </c>
      <c r="L1540" s="10">
        <v>0</v>
      </c>
      <c r="M1540" s="10">
        <v>929.84</v>
      </c>
      <c r="N1540" s="8">
        <v>8</v>
      </c>
      <c r="O1540" s="6">
        <v>1.4</v>
      </c>
    </row>
    <row r="1541" spans="1:15" x14ac:dyDescent="0.25">
      <c r="A1541" s="8">
        <v>62802</v>
      </c>
      <c r="B1541" s="9" t="s">
        <v>5</v>
      </c>
      <c r="C1541" s="9" t="s">
        <v>59</v>
      </c>
      <c r="D1541" s="9" t="s">
        <v>50</v>
      </c>
      <c r="E1541" s="9" t="s">
        <v>17</v>
      </c>
      <c r="F1541" s="9" t="str">
        <f t="shared" si="24"/>
        <v>Not Delivered</v>
      </c>
      <c r="G1541" s="9" t="b">
        <v>0</v>
      </c>
      <c r="H1541" s="9" t="s">
        <v>9</v>
      </c>
      <c r="I1541" s="8">
        <v>9447</v>
      </c>
      <c r="J1541" s="10">
        <v>482.06</v>
      </c>
      <c r="K1541" s="10">
        <v>40.54</v>
      </c>
      <c r="L1541" s="10">
        <v>0</v>
      </c>
      <c r="M1541" s="10">
        <v>522.6</v>
      </c>
      <c r="N1541" s="8">
        <v>9</v>
      </c>
      <c r="O1541" s="6">
        <v>2.8</v>
      </c>
    </row>
    <row r="1542" spans="1:15" x14ac:dyDescent="0.25">
      <c r="A1542" s="8">
        <v>46467</v>
      </c>
      <c r="B1542" s="9" t="s">
        <v>23</v>
      </c>
      <c r="C1542" s="9" t="s">
        <v>54</v>
      </c>
      <c r="D1542" s="9" t="s">
        <v>2</v>
      </c>
      <c r="E1542" s="9" t="s">
        <v>17</v>
      </c>
      <c r="F1542" s="9" t="str">
        <f t="shared" si="24"/>
        <v>Not Delivered</v>
      </c>
      <c r="G1542" s="9" t="b">
        <v>0</v>
      </c>
      <c r="H1542" s="9" t="s">
        <v>14</v>
      </c>
      <c r="I1542" s="8">
        <v>7046</v>
      </c>
      <c r="J1542" s="10">
        <v>1621.4</v>
      </c>
      <c r="K1542" s="10">
        <v>101.69</v>
      </c>
      <c r="L1542" s="10">
        <v>0</v>
      </c>
      <c r="M1542" s="10">
        <v>1723.09</v>
      </c>
      <c r="N1542" s="8">
        <v>8</v>
      </c>
    </row>
    <row r="1543" spans="1:15" x14ac:dyDescent="0.25">
      <c r="A1543" s="8">
        <v>69597</v>
      </c>
      <c r="B1543" s="9" t="s">
        <v>0</v>
      </c>
      <c r="C1543" s="9" t="s">
        <v>1</v>
      </c>
      <c r="D1543" s="9" t="s">
        <v>19</v>
      </c>
      <c r="E1543" s="9" t="s">
        <v>13</v>
      </c>
      <c r="F1543" s="9" t="str">
        <f t="shared" si="24"/>
        <v>Delivered</v>
      </c>
      <c r="G1543" s="9" t="b">
        <v>1</v>
      </c>
      <c r="H1543" s="9" t="s">
        <v>4</v>
      </c>
      <c r="I1543" s="8">
        <v>8996</v>
      </c>
      <c r="J1543" s="10">
        <v>1757.43</v>
      </c>
      <c r="K1543" s="10">
        <v>96.35</v>
      </c>
      <c r="L1543" s="10">
        <v>35.21</v>
      </c>
      <c r="M1543" s="10">
        <v>1888.99</v>
      </c>
      <c r="N1543" s="8">
        <v>2</v>
      </c>
      <c r="O1543" s="6">
        <v>2.8</v>
      </c>
    </row>
    <row r="1544" spans="1:15" x14ac:dyDescent="0.25">
      <c r="A1544" s="8">
        <v>52898</v>
      </c>
      <c r="B1544" s="9" t="s">
        <v>5</v>
      </c>
      <c r="C1544" s="9" t="s">
        <v>56</v>
      </c>
      <c r="D1544" s="9" t="s">
        <v>38</v>
      </c>
      <c r="E1544" s="9" t="s">
        <v>32</v>
      </c>
      <c r="F1544" s="9" t="str">
        <f t="shared" si="24"/>
        <v>Not Delivered</v>
      </c>
      <c r="G1544" s="9" t="b">
        <v>0</v>
      </c>
      <c r="H1544" s="9" t="s">
        <v>4</v>
      </c>
      <c r="I1544" s="8">
        <v>1040</v>
      </c>
      <c r="J1544" s="10">
        <v>1030.58</v>
      </c>
      <c r="K1544" s="10">
        <v>77.55</v>
      </c>
      <c r="L1544" s="10">
        <v>0</v>
      </c>
      <c r="M1544" s="10">
        <v>1108.1300000000001</v>
      </c>
      <c r="N1544" s="8">
        <v>4</v>
      </c>
      <c r="O1544" s="6">
        <v>1.7</v>
      </c>
    </row>
    <row r="1545" spans="1:15" x14ac:dyDescent="0.25">
      <c r="A1545" s="8">
        <v>22208</v>
      </c>
      <c r="B1545" s="9" t="s">
        <v>5</v>
      </c>
      <c r="C1545" s="9" t="s">
        <v>59</v>
      </c>
      <c r="D1545" s="9" t="s">
        <v>50</v>
      </c>
      <c r="E1545" s="9" t="s">
        <v>3</v>
      </c>
      <c r="F1545" s="9" t="str">
        <f t="shared" si="24"/>
        <v>Not Delivered</v>
      </c>
      <c r="G1545" s="9" t="b">
        <v>0</v>
      </c>
      <c r="H1545" s="9" t="s">
        <v>4</v>
      </c>
      <c r="I1545" s="8">
        <v>8511</v>
      </c>
      <c r="J1545" s="10">
        <v>1200.72</v>
      </c>
      <c r="K1545" s="10">
        <v>135.94</v>
      </c>
      <c r="L1545" s="10">
        <v>0</v>
      </c>
      <c r="M1545" s="10">
        <v>1336.66</v>
      </c>
      <c r="N1545" s="8">
        <v>8</v>
      </c>
      <c r="O1545" s="6">
        <v>2.7</v>
      </c>
    </row>
    <row r="1546" spans="1:15" x14ac:dyDescent="0.25">
      <c r="A1546" s="8">
        <v>93209</v>
      </c>
      <c r="B1546" s="9" t="s">
        <v>23</v>
      </c>
      <c r="C1546" s="9" t="s">
        <v>60</v>
      </c>
      <c r="D1546" s="9" t="s">
        <v>50</v>
      </c>
      <c r="E1546" s="9" t="s">
        <v>3</v>
      </c>
      <c r="F1546" s="9" t="str">
        <f t="shared" si="24"/>
        <v>Not Delivered</v>
      </c>
      <c r="G1546" s="9" t="b">
        <v>1</v>
      </c>
      <c r="H1546" s="9" t="s">
        <v>9</v>
      </c>
      <c r="I1546" s="8">
        <v>6869</v>
      </c>
      <c r="J1546" s="10">
        <v>1749.58</v>
      </c>
      <c r="K1546" s="10">
        <v>149.97999999999999</v>
      </c>
      <c r="L1546" s="10">
        <v>173.49</v>
      </c>
      <c r="M1546" s="10">
        <v>2073.0500000000002</v>
      </c>
      <c r="N1546" s="8">
        <v>13</v>
      </c>
      <c r="O1546" s="6">
        <v>2.8</v>
      </c>
    </row>
    <row r="1547" spans="1:15" x14ac:dyDescent="0.25">
      <c r="A1547" s="8">
        <v>18300</v>
      </c>
      <c r="B1547" s="9" t="s">
        <v>39</v>
      </c>
      <c r="C1547" s="9" t="s">
        <v>40</v>
      </c>
      <c r="D1547" s="9" t="s">
        <v>25</v>
      </c>
      <c r="E1547" s="9" t="s">
        <v>13</v>
      </c>
      <c r="F1547" s="9" t="str">
        <f t="shared" si="24"/>
        <v>Delivered</v>
      </c>
      <c r="G1547" s="9" t="b">
        <v>1</v>
      </c>
      <c r="H1547" s="9" t="s">
        <v>9</v>
      </c>
      <c r="I1547" s="8">
        <v>9756</v>
      </c>
      <c r="J1547" s="10">
        <v>192.09</v>
      </c>
      <c r="K1547" s="10">
        <v>68.89</v>
      </c>
      <c r="L1547" s="10">
        <v>84.97</v>
      </c>
      <c r="M1547" s="10">
        <v>345.95</v>
      </c>
      <c r="N1547" s="8">
        <v>8</v>
      </c>
    </row>
    <row r="1548" spans="1:15" x14ac:dyDescent="0.25">
      <c r="A1548" s="8">
        <v>62129</v>
      </c>
      <c r="B1548" s="9" t="s">
        <v>39</v>
      </c>
      <c r="C1548" s="9" t="s">
        <v>58</v>
      </c>
      <c r="D1548" s="9" t="s">
        <v>45</v>
      </c>
      <c r="E1548" s="9" t="s">
        <v>17</v>
      </c>
      <c r="F1548" s="9" t="str">
        <f t="shared" si="24"/>
        <v>Not Delivered</v>
      </c>
      <c r="G1548" s="9" t="b">
        <v>1</v>
      </c>
      <c r="H1548" s="9" t="s">
        <v>33</v>
      </c>
      <c r="I1548" s="8">
        <v>4568</v>
      </c>
      <c r="J1548" s="10">
        <v>222.24</v>
      </c>
      <c r="K1548" s="10">
        <v>97.38</v>
      </c>
      <c r="L1548" s="10">
        <v>44.88</v>
      </c>
      <c r="M1548" s="10">
        <v>364.5</v>
      </c>
      <c r="N1548" s="8">
        <v>1</v>
      </c>
      <c r="O1548" s="6">
        <v>2.9</v>
      </c>
    </row>
    <row r="1549" spans="1:15" x14ac:dyDescent="0.25">
      <c r="A1549" s="8">
        <v>66314</v>
      </c>
      <c r="B1549" s="9" t="s">
        <v>5</v>
      </c>
      <c r="C1549" s="9" t="s">
        <v>6</v>
      </c>
      <c r="D1549" s="9" t="s">
        <v>27</v>
      </c>
      <c r="E1549" s="9" t="s">
        <v>8</v>
      </c>
      <c r="F1549" s="9" t="str">
        <f t="shared" si="24"/>
        <v>Not Delivered</v>
      </c>
      <c r="G1549" s="9" t="b">
        <v>1</v>
      </c>
      <c r="H1549" s="9" t="s">
        <v>33</v>
      </c>
      <c r="I1549" s="8">
        <v>4470</v>
      </c>
      <c r="J1549" s="10">
        <v>1922.75</v>
      </c>
      <c r="K1549" s="10">
        <v>0</v>
      </c>
      <c r="L1549" s="10">
        <v>45.51</v>
      </c>
      <c r="M1549" s="10">
        <v>1968.26</v>
      </c>
      <c r="N1549" s="8">
        <v>10</v>
      </c>
      <c r="O1549" s="6">
        <v>4.4000000000000004</v>
      </c>
    </row>
    <row r="1550" spans="1:15" x14ac:dyDescent="0.25">
      <c r="A1550" s="8">
        <v>74843</v>
      </c>
      <c r="B1550" s="9" t="s">
        <v>41</v>
      </c>
      <c r="C1550" s="9" t="s">
        <v>47</v>
      </c>
      <c r="D1550" s="9" t="s">
        <v>2</v>
      </c>
      <c r="E1550" s="9" t="s">
        <v>21</v>
      </c>
      <c r="F1550" s="9" t="str">
        <f t="shared" si="24"/>
        <v>Not Delivered</v>
      </c>
      <c r="G1550" s="9" t="b">
        <v>0</v>
      </c>
      <c r="H1550" s="9" t="s">
        <v>4</v>
      </c>
      <c r="I1550" s="8">
        <v>5399</v>
      </c>
      <c r="J1550" s="10">
        <v>993.1</v>
      </c>
      <c r="K1550" s="10">
        <v>120.77</v>
      </c>
      <c r="L1550" s="10">
        <v>0</v>
      </c>
      <c r="M1550" s="10">
        <v>1113.8699999999999</v>
      </c>
      <c r="N1550" s="8">
        <v>13</v>
      </c>
      <c r="O1550" s="6">
        <v>2</v>
      </c>
    </row>
    <row r="1551" spans="1:15" x14ac:dyDescent="0.25">
      <c r="A1551" s="8">
        <v>52318</v>
      </c>
      <c r="B1551" s="9" t="s">
        <v>41</v>
      </c>
      <c r="C1551" s="9" t="s">
        <v>61</v>
      </c>
      <c r="D1551" s="9" t="s">
        <v>27</v>
      </c>
      <c r="E1551" s="9" t="s">
        <v>32</v>
      </c>
      <c r="F1551" s="9" t="str">
        <f t="shared" si="24"/>
        <v>Not Delivered</v>
      </c>
      <c r="G1551" s="9" t="b">
        <v>0</v>
      </c>
      <c r="H1551" s="9" t="s">
        <v>22</v>
      </c>
      <c r="I1551" s="8">
        <v>5646</v>
      </c>
      <c r="J1551" s="10">
        <v>1722.48</v>
      </c>
      <c r="K1551" s="10">
        <v>99.69</v>
      </c>
      <c r="L1551" s="10">
        <v>0</v>
      </c>
      <c r="M1551" s="10">
        <v>1822.17</v>
      </c>
      <c r="N1551" s="8">
        <v>13</v>
      </c>
      <c r="O1551" s="6">
        <v>5</v>
      </c>
    </row>
    <row r="1552" spans="1:15" x14ac:dyDescent="0.25">
      <c r="A1552" s="8">
        <v>54270</v>
      </c>
      <c r="B1552" s="9" t="s">
        <v>5</v>
      </c>
      <c r="C1552" s="9" t="s">
        <v>36</v>
      </c>
      <c r="D1552" s="9" t="s">
        <v>12</v>
      </c>
      <c r="E1552" s="9" t="s">
        <v>3</v>
      </c>
      <c r="F1552" s="9" t="str">
        <f t="shared" si="24"/>
        <v>Not Delivered</v>
      </c>
      <c r="G1552" s="9" t="b">
        <v>0</v>
      </c>
      <c r="H1552" s="9" t="s">
        <v>9</v>
      </c>
      <c r="I1552" s="8">
        <v>9967</v>
      </c>
      <c r="J1552" s="10">
        <v>1265.47</v>
      </c>
      <c r="K1552" s="10">
        <v>62.03</v>
      </c>
      <c r="L1552" s="10">
        <v>0</v>
      </c>
      <c r="M1552" s="10">
        <v>1327.5</v>
      </c>
      <c r="N1552" s="8">
        <v>7</v>
      </c>
      <c r="O1552" s="6">
        <v>4</v>
      </c>
    </row>
    <row r="1553" spans="1:15" x14ac:dyDescent="0.25">
      <c r="A1553" s="8">
        <v>85750</v>
      </c>
      <c r="B1553" s="9" t="s">
        <v>5</v>
      </c>
      <c r="C1553" s="9" t="s">
        <v>36</v>
      </c>
      <c r="D1553" s="9" t="s">
        <v>35</v>
      </c>
      <c r="E1553" s="9" t="s">
        <v>3</v>
      </c>
      <c r="F1553" s="9" t="str">
        <f t="shared" si="24"/>
        <v>Not Delivered</v>
      </c>
      <c r="G1553" s="9" t="b">
        <v>1</v>
      </c>
      <c r="H1553" s="9" t="s">
        <v>28</v>
      </c>
      <c r="I1553" s="8">
        <v>3139</v>
      </c>
      <c r="J1553" s="10">
        <v>697.45</v>
      </c>
      <c r="K1553" s="10">
        <v>0</v>
      </c>
      <c r="L1553" s="10">
        <v>221.98</v>
      </c>
      <c r="M1553" s="10">
        <v>919.43</v>
      </c>
      <c r="N1553" s="8">
        <v>5</v>
      </c>
      <c r="O1553" s="6">
        <v>4.3</v>
      </c>
    </row>
    <row r="1554" spans="1:15" x14ac:dyDescent="0.25">
      <c r="A1554" s="8">
        <v>84205</v>
      </c>
      <c r="B1554" s="9" t="s">
        <v>23</v>
      </c>
      <c r="C1554" s="9" t="s">
        <v>48</v>
      </c>
      <c r="D1554" s="9" t="s">
        <v>2</v>
      </c>
      <c r="E1554" s="9" t="s">
        <v>3</v>
      </c>
      <c r="F1554" s="9" t="str">
        <f t="shared" si="24"/>
        <v>Not Delivered</v>
      </c>
      <c r="G1554" s="9" t="b">
        <v>0</v>
      </c>
      <c r="H1554" s="9" t="s">
        <v>14</v>
      </c>
      <c r="I1554" s="8">
        <v>8951</v>
      </c>
      <c r="J1554" s="10">
        <v>2113.3200000000002</v>
      </c>
      <c r="K1554" s="10">
        <v>109.1</v>
      </c>
      <c r="L1554" s="10">
        <v>0</v>
      </c>
      <c r="M1554" s="10">
        <v>2222.42</v>
      </c>
      <c r="N1554" s="8">
        <v>10</v>
      </c>
      <c r="O1554" s="6">
        <v>1.5</v>
      </c>
    </row>
    <row r="1555" spans="1:15" x14ac:dyDescent="0.25">
      <c r="A1555" s="8">
        <v>55054</v>
      </c>
      <c r="B1555" s="9" t="s">
        <v>5</v>
      </c>
      <c r="C1555" s="9" t="s">
        <v>6</v>
      </c>
      <c r="D1555" s="9" t="s">
        <v>25</v>
      </c>
      <c r="E1555" s="9" t="s">
        <v>32</v>
      </c>
      <c r="F1555" s="9" t="str">
        <f t="shared" si="24"/>
        <v>Not Delivered</v>
      </c>
      <c r="G1555" s="9" t="b">
        <v>0</v>
      </c>
      <c r="H1555" s="9" t="s">
        <v>9</v>
      </c>
      <c r="I1555" s="8">
        <v>1793</v>
      </c>
      <c r="J1555" s="10">
        <v>1836.42</v>
      </c>
      <c r="K1555" s="10">
        <v>66.510000000000005</v>
      </c>
      <c r="L1555" s="10">
        <v>0</v>
      </c>
      <c r="M1555" s="10">
        <v>1902.93</v>
      </c>
      <c r="N1555" s="8">
        <v>14</v>
      </c>
      <c r="O1555" s="6">
        <v>3.6</v>
      </c>
    </row>
    <row r="1556" spans="1:15" x14ac:dyDescent="0.25">
      <c r="A1556" s="8">
        <v>16021</v>
      </c>
      <c r="B1556" s="9" t="s">
        <v>5</v>
      </c>
      <c r="C1556" s="9" t="s">
        <v>59</v>
      </c>
      <c r="D1556" s="9" t="s">
        <v>25</v>
      </c>
      <c r="E1556" s="9" t="s">
        <v>8</v>
      </c>
      <c r="F1556" s="9" t="str">
        <f t="shared" si="24"/>
        <v>Not Delivered</v>
      </c>
      <c r="G1556" s="9" t="b">
        <v>1</v>
      </c>
      <c r="H1556" s="9" t="s">
        <v>14</v>
      </c>
      <c r="I1556" s="8">
        <v>2631</v>
      </c>
      <c r="J1556" s="10">
        <v>1259.71</v>
      </c>
      <c r="K1556" s="10">
        <v>134.43</v>
      </c>
      <c r="L1556" s="10">
        <v>35.270000000000003</v>
      </c>
      <c r="M1556" s="10">
        <v>1429.41</v>
      </c>
      <c r="N1556" s="8">
        <v>14</v>
      </c>
      <c r="O1556" s="6">
        <v>3.7</v>
      </c>
    </row>
    <row r="1557" spans="1:15" x14ac:dyDescent="0.25">
      <c r="A1557" s="8">
        <v>92074</v>
      </c>
      <c r="B1557" s="9" t="s">
        <v>0</v>
      </c>
      <c r="C1557" s="9" t="s">
        <v>51</v>
      </c>
      <c r="D1557" s="9" t="s">
        <v>2</v>
      </c>
      <c r="E1557" s="9" t="s">
        <v>21</v>
      </c>
      <c r="F1557" s="9" t="str">
        <f t="shared" si="24"/>
        <v>Not Delivered</v>
      </c>
      <c r="G1557" s="9" t="b">
        <v>1</v>
      </c>
      <c r="H1557" s="9" t="s">
        <v>14</v>
      </c>
      <c r="I1557" s="8">
        <v>8529</v>
      </c>
      <c r="J1557" s="10">
        <v>306.88</v>
      </c>
      <c r="K1557" s="10">
        <v>94.82</v>
      </c>
      <c r="L1557" s="10">
        <v>68.47</v>
      </c>
      <c r="M1557" s="10">
        <v>470.17</v>
      </c>
      <c r="N1557" s="8">
        <v>12</v>
      </c>
      <c r="O1557" s="6">
        <v>3.3</v>
      </c>
    </row>
    <row r="1558" spans="1:15" x14ac:dyDescent="0.25">
      <c r="A1558" s="8">
        <v>12134</v>
      </c>
      <c r="B1558" s="9" t="s">
        <v>41</v>
      </c>
      <c r="C1558" s="9" t="s">
        <v>42</v>
      </c>
      <c r="D1558" s="9" t="s">
        <v>27</v>
      </c>
      <c r="E1558" s="9" t="s">
        <v>21</v>
      </c>
      <c r="F1558" s="9" t="str">
        <f t="shared" si="24"/>
        <v>Not Delivered</v>
      </c>
      <c r="G1558" s="9" t="b">
        <v>0</v>
      </c>
      <c r="H1558" s="9" t="s">
        <v>33</v>
      </c>
      <c r="I1558" s="8">
        <v>3035</v>
      </c>
      <c r="J1558" s="10">
        <v>2281.83</v>
      </c>
      <c r="K1558" s="10">
        <v>58.35</v>
      </c>
      <c r="L1558" s="10">
        <v>0</v>
      </c>
      <c r="M1558" s="10">
        <v>2340.1799999999998</v>
      </c>
      <c r="N1558" s="8">
        <v>1</v>
      </c>
      <c r="O1558" s="6">
        <v>3.2</v>
      </c>
    </row>
    <row r="1559" spans="1:15" x14ac:dyDescent="0.25">
      <c r="A1559" s="8">
        <v>30707</v>
      </c>
      <c r="B1559" s="9" t="s">
        <v>0</v>
      </c>
      <c r="C1559" s="9" t="s">
        <v>43</v>
      </c>
      <c r="D1559" s="9" t="s">
        <v>12</v>
      </c>
      <c r="E1559" s="9" t="s">
        <v>3</v>
      </c>
      <c r="F1559" s="9" t="str">
        <f t="shared" si="24"/>
        <v>Not Delivered</v>
      </c>
      <c r="G1559" s="9" t="b">
        <v>1</v>
      </c>
      <c r="H1559" s="9" t="s">
        <v>33</v>
      </c>
      <c r="I1559" s="8">
        <v>8230</v>
      </c>
      <c r="J1559" s="10">
        <v>200.38</v>
      </c>
      <c r="K1559" s="10">
        <v>86.53</v>
      </c>
      <c r="L1559" s="10">
        <v>284.12</v>
      </c>
      <c r="M1559" s="10">
        <v>571.03</v>
      </c>
      <c r="N1559" s="8">
        <v>5</v>
      </c>
      <c r="O1559" s="6">
        <v>1.6</v>
      </c>
    </row>
    <row r="1560" spans="1:15" x14ac:dyDescent="0.25">
      <c r="A1560" s="8">
        <v>69836</v>
      </c>
      <c r="B1560" s="9" t="s">
        <v>41</v>
      </c>
      <c r="C1560" s="9" t="s">
        <v>46</v>
      </c>
      <c r="D1560" s="9" t="s">
        <v>25</v>
      </c>
      <c r="E1560" s="9" t="s">
        <v>13</v>
      </c>
      <c r="F1560" s="9" t="str">
        <f t="shared" si="24"/>
        <v>Delivered</v>
      </c>
      <c r="G1560" s="9" t="b">
        <v>0</v>
      </c>
      <c r="H1560" s="9" t="s">
        <v>18</v>
      </c>
      <c r="I1560" s="8">
        <v>1011</v>
      </c>
      <c r="J1560" s="10">
        <v>1556.39</v>
      </c>
      <c r="K1560" s="10">
        <v>100.68</v>
      </c>
      <c r="L1560" s="10">
        <v>0</v>
      </c>
      <c r="M1560" s="10">
        <v>1657.07</v>
      </c>
      <c r="N1560" s="8">
        <v>1</v>
      </c>
      <c r="O1560" s="6">
        <v>1.2</v>
      </c>
    </row>
    <row r="1561" spans="1:15" x14ac:dyDescent="0.25">
      <c r="A1561" s="8">
        <v>66072</v>
      </c>
      <c r="B1561" s="9" t="s">
        <v>5</v>
      </c>
      <c r="C1561" s="9" t="s">
        <v>44</v>
      </c>
      <c r="D1561" s="9" t="s">
        <v>27</v>
      </c>
      <c r="E1561" s="9" t="s">
        <v>8</v>
      </c>
      <c r="F1561" s="9" t="str">
        <f t="shared" si="24"/>
        <v>Not Delivered</v>
      </c>
      <c r="G1561" s="9" t="b">
        <v>1</v>
      </c>
      <c r="H1561" s="9" t="s">
        <v>4</v>
      </c>
      <c r="I1561" s="8">
        <v>4314</v>
      </c>
      <c r="J1561" s="10">
        <v>1290.9100000000001</v>
      </c>
      <c r="K1561" s="10">
        <v>59.37</v>
      </c>
      <c r="L1561" s="10">
        <v>69.010000000000005</v>
      </c>
      <c r="M1561" s="10">
        <v>1419.29</v>
      </c>
      <c r="N1561" s="8">
        <v>2</v>
      </c>
      <c r="O1561" s="6">
        <v>2.6</v>
      </c>
    </row>
    <row r="1562" spans="1:15" x14ac:dyDescent="0.25">
      <c r="A1562" s="8">
        <v>27290</v>
      </c>
      <c r="B1562" s="9" t="s">
        <v>23</v>
      </c>
      <c r="C1562" s="9" t="s">
        <v>34</v>
      </c>
      <c r="D1562" s="9" t="s">
        <v>16</v>
      </c>
      <c r="E1562" s="9" t="s">
        <v>21</v>
      </c>
      <c r="F1562" s="9" t="str">
        <f t="shared" si="24"/>
        <v>Not Delivered</v>
      </c>
      <c r="G1562" s="9" t="b">
        <v>1</v>
      </c>
      <c r="H1562" s="9" t="s">
        <v>22</v>
      </c>
      <c r="I1562" s="8">
        <v>5945</v>
      </c>
      <c r="J1562" s="10">
        <v>2689.32</v>
      </c>
      <c r="K1562" s="10">
        <v>109.04</v>
      </c>
      <c r="L1562" s="10">
        <v>233.95</v>
      </c>
      <c r="M1562" s="10">
        <v>3032.31</v>
      </c>
      <c r="N1562" s="8">
        <v>9</v>
      </c>
      <c r="O1562" s="6">
        <v>3.9</v>
      </c>
    </row>
    <row r="1563" spans="1:15" x14ac:dyDescent="0.25">
      <c r="A1563" s="8">
        <v>30837</v>
      </c>
      <c r="B1563" s="9" t="s">
        <v>39</v>
      </c>
      <c r="C1563" s="9" t="s">
        <v>57</v>
      </c>
      <c r="D1563" s="9" t="s">
        <v>2</v>
      </c>
      <c r="E1563" s="9" t="s">
        <v>3</v>
      </c>
      <c r="F1563" s="9" t="str">
        <f t="shared" si="24"/>
        <v>Not Delivered</v>
      </c>
      <c r="G1563" s="9" t="b">
        <v>1</v>
      </c>
      <c r="H1563" s="9" t="s">
        <v>4</v>
      </c>
      <c r="I1563" s="8">
        <v>5489</v>
      </c>
      <c r="J1563" s="10">
        <v>459.33</v>
      </c>
      <c r="K1563" s="10">
        <v>69.16</v>
      </c>
      <c r="L1563" s="10">
        <v>31.47</v>
      </c>
      <c r="M1563" s="10">
        <v>559.96</v>
      </c>
      <c r="N1563" s="8">
        <v>13</v>
      </c>
    </row>
    <row r="1564" spans="1:15" x14ac:dyDescent="0.25">
      <c r="A1564" s="8">
        <v>22234</v>
      </c>
      <c r="B1564" s="9" t="s">
        <v>10</v>
      </c>
      <c r="C1564" s="9" t="s">
        <v>20</v>
      </c>
      <c r="D1564" s="9" t="s">
        <v>30</v>
      </c>
      <c r="E1564" s="9" t="s">
        <v>32</v>
      </c>
      <c r="F1564" s="9" t="str">
        <f t="shared" si="24"/>
        <v>Not Delivered</v>
      </c>
      <c r="G1564" s="9" t="b">
        <v>1</v>
      </c>
      <c r="H1564" s="9" t="s">
        <v>33</v>
      </c>
      <c r="I1564" s="8">
        <v>6905</v>
      </c>
      <c r="J1564" s="10">
        <v>183.64</v>
      </c>
      <c r="K1564" s="10">
        <v>92.47</v>
      </c>
      <c r="L1564" s="10">
        <v>74.38</v>
      </c>
      <c r="M1564" s="10">
        <v>350.49</v>
      </c>
      <c r="N1564" s="8">
        <v>11</v>
      </c>
      <c r="O1564" s="6">
        <v>3.8</v>
      </c>
    </row>
    <row r="1565" spans="1:15" x14ac:dyDescent="0.25">
      <c r="A1565" s="8">
        <v>42819</v>
      </c>
      <c r="B1565" s="9" t="s">
        <v>0</v>
      </c>
      <c r="C1565" s="9" t="s">
        <v>37</v>
      </c>
      <c r="D1565" s="9" t="s">
        <v>2</v>
      </c>
      <c r="E1565" s="9" t="s">
        <v>3</v>
      </c>
      <c r="F1565" s="9" t="str">
        <f t="shared" si="24"/>
        <v>Not Delivered</v>
      </c>
      <c r="G1565" s="9" t="b">
        <v>0</v>
      </c>
      <c r="H1565" s="9" t="s">
        <v>22</v>
      </c>
      <c r="I1565" s="8">
        <v>2350</v>
      </c>
      <c r="J1565" s="10">
        <v>734.17</v>
      </c>
      <c r="K1565" s="10">
        <v>96.02</v>
      </c>
      <c r="L1565" s="10">
        <v>0</v>
      </c>
      <c r="M1565" s="10">
        <v>830.19</v>
      </c>
      <c r="N1565" s="8">
        <v>3</v>
      </c>
      <c r="O1565" s="6">
        <v>1.2</v>
      </c>
    </row>
    <row r="1566" spans="1:15" x14ac:dyDescent="0.25">
      <c r="A1566" s="8">
        <v>58738</v>
      </c>
      <c r="B1566" s="9" t="s">
        <v>0</v>
      </c>
      <c r="C1566" s="9" t="s">
        <v>51</v>
      </c>
      <c r="D1566" s="9" t="s">
        <v>30</v>
      </c>
      <c r="E1566" s="9" t="s">
        <v>13</v>
      </c>
      <c r="F1566" s="9" t="str">
        <f t="shared" si="24"/>
        <v>Delivered</v>
      </c>
      <c r="G1566" s="9" t="b">
        <v>0</v>
      </c>
      <c r="H1566" s="9" t="s">
        <v>28</v>
      </c>
      <c r="I1566" s="8">
        <v>3711</v>
      </c>
      <c r="J1566" s="10">
        <v>1527.89</v>
      </c>
      <c r="K1566" s="10">
        <v>104.68</v>
      </c>
      <c r="L1566" s="10">
        <v>0</v>
      </c>
      <c r="M1566" s="10">
        <v>1632.57</v>
      </c>
      <c r="N1566" s="8">
        <v>10</v>
      </c>
      <c r="O1566" s="6">
        <v>2.1</v>
      </c>
    </row>
    <row r="1567" spans="1:15" x14ac:dyDescent="0.25">
      <c r="A1567" s="8">
        <v>16787</v>
      </c>
      <c r="B1567" s="9" t="s">
        <v>5</v>
      </c>
      <c r="C1567" s="9" t="s">
        <v>44</v>
      </c>
      <c r="D1567" s="9" t="s">
        <v>27</v>
      </c>
      <c r="E1567" s="9" t="s">
        <v>3</v>
      </c>
      <c r="F1567" s="9" t="str">
        <f t="shared" si="24"/>
        <v>Not Delivered</v>
      </c>
      <c r="G1567" s="9" t="b">
        <v>1</v>
      </c>
      <c r="H1567" s="9" t="s">
        <v>33</v>
      </c>
      <c r="I1567" s="8">
        <v>7493</v>
      </c>
      <c r="J1567" s="10">
        <v>226.72</v>
      </c>
      <c r="K1567" s="10">
        <v>67.06</v>
      </c>
      <c r="L1567" s="10">
        <v>171.35</v>
      </c>
      <c r="M1567" s="10">
        <v>465.13</v>
      </c>
      <c r="N1567" s="8">
        <v>6</v>
      </c>
      <c r="O1567" s="6">
        <v>2</v>
      </c>
    </row>
    <row r="1568" spans="1:15" x14ac:dyDescent="0.25">
      <c r="A1568" s="8">
        <v>91999</v>
      </c>
      <c r="B1568" s="9" t="s">
        <v>41</v>
      </c>
      <c r="C1568" s="9" t="s">
        <v>46</v>
      </c>
      <c r="D1568" s="9" t="s">
        <v>25</v>
      </c>
      <c r="E1568" s="9" t="s">
        <v>3</v>
      </c>
      <c r="F1568" s="9" t="str">
        <f t="shared" si="24"/>
        <v>Not Delivered</v>
      </c>
      <c r="G1568" s="9" t="b">
        <v>1</v>
      </c>
      <c r="H1568" s="9" t="s">
        <v>28</v>
      </c>
      <c r="I1568" s="8">
        <v>6005</v>
      </c>
      <c r="J1568" s="10">
        <v>300.76</v>
      </c>
      <c r="K1568" s="10">
        <v>97.57</v>
      </c>
      <c r="L1568" s="10">
        <v>153.46</v>
      </c>
      <c r="M1568" s="10">
        <v>551.79</v>
      </c>
      <c r="N1568" s="8">
        <v>9</v>
      </c>
      <c r="O1568" s="6">
        <v>1.9</v>
      </c>
    </row>
    <row r="1569" spans="1:15" x14ac:dyDescent="0.25">
      <c r="A1569" s="8">
        <v>40689</v>
      </c>
      <c r="B1569" s="9" t="s">
        <v>10</v>
      </c>
      <c r="C1569" s="9" t="s">
        <v>20</v>
      </c>
      <c r="D1569" s="9" t="s">
        <v>2</v>
      </c>
      <c r="E1569" s="9" t="s">
        <v>17</v>
      </c>
      <c r="F1569" s="9" t="str">
        <f t="shared" si="24"/>
        <v>Not Delivered</v>
      </c>
      <c r="G1569" s="9" t="b">
        <v>0</v>
      </c>
      <c r="H1569" s="9" t="s">
        <v>4</v>
      </c>
      <c r="I1569" s="8">
        <v>8032</v>
      </c>
      <c r="J1569" s="10">
        <v>1011.09</v>
      </c>
      <c r="K1569" s="10">
        <v>125.29</v>
      </c>
      <c r="L1569" s="10">
        <v>0</v>
      </c>
      <c r="M1569" s="10">
        <v>1136.3800000000001</v>
      </c>
      <c r="N1569" s="8">
        <v>10</v>
      </c>
      <c r="O1569" s="6">
        <v>2.7</v>
      </c>
    </row>
    <row r="1570" spans="1:15" x14ac:dyDescent="0.25">
      <c r="A1570" s="8">
        <v>95915</v>
      </c>
      <c r="B1570" s="9" t="s">
        <v>10</v>
      </c>
      <c r="C1570" s="9" t="s">
        <v>26</v>
      </c>
      <c r="D1570" s="9" t="s">
        <v>19</v>
      </c>
      <c r="E1570" s="9" t="s">
        <v>8</v>
      </c>
      <c r="F1570" s="9" t="str">
        <f t="shared" si="24"/>
        <v>Not Delivered</v>
      </c>
      <c r="G1570" s="9" t="b">
        <v>1</v>
      </c>
      <c r="H1570" s="9" t="s">
        <v>9</v>
      </c>
      <c r="I1570" s="8">
        <v>2494</v>
      </c>
      <c r="J1570" s="10">
        <v>507.46</v>
      </c>
      <c r="K1570" s="10">
        <v>108.65</v>
      </c>
      <c r="L1570" s="10">
        <v>166.12</v>
      </c>
      <c r="M1570" s="10">
        <v>782.23</v>
      </c>
      <c r="N1570" s="8">
        <v>10</v>
      </c>
      <c r="O1570" s="6">
        <v>1.7</v>
      </c>
    </row>
    <row r="1571" spans="1:15" x14ac:dyDescent="0.25">
      <c r="A1571" s="8">
        <v>22475</v>
      </c>
      <c r="B1571" s="9" t="s">
        <v>5</v>
      </c>
      <c r="C1571" s="9" t="s">
        <v>36</v>
      </c>
      <c r="D1571" s="9" t="s">
        <v>50</v>
      </c>
      <c r="E1571" s="9" t="s">
        <v>13</v>
      </c>
      <c r="F1571" s="9" t="str">
        <f t="shared" si="24"/>
        <v>Delivered</v>
      </c>
      <c r="G1571" s="9" t="b">
        <v>0</v>
      </c>
      <c r="H1571" s="9" t="s">
        <v>18</v>
      </c>
      <c r="I1571" s="8">
        <v>1017</v>
      </c>
      <c r="J1571" s="10">
        <v>690.69</v>
      </c>
      <c r="K1571" s="10">
        <v>139.44</v>
      </c>
      <c r="L1571" s="10">
        <v>0</v>
      </c>
      <c r="M1571" s="10">
        <v>830.13</v>
      </c>
      <c r="N1571" s="8">
        <v>3</v>
      </c>
      <c r="O1571" s="6">
        <v>1.2</v>
      </c>
    </row>
    <row r="1572" spans="1:15" x14ac:dyDescent="0.25">
      <c r="A1572" s="8">
        <v>37973</v>
      </c>
      <c r="B1572" s="9" t="s">
        <v>41</v>
      </c>
      <c r="C1572" s="9" t="s">
        <v>47</v>
      </c>
      <c r="D1572" s="9" t="s">
        <v>50</v>
      </c>
      <c r="E1572" s="9" t="s">
        <v>17</v>
      </c>
      <c r="F1572" s="9" t="str">
        <f t="shared" si="24"/>
        <v>Not Delivered</v>
      </c>
      <c r="G1572" s="9" t="b">
        <v>1</v>
      </c>
      <c r="H1572" s="9" t="s">
        <v>18</v>
      </c>
      <c r="I1572" s="8">
        <v>8812</v>
      </c>
      <c r="J1572" s="10">
        <v>1181.3399999999999</v>
      </c>
      <c r="K1572" s="10">
        <v>120.03</v>
      </c>
      <c r="L1572" s="10">
        <v>190.64</v>
      </c>
      <c r="M1572" s="10">
        <v>1492.01</v>
      </c>
      <c r="N1572" s="8">
        <v>5</v>
      </c>
      <c r="O1572" s="6">
        <v>3</v>
      </c>
    </row>
    <row r="1573" spans="1:15" x14ac:dyDescent="0.25">
      <c r="A1573" s="8">
        <v>20215</v>
      </c>
      <c r="B1573" s="9" t="s">
        <v>5</v>
      </c>
      <c r="C1573" s="9" t="s">
        <v>44</v>
      </c>
      <c r="D1573" s="9" t="s">
        <v>12</v>
      </c>
      <c r="E1573" s="9" t="s">
        <v>3</v>
      </c>
      <c r="F1573" s="9" t="str">
        <f t="shared" si="24"/>
        <v>Not Delivered</v>
      </c>
      <c r="G1573" s="9" t="b">
        <v>1</v>
      </c>
      <c r="H1573" s="9" t="s">
        <v>14</v>
      </c>
      <c r="I1573" s="8">
        <v>3174</v>
      </c>
      <c r="J1573" s="10">
        <v>931.13</v>
      </c>
      <c r="K1573" s="10">
        <v>0</v>
      </c>
      <c r="L1573" s="10">
        <v>127.36</v>
      </c>
      <c r="M1573" s="10">
        <v>1058.49</v>
      </c>
      <c r="N1573" s="8">
        <v>13</v>
      </c>
      <c r="O1573" s="6">
        <v>2.6</v>
      </c>
    </row>
    <row r="1574" spans="1:15" x14ac:dyDescent="0.25">
      <c r="A1574" s="8">
        <v>87814</v>
      </c>
      <c r="B1574" s="9" t="s">
        <v>0</v>
      </c>
      <c r="C1574" s="9" t="s">
        <v>37</v>
      </c>
      <c r="D1574" s="9" t="s">
        <v>30</v>
      </c>
      <c r="E1574" s="9" t="s">
        <v>21</v>
      </c>
      <c r="F1574" s="9" t="str">
        <f t="shared" si="24"/>
        <v>Not Delivered</v>
      </c>
      <c r="G1574" s="9" t="b">
        <v>1</v>
      </c>
      <c r="H1574" s="9" t="s">
        <v>22</v>
      </c>
      <c r="I1574" s="8">
        <v>4705</v>
      </c>
      <c r="J1574" s="10">
        <v>1629.35</v>
      </c>
      <c r="K1574" s="10">
        <v>56.53</v>
      </c>
      <c r="L1574" s="10">
        <v>159.44999999999999</v>
      </c>
      <c r="M1574" s="10">
        <v>1845.33</v>
      </c>
      <c r="N1574" s="8">
        <v>10</v>
      </c>
      <c r="O1574" s="6">
        <v>3.5</v>
      </c>
    </row>
    <row r="1575" spans="1:15" x14ac:dyDescent="0.25">
      <c r="A1575" s="8">
        <v>78084</v>
      </c>
      <c r="B1575" s="9" t="s">
        <v>5</v>
      </c>
      <c r="C1575" s="9" t="s">
        <v>44</v>
      </c>
      <c r="D1575" s="9" t="s">
        <v>19</v>
      </c>
      <c r="E1575" s="9" t="s">
        <v>13</v>
      </c>
      <c r="F1575" s="9" t="str">
        <f t="shared" si="24"/>
        <v>Delivered</v>
      </c>
      <c r="G1575" s="9" t="b">
        <v>1</v>
      </c>
      <c r="H1575" s="9" t="s">
        <v>18</v>
      </c>
      <c r="I1575" s="8">
        <v>8291</v>
      </c>
      <c r="J1575" s="10">
        <v>1261.97</v>
      </c>
      <c r="K1575" s="10">
        <v>59.69</v>
      </c>
      <c r="L1575" s="10">
        <v>190.63</v>
      </c>
      <c r="M1575" s="10">
        <v>1512.29</v>
      </c>
      <c r="N1575" s="8">
        <v>9</v>
      </c>
      <c r="O1575" s="6">
        <v>1.4</v>
      </c>
    </row>
    <row r="1576" spans="1:15" x14ac:dyDescent="0.25">
      <c r="A1576" s="8">
        <v>11217</v>
      </c>
      <c r="B1576" s="9" t="s">
        <v>23</v>
      </c>
      <c r="C1576" s="9" t="s">
        <v>54</v>
      </c>
      <c r="D1576" s="9" t="s">
        <v>16</v>
      </c>
      <c r="E1576" s="9" t="s">
        <v>21</v>
      </c>
      <c r="F1576" s="9" t="str">
        <f t="shared" si="24"/>
        <v>Not Delivered</v>
      </c>
      <c r="G1576" s="9" t="b">
        <v>1</v>
      </c>
      <c r="H1576" s="9" t="s">
        <v>33</v>
      </c>
      <c r="I1576" s="8">
        <v>1132</v>
      </c>
      <c r="J1576" s="10">
        <v>1935.78</v>
      </c>
      <c r="K1576" s="10">
        <v>104.59</v>
      </c>
      <c r="L1576" s="10">
        <v>254.47</v>
      </c>
      <c r="M1576" s="10">
        <v>2294.84</v>
      </c>
      <c r="N1576" s="8">
        <v>9</v>
      </c>
      <c r="O1576" s="6">
        <v>4.7</v>
      </c>
    </row>
    <row r="1577" spans="1:15" x14ac:dyDescent="0.25">
      <c r="A1577" s="8">
        <v>55032</v>
      </c>
      <c r="B1577" s="9" t="s">
        <v>0</v>
      </c>
      <c r="C1577" s="9" t="s">
        <v>1</v>
      </c>
      <c r="E1577" s="9" t="s">
        <v>8</v>
      </c>
      <c r="F1577" s="9" t="str">
        <f t="shared" si="24"/>
        <v>Not Delivered</v>
      </c>
      <c r="G1577" s="9" t="b">
        <v>1</v>
      </c>
      <c r="H1577" s="9" t="s">
        <v>14</v>
      </c>
      <c r="I1577" s="8">
        <v>2975</v>
      </c>
      <c r="J1577" s="10">
        <v>690.09</v>
      </c>
      <c r="K1577" s="10">
        <v>147.88999999999999</v>
      </c>
      <c r="L1577" s="10">
        <v>28.1</v>
      </c>
      <c r="M1577" s="10">
        <v>866.08</v>
      </c>
      <c r="N1577" s="8">
        <v>3</v>
      </c>
      <c r="O1577" s="6">
        <v>3.7</v>
      </c>
    </row>
    <row r="1578" spans="1:15" x14ac:dyDescent="0.25">
      <c r="A1578" s="8">
        <v>65353</v>
      </c>
      <c r="B1578" s="9" t="s">
        <v>39</v>
      </c>
      <c r="C1578" s="9" t="s">
        <v>52</v>
      </c>
      <c r="D1578" s="9" t="s">
        <v>27</v>
      </c>
      <c r="E1578" s="9" t="s">
        <v>8</v>
      </c>
      <c r="F1578" s="9" t="str">
        <f t="shared" si="24"/>
        <v>Not Delivered</v>
      </c>
      <c r="G1578" s="9" t="b">
        <v>1</v>
      </c>
      <c r="H1578" s="9" t="s">
        <v>4</v>
      </c>
      <c r="I1578" s="8">
        <v>3165</v>
      </c>
      <c r="J1578" s="10">
        <v>429.88</v>
      </c>
      <c r="K1578" s="10">
        <v>94.66</v>
      </c>
      <c r="L1578" s="10">
        <v>111.34</v>
      </c>
      <c r="M1578" s="10">
        <v>635.88</v>
      </c>
      <c r="N1578" s="8">
        <v>8</v>
      </c>
    </row>
    <row r="1579" spans="1:15" x14ac:dyDescent="0.25">
      <c r="A1579" s="8">
        <v>72613</v>
      </c>
      <c r="B1579" s="9" t="s">
        <v>23</v>
      </c>
      <c r="C1579" s="9" t="s">
        <v>34</v>
      </c>
      <c r="D1579" s="9" t="s">
        <v>12</v>
      </c>
      <c r="E1579" s="9" t="s">
        <v>21</v>
      </c>
      <c r="F1579" s="9" t="str">
        <f t="shared" si="24"/>
        <v>Not Delivered</v>
      </c>
      <c r="G1579" s="9" t="b">
        <v>1</v>
      </c>
      <c r="H1579" s="9" t="s">
        <v>18</v>
      </c>
      <c r="I1579" s="8">
        <v>2160</v>
      </c>
      <c r="J1579" s="10">
        <v>1682.78</v>
      </c>
      <c r="K1579" s="10">
        <v>130.75</v>
      </c>
      <c r="L1579" s="10">
        <v>197.16</v>
      </c>
      <c r="M1579" s="10">
        <v>2010.69</v>
      </c>
      <c r="N1579" s="8">
        <v>7</v>
      </c>
      <c r="O1579" s="6">
        <v>3.6</v>
      </c>
    </row>
    <row r="1580" spans="1:15" x14ac:dyDescent="0.25">
      <c r="A1580" s="8">
        <v>40008</v>
      </c>
      <c r="B1580" s="9" t="s">
        <v>10</v>
      </c>
      <c r="C1580" s="9" t="s">
        <v>11</v>
      </c>
      <c r="D1580" s="9" t="s">
        <v>2</v>
      </c>
      <c r="E1580" s="9" t="s">
        <v>8</v>
      </c>
      <c r="F1580" s="9" t="str">
        <f t="shared" si="24"/>
        <v>Not Delivered</v>
      </c>
      <c r="G1580" s="9" t="b">
        <v>0</v>
      </c>
      <c r="H1580" s="9" t="s">
        <v>22</v>
      </c>
      <c r="I1580" s="8">
        <v>7276</v>
      </c>
      <c r="J1580" s="10">
        <v>807.54</v>
      </c>
      <c r="K1580" s="10">
        <v>0</v>
      </c>
      <c r="L1580" s="10">
        <v>0</v>
      </c>
      <c r="M1580" s="10">
        <v>807.54</v>
      </c>
      <c r="N1580" s="8">
        <v>1</v>
      </c>
    </row>
    <row r="1581" spans="1:15" x14ac:dyDescent="0.25">
      <c r="A1581" s="8">
        <v>21708</v>
      </c>
      <c r="B1581" s="9" t="s">
        <v>41</v>
      </c>
      <c r="C1581" s="9" t="s">
        <v>61</v>
      </c>
      <c r="D1581" s="9" t="s">
        <v>16</v>
      </c>
      <c r="E1581" s="9" t="s">
        <v>3</v>
      </c>
      <c r="F1581" s="9" t="str">
        <f t="shared" si="24"/>
        <v>Not Delivered</v>
      </c>
      <c r="G1581" s="9" t="b">
        <v>0</v>
      </c>
      <c r="H1581" s="9" t="s">
        <v>22</v>
      </c>
      <c r="I1581" s="8">
        <v>2678</v>
      </c>
      <c r="J1581" s="10">
        <v>2075.39</v>
      </c>
      <c r="K1581" s="10">
        <v>0</v>
      </c>
      <c r="L1581" s="10">
        <v>0</v>
      </c>
      <c r="M1581" s="10">
        <v>2075.39</v>
      </c>
      <c r="N1581" s="8">
        <v>3</v>
      </c>
    </row>
    <row r="1582" spans="1:15" x14ac:dyDescent="0.25">
      <c r="A1582" s="8">
        <v>23526</v>
      </c>
      <c r="B1582" s="9" t="s">
        <v>10</v>
      </c>
      <c r="C1582" s="9" t="s">
        <v>15</v>
      </c>
      <c r="D1582" s="9" t="s">
        <v>50</v>
      </c>
      <c r="E1582" s="9" t="s">
        <v>13</v>
      </c>
      <c r="F1582" s="9" t="str">
        <f t="shared" si="24"/>
        <v>Delivered</v>
      </c>
      <c r="G1582" s="9" t="b">
        <v>0</v>
      </c>
      <c r="H1582" s="9" t="s">
        <v>9</v>
      </c>
      <c r="I1582" s="8">
        <v>6133</v>
      </c>
      <c r="J1582" s="10">
        <v>1265.44</v>
      </c>
      <c r="K1582" s="10">
        <v>91.05</v>
      </c>
      <c r="L1582" s="10">
        <v>0</v>
      </c>
      <c r="M1582" s="10">
        <v>1356.49</v>
      </c>
      <c r="N1582" s="8">
        <v>13</v>
      </c>
      <c r="O1582" s="6">
        <v>1.6</v>
      </c>
    </row>
    <row r="1583" spans="1:15" x14ac:dyDescent="0.25">
      <c r="A1583" s="8">
        <v>58177</v>
      </c>
      <c r="B1583" s="9" t="s">
        <v>10</v>
      </c>
      <c r="C1583" s="9" t="s">
        <v>20</v>
      </c>
      <c r="D1583" s="9" t="s">
        <v>19</v>
      </c>
      <c r="E1583" s="9" t="s">
        <v>32</v>
      </c>
      <c r="F1583" s="9" t="str">
        <f t="shared" si="24"/>
        <v>Not Delivered</v>
      </c>
      <c r="G1583" s="9" t="b">
        <v>0</v>
      </c>
      <c r="H1583" s="9" t="s">
        <v>14</v>
      </c>
      <c r="I1583" s="8">
        <v>5902</v>
      </c>
      <c r="J1583" s="10">
        <v>1536.91</v>
      </c>
      <c r="K1583" s="10">
        <v>139.25</v>
      </c>
      <c r="L1583" s="10">
        <v>0</v>
      </c>
      <c r="M1583" s="10">
        <v>1676.16</v>
      </c>
      <c r="N1583" s="8">
        <v>13</v>
      </c>
      <c r="O1583" s="6">
        <v>4.0999999999999996</v>
      </c>
    </row>
    <row r="1584" spans="1:15" x14ac:dyDescent="0.25">
      <c r="A1584" s="8">
        <v>27973</v>
      </c>
      <c r="B1584" s="9" t="s">
        <v>41</v>
      </c>
      <c r="C1584" s="9" t="s">
        <v>47</v>
      </c>
      <c r="D1584" s="9" t="s">
        <v>7</v>
      </c>
      <c r="E1584" s="9" t="s">
        <v>8</v>
      </c>
      <c r="F1584" s="9" t="str">
        <f t="shared" si="24"/>
        <v>Not Delivered</v>
      </c>
      <c r="G1584" s="9" t="b">
        <v>0</v>
      </c>
      <c r="H1584" s="9" t="s">
        <v>28</v>
      </c>
      <c r="I1584" s="8">
        <v>7270</v>
      </c>
      <c r="J1584" s="10">
        <v>1235.33</v>
      </c>
      <c r="K1584" s="10">
        <v>0</v>
      </c>
      <c r="L1584" s="10">
        <v>0</v>
      </c>
      <c r="M1584" s="10">
        <v>1235.33</v>
      </c>
      <c r="N1584" s="8">
        <v>5</v>
      </c>
      <c r="O1584" s="6">
        <v>4.5</v>
      </c>
    </row>
    <row r="1585" spans="1:15" x14ac:dyDescent="0.25">
      <c r="A1585" s="8">
        <v>27451</v>
      </c>
      <c r="B1585" s="9" t="s">
        <v>39</v>
      </c>
      <c r="C1585" s="9" t="s">
        <v>52</v>
      </c>
      <c r="D1585" s="9" t="s">
        <v>19</v>
      </c>
      <c r="E1585" s="9" t="s">
        <v>17</v>
      </c>
      <c r="F1585" s="9" t="str">
        <f t="shared" si="24"/>
        <v>Not Delivered</v>
      </c>
      <c r="G1585" s="9" t="b">
        <v>0</v>
      </c>
      <c r="H1585" s="9" t="s">
        <v>4</v>
      </c>
      <c r="I1585" s="8">
        <v>3340</v>
      </c>
      <c r="J1585" s="10">
        <v>1074.8499999999999</v>
      </c>
      <c r="K1585" s="10">
        <v>0</v>
      </c>
      <c r="L1585" s="10">
        <v>0</v>
      </c>
      <c r="M1585" s="10">
        <v>1074.8499999999999</v>
      </c>
      <c r="N1585" s="8">
        <v>11</v>
      </c>
      <c r="O1585" s="6">
        <v>3.4</v>
      </c>
    </row>
    <row r="1586" spans="1:15" x14ac:dyDescent="0.25">
      <c r="A1586" s="8">
        <v>18966</v>
      </c>
      <c r="B1586" s="9" t="s">
        <v>0</v>
      </c>
      <c r="C1586" s="9" t="s">
        <v>37</v>
      </c>
      <c r="D1586" s="9" t="s">
        <v>45</v>
      </c>
      <c r="E1586" s="9" t="s">
        <v>8</v>
      </c>
      <c r="F1586" s="9" t="str">
        <f t="shared" si="24"/>
        <v>Not Delivered</v>
      </c>
      <c r="G1586" s="9" t="b">
        <v>1</v>
      </c>
      <c r="H1586" s="9" t="s">
        <v>22</v>
      </c>
      <c r="I1586" s="8">
        <v>9691</v>
      </c>
      <c r="J1586" s="10">
        <v>414.44</v>
      </c>
      <c r="K1586" s="10">
        <v>39.01</v>
      </c>
      <c r="L1586" s="10">
        <v>64.709999999999994</v>
      </c>
      <c r="M1586" s="10">
        <v>518.16</v>
      </c>
      <c r="N1586" s="8">
        <v>13</v>
      </c>
      <c r="O1586" s="6">
        <v>2.7</v>
      </c>
    </row>
    <row r="1587" spans="1:15" x14ac:dyDescent="0.25">
      <c r="A1587" s="8">
        <v>83831</v>
      </c>
      <c r="B1587" s="9" t="s">
        <v>39</v>
      </c>
      <c r="C1587" s="9" t="s">
        <v>52</v>
      </c>
      <c r="D1587" s="9" t="s">
        <v>7</v>
      </c>
      <c r="E1587" s="9" t="s">
        <v>13</v>
      </c>
      <c r="F1587" s="9" t="str">
        <f t="shared" si="24"/>
        <v>Delivered</v>
      </c>
      <c r="G1587" s="9" t="b">
        <v>0</v>
      </c>
      <c r="H1587" s="9" t="s">
        <v>22</v>
      </c>
      <c r="I1587" s="8">
        <v>1138</v>
      </c>
      <c r="J1587" s="10">
        <v>649.76</v>
      </c>
      <c r="K1587" s="10">
        <v>111.33</v>
      </c>
      <c r="L1587" s="10">
        <v>0</v>
      </c>
      <c r="M1587" s="10">
        <v>761.09</v>
      </c>
      <c r="N1587" s="8">
        <v>1</v>
      </c>
    </row>
    <row r="1588" spans="1:15" x14ac:dyDescent="0.25">
      <c r="A1588" s="8">
        <v>89995</v>
      </c>
      <c r="B1588" s="9" t="s">
        <v>5</v>
      </c>
      <c r="C1588" s="9" t="s">
        <v>6</v>
      </c>
      <c r="D1588" s="9" t="s">
        <v>25</v>
      </c>
      <c r="E1588" s="9" t="s">
        <v>17</v>
      </c>
      <c r="F1588" s="9" t="str">
        <f t="shared" si="24"/>
        <v>Not Delivered</v>
      </c>
      <c r="G1588" s="9" t="b">
        <v>0</v>
      </c>
      <c r="H1588" s="9" t="s">
        <v>14</v>
      </c>
      <c r="I1588" s="8">
        <v>3688</v>
      </c>
      <c r="J1588" s="10">
        <v>1056.77</v>
      </c>
      <c r="K1588" s="10">
        <v>100.34</v>
      </c>
      <c r="L1588" s="10">
        <v>0</v>
      </c>
      <c r="M1588" s="10">
        <v>1157.1099999999999</v>
      </c>
      <c r="N1588" s="8">
        <v>9</v>
      </c>
      <c r="O1588" s="6">
        <v>3.6</v>
      </c>
    </row>
    <row r="1589" spans="1:15" x14ac:dyDescent="0.25">
      <c r="A1589" s="8">
        <v>67684</v>
      </c>
      <c r="B1589" s="9" t="s">
        <v>41</v>
      </c>
      <c r="C1589" s="9" t="s">
        <v>47</v>
      </c>
      <c r="D1589" s="9" t="s">
        <v>19</v>
      </c>
      <c r="E1589" s="9" t="s">
        <v>17</v>
      </c>
      <c r="F1589" s="9" t="str">
        <f t="shared" si="24"/>
        <v>Not Delivered</v>
      </c>
      <c r="G1589" s="9" t="b">
        <v>0</v>
      </c>
      <c r="H1589" s="9" t="s">
        <v>28</v>
      </c>
      <c r="I1589" s="8">
        <v>6753</v>
      </c>
      <c r="J1589" s="10">
        <v>538.37</v>
      </c>
      <c r="K1589" s="10">
        <v>148.19999999999999</v>
      </c>
      <c r="L1589" s="10">
        <v>0</v>
      </c>
      <c r="M1589" s="10">
        <v>686.57</v>
      </c>
      <c r="N1589" s="8">
        <v>12</v>
      </c>
      <c r="O1589" s="6">
        <v>3.2</v>
      </c>
    </row>
    <row r="1590" spans="1:15" x14ac:dyDescent="0.25">
      <c r="A1590" s="8">
        <v>37925</v>
      </c>
      <c r="B1590" s="9" t="s">
        <v>41</v>
      </c>
      <c r="C1590" s="9" t="s">
        <v>61</v>
      </c>
      <c r="D1590" s="9" t="s">
        <v>38</v>
      </c>
      <c r="E1590" s="9" t="s">
        <v>3</v>
      </c>
      <c r="F1590" s="9" t="str">
        <f t="shared" si="24"/>
        <v>Not Delivered</v>
      </c>
      <c r="G1590" s="9" t="b">
        <v>0</v>
      </c>
      <c r="H1590" s="9" t="s">
        <v>14</v>
      </c>
      <c r="I1590" s="8">
        <v>3480</v>
      </c>
      <c r="J1590" s="10">
        <v>1276.99</v>
      </c>
      <c r="K1590" s="10">
        <v>51.36</v>
      </c>
      <c r="L1590" s="10">
        <v>0</v>
      </c>
      <c r="M1590" s="10">
        <v>1328.35</v>
      </c>
      <c r="N1590" s="8">
        <v>8</v>
      </c>
    </row>
    <row r="1591" spans="1:15" x14ac:dyDescent="0.25">
      <c r="A1591" s="8">
        <v>63963</v>
      </c>
      <c r="B1591" s="9" t="s">
        <v>10</v>
      </c>
      <c r="C1591" s="9" t="s">
        <v>29</v>
      </c>
      <c r="D1591" s="9" t="s">
        <v>45</v>
      </c>
      <c r="E1591" s="9" t="s">
        <v>13</v>
      </c>
      <c r="F1591" s="9" t="str">
        <f t="shared" si="24"/>
        <v>Delivered</v>
      </c>
      <c r="G1591" s="9" t="b">
        <v>1</v>
      </c>
      <c r="H1591" s="9" t="s">
        <v>28</v>
      </c>
      <c r="I1591" s="8">
        <v>8248</v>
      </c>
      <c r="J1591" s="10">
        <v>1313.33</v>
      </c>
      <c r="K1591" s="10">
        <v>64.73</v>
      </c>
      <c r="L1591" s="10">
        <v>52.67</v>
      </c>
      <c r="M1591" s="10">
        <v>1430.73</v>
      </c>
      <c r="N1591" s="8">
        <v>9</v>
      </c>
      <c r="O1591" s="6">
        <v>3.9</v>
      </c>
    </row>
    <row r="1592" spans="1:15" x14ac:dyDescent="0.25">
      <c r="A1592" s="8">
        <v>38474</v>
      </c>
      <c r="B1592" s="9" t="s">
        <v>39</v>
      </c>
      <c r="C1592" s="9" t="s">
        <v>52</v>
      </c>
      <c r="D1592" s="9" t="s">
        <v>50</v>
      </c>
      <c r="E1592" s="9" t="s">
        <v>21</v>
      </c>
      <c r="F1592" s="9" t="str">
        <f t="shared" si="24"/>
        <v>Not Delivered</v>
      </c>
      <c r="G1592" s="9" t="b">
        <v>1</v>
      </c>
      <c r="H1592" s="9" t="s">
        <v>28</v>
      </c>
      <c r="I1592" s="8">
        <v>2420</v>
      </c>
      <c r="J1592" s="10">
        <v>1068.94</v>
      </c>
      <c r="K1592" s="10">
        <v>136.63999999999999</v>
      </c>
      <c r="L1592" s="10">
        <v>233.12</v>
      </c>
      <c r="M1592" s="10">
        <v>1438.7</v>
      </c>
      <c r="N1592" s="8">
        <v>14</v>
      </c>
      <c r="O1592" s="6">
        <v>2.5</v>
      </c>
    </row>
    <row r="1593" spans="1:15" x14ac:dyDescent="0.25">
      <c r="A1593" s="8">
        <v>23168</v>
      </c>
      <c r="B1593" s="9" t="s">
        <v>10</v>
      </c>
      <c r="C1593" s="9" t="s">
        <v>29</v>
      </c>
      <c r="D1593" s="9" t="s">
        <v>50</v>
      </c>
      <c r="E1593" s="9" t="s">
        <v>17</v>
      </c>
      <c r="F1593" s="9" t="str">
        <f t="shared" si="24"/>
        <v>Not Delivered</v>
      </c>
      <c r="G1593" s="9" t="b">
        <v>1</v>
      </c>
      <c r="H1593" s="9" t="s">
        <v>4</v>
      </c>
      <c r="I1593" s="8">
        <v>3293</v>
      </c>
      <c r="J1593" s="10">
        <v>334.47</v>
      </c>
      <c r="K1593" s="10">
        <v>66.81</v>
      </c>
      <c r="L1593" s="10">
        <v>187.86</v>
      </c>
      <c r="M1593" s="10">
        <v>589.14</v>
      </c>
      <c r="N1593" s="8">
        <v>6</v>
      </c>
      <c r="O1593" s="6">
        <v>4.9000000000000004</v>
      </c>
    </row>
    <row r="1594" spans="1:15" x14ac:dyDescent="0.25">
      <c r="A1594" s="8">
        <v>26142</v>
      </c>
      <c r="B1594" s="9" t="s">
        <v>0</v>
      </c>
      <c r="C1594" s="9" t="s">
        <v>37</v>
      </c>
      <c r="D1594" s="9" t="s">
        <v>12</v>
      </c>
      <c r="E1594" s="9" t="s">
        <v>17</v>
      </c>
      <c r="F1594" s="9" t="str">
        <f t="shared" si="24"/>
        <v>Not Delivered</v>
      </c>
      <c r="G1594" s="9" t="b">
        <v>0</v>
      </c>
      <c r="H1594" s="9" t="s">
        <v>28</v>
      </c>
      <c r="I1594" s="8">
        <v>7291</v>
      </c>
      <c r="J1594" s="10">
        <v>569.87</v>
      </c>
      <c r="K1594" s="10">
        <v>78.52</v>
      </c>
      <c r="L1594" s="10">
        <v>0</v>
      </c>
      <c r="M1594" s="10">
        <v>648.39</v>
      </c>
      <c r="N1594" s="8">
        <v>6</v>
      </c>
      <c r="O1594" s="6">
        <v>4.5</v>
      </c>
    </row>
    <row r="1595" spans="1:15" x14ac:dyDescent="0.25">
      <c r="A1595" s="8">
        <v>56076</v>
      </c>
      <c r="B1595" s="9" t="s">
        <v>23</v>
      </c>
      <c r="C1595" s="9" t="s">
        <v>24</v>
      </c>
      <c r="D1595" s="9" t="s">
        <v>12</v>
      </c>
      <c r="E1595" s="9" t="s">
        <v>3</v>
      </c>
      <c r="F1595" s="9" t="str">
        <f t="shared" si="24"/>
        <v>Not Delivered</v>
      </c>
      <c r="G1595" s="9" t="b">
        <v>0</v>
      </c>
      <c r="H1595" s="9" t="s">
        <v>9</v>
      </c>
      <c r="I1595" s="8">
        <v>8035</v>
      </c>
      <c r="J1595" s="10">
        <v>2813.77</v>
      </c>
      <c r="K1595" s="10">
        <v>78.55</v>
      </c>
      <c r="L1595" s="10">
        <v>0</v>
      </c>
      <c r="M1595" s="10">
        <v>2892.32</v>
      </c>
      <c r="N1595" s="8">
        <v>11</v>
      </c>
      <c r="O1595" s="6">
        <v>3.9</v>
      </c>
    </row>
    <row r="1596" spans="1:15" x14ac:dyDescent="0.25">
      <c r="A1596" s="8">
        <v>51222</v>
      </c>
      <c r="B1596" s="9" t="s">
        <v>39</v>
      </c>
      <c r="C1596" s="9" t="s">
        <v>40</v>
      </c>
      <c r="D1596" s="9" t="s">
        <v>16</v>
      </c>
      <c r="E1596" s="9" t="s">
        <v>8</v>
      </c>
      <c r="F1596" s="9" t="str">
        <f t="shared" si="24"/>
        <v>Not Delivered</v>
      </c>
      <c r="G1596" s="9" t="b">
        <v>1</v>
      </c>
      <c r="H1596" s="9" t="s">
        <v>28</v>
      </c>
      <c r="I1596" s="8">
        <v>3290</v>
      </c>
      <c r="J1596" s="10">
        <v>424.91</v>
      </c>
      <c r="K1596" s="10">
        <v>47.01</v>
      </c>
      <c r="L1596" s="10">
        <v>175.46</v>
      </c>
      <c r="M1596" s="10">
        <v>647.38</v>
      </c>
      <c r="N1596" s="8">
        <v>4</v>
      </c>
      <c r="O1596" s="6">
        <v>3.2</v>
      </c>
    </row>
    <row r="1597" spans="1:15" x14ac:dyDescent="0.25">
      <c r="A1597" s="8">
        <v>42477</v>
      </c>
      <c r="B1597" s="9" t="s">
        <v>5</v>
      </c>
      <c r="C1597" s="9" t="s">
        <v>44</v>
      </c>
      <c r="D1597" s="9" t="s">
        <v>50</v>
      </c>
      <c r="E1597" s="9" t="s">
        <v>13</v>
      </c>
      <c r="F1597" s="9" t="str">
        <f t="shared" si="24"/>
        <v>Delivered</v>
      </c>
      <c r="G1597" s="9" t="b">
        <v>1</v>
      </c>
      <c r="H1597" s="9" t="s">
        <v>22</v>
      </c>
      <c r="I1597" s="8">
        <v>5537</v>
      </c>
      <c r="J1597" s="10">
        <v>1013.35</v>
      </c>
      <c r="K1597" s="10">
        <v>0</v>
      </c>
      <c r="L1597" s="10">
        <v>40.17</v>
      </c>
      <c r="M1597" s="10">
        <v>1053.52</v>
      </c>
      <c r="N1597" s="8">
        <v>7</v>
      </c>
      <c r="O1597" s="6">
        <v>4.3</v>
      </c>
    </row>
    <row r="1598" spans="1:15" x14ac:dyDescent="0.25">
      <c r="A1598" s="8">
        <v>94491</v>
      </c>
      <c r="B1598" s="9" t="s">
        <v>0</v>
      </c>
      <c r="C1598" s="9" t="s">
        <v>53</v>
      </c>
      <c r="D1598" s="9" t="s">
        <v>19</v>
      </c>
      <c r="E1598" s="9" t="s">
        <v>13</v>
      </c>
      <c r="F1598" s="9" t="str">
        <f t="shared" si="24"/>
        <v>Delivered</v>
      </c>
      <c r="G1598" s="9" t="b">
        <v>1</v>
      </c>
      <c r="H1598" s="9" t="s">
        <v>14</v>
      </c>
      <c r="I1598" s="8">
        <v>2380</v>
      </c>
      <c r="J1598" s="10">
        <v>204.78</v>
      </c>
      <c r="K1598" s="10">
        <v>70.67</v>
      </c>
      <c r="L1598" s="10">
        <v>171.92</v>
      </c>
      <c r="M1598" s="10">
        <v>447.37</v>
      </c>
      <c r="N1598" s="8">
        <v>9</v>
      </c>
      <c r="O1598" s="6">
        <v>2.1</v>
      </c>
    </row>
    <row r="1599" spans="1:15" x14ac:dyDescent="0.25">
      <c r="A1599" s="8">
        <v>42527</v>
      </c>
      <c r="B1599" s="9" t="s">
        <v>23</v>
      </c>
      <c r="C1599" s="9" t="s">
        <v>49</v>
      </c>
      <c r="D1599" s="9" t="s">
        <v>30</v>
      </c>
      <c r="E1599" s="9" t="s">
        <v>17</v>
      </c>
      <c r="F1599" s="9" t="str">
        <f t="shared" si="24"/>
        <v>Not Delivered</v>
      </c>
      <c r="G1599" s="9" t="b">
        <v>1</v>
      </c>
      <c r="H1599" s="9" t="s">
        <v>14</v>
      </c>
      <c r="I1599" s="8">
        <v>5668</v>
      </c>
      <c r="J1599" s="10">
        <v>183.67</v>
      </c>
      <c r="K1599" s="10">
        <v>89.34</v>
      </c>
      <c r="L1599" s="10">
        <v>42.88</v>
      </c>
      <c r="M1599" s="10">
        <v>315.89</v>
      </c>
      <c r="N1599" s="8">
        <v>7</v>
      </c>
      <c r="O1599" s="6">
        <v>3</v>
      </c>
    </row>
    <row r="1600" spans="1:15" x14ac:dyDescent="0.25">
      <c r="A1600" s="8">
        <v>13515</v>
      </c>
      <c r="B1600" s="9" t="s">
        <v>39</v>
      </c>
      <c r="C1600" s="9" t="s">
        <v>52</v>
      </c>
      <c r="D1600" s="9" t="s">
        <v>16</v>
      </c>
      <c r="E1600" s="9" t="s">
        <v>17</v>
      </c>
      <c r="F1600" s="9" t="str">
        <f t="shared" si="24"/>
        <v>Not Delivered</v>
      </c>
      <c r="G1600" s="9" t="b">
        <v>0</v>
      </c>
      <c r="H1600" s="9" t="s">
        <v>14</v>
      </c>
      <c r="I1600" s="8">
        <v>5942</v>
      </c>
      <c r="J1600" s="10">
        <v>1484.24</v>
      </c>
      <c r="K1600" s="10">
        <v>0</v>
      </c>
      <c r="L1600" s="10">
        <v>0</v>
      </c>
      <c r="M1600" s="10">
        <v>1484.24</v>
      </c>
      <c r="N1600" s="8">
        <v>11</v>
      </c>
      <c r="O1600" s="6">
        <v>2</v>
      </c>
    </row>
    <row r="1601" spans="1:15" x14ac:dyDescent="0.25">
      <c r="A1601" s="8">
        <v>36928</v>
      </c>
      <c r="B1601" s="9" t="s">
        <v>41</v>
      </c>
      <c r="C1601" s="9" t="s">
        <v>46</v>
      </c>
      <c r="E1601" s="9" t="s">
        <v>17</v>
      </c>
      <c r="F1601" s="9" t="str">
        <f t="shared" si="24"/>
        <v>Not Delivered</v>
      </c>
      <c r="G1601" s="9" t="b">
        <v>0</v>
      </c>
      <c r="H1601" s="9" t="s">
        <v>4</v>
      </c>
      <c r="I1601" s="8">
        <v>9482</v>
      </c>
      <c r="J1601" s="10">
        <v>2102.79</v>
      </c>
      <c r="K1601" s="10">
        <v>118.84</v>
      </c>
      <c r="L1601" s="10">
        <v>0</v>
      </c>
      <c r="M1601" s="10">
        <v>2221.63</v>
      </c>
      <c r="N1601" s="8">
        <v>10</v>
      </c>
      <c r="O1601" s="6">
        <v>2.8</v>
      </c>
    </row>
    <row r="1602" spans="1:15" x14ac:dyDescent="0.25">
      <c r="A1602" s="8">
        <v>89551</v>
      </c>
      <c r="B1602" s="9" t="s">
        <v>0</v>
      </c>
      <c r="C1602" s="9" t="s">
        <v>51</v>
      </c>
      <c r="D1602" s="9" t="s">
        <v>30</v>
      </c>
      <c r="E1602" s="9" t="s">
        <v>8</v>
      </c>
      <c r="F1602" s="9" t="str">
        <f t="shared" si="24"/>
        <v>Not Delivered</v>
      </c>
      <c r="G1602" s="9" t="b">
        <v>0</v>
      </c>
      <c r="H1602" s="9" t="s">
        <v>9</v>
      </c>
      <c r="I1602" s="8">
        <v>9348</v>
      </c>
      <c r="J1602" s="10">
        <v>547.52</v>
      </c>
      <c r="K1602" s="10">
        <v>64.709999999999994</v>
      </c>
      <c r="L1602" s="10">
        <v>0</v>
      </c>
      <c r="M1602" s="10">
        <v>612.23</v>
      </c>
      <c r="N1602" s="8">
        <v>9</v>
      </c>
      <c r="O1602" s="6">
        <v>2</v>
      </c>
    </row>
    <row r="1603" spans="1:15" x14ac:dyDescent="0.25">
      <c r="A1603" s="8">
        <v>34726</v>
      </c>
      <c r="B1603" s="9" t="s">
        <v>41</v>
      </c>
      <c r="C1603" s="9" t="s">
        <v>42</v>
      </c>
      <c r="D1603" s="9" t="s">
        <v>45</v>
      </c>
      <c r="E1603" s="9" t="s">
        <v>17</v>
      </c>
      <c r="F1603" s="9" t="str">
        <f t="shared" ref="F1603:F1666" si="25">IF(OR(
E1603="Failed Delivery",
E1603="Cancelled",
E1603="Pending",
E1603="Rescheduled",
E1603="In Transit"
),"Not Delivered","Delivered")</f>
        <v>Not Delivered</v>
      </c>
      <c r="G1603" s="9" t="b">
        <v>1</v>
      </c>
      <c r="H1603" s="9" t="s">
        <v>33</v>
      </c>
      <c r="I1603" s="8">
        <v>7418</v>
      </c>
      <c r="J1603" s="10">
        <v>2473.98</v>
      </c>
      <c r="K1603" s="10">
        <v>127.64</v>
      </c>
      <c r="L1603" s="10">
        <v>199.32</v>
      </c>
      <c r="M1603" s="10">
        <v>2800.94</v>
      </c>
      <c r="N1603" s="8">
        <v>6</v>
      </c>
      <c r="O1603" s="6">
        <v>3.8</v>
      </c>
    </row>
    <row r="1604" spans="1:15" x14ac:dyDescent="0.25">
      <c r="A1604" s="8">
        <v>48737</v>
      </c>
      <c r="B1604" s="9" t="s">
        <v>39</v>
      </c>
      <c r="C1604" s="9" t="s">
        <v>40</v>
      </c>
      <c r="E1604" s="9" t="s">
        <v>8</v>
      </c>
      <c r="F1604" s="9" t="str">
        <f t="shared" si="25"/>
        <v>Not Delivered</v>
      </c>
      <c r="G1604" s="9" t="b">
        <v>1</v>
      </c>
      <c r="H1604" s="9" t="s">
        <v>28</v>
      </c>
      <c r="I1604" s="8">
        <v>1894</v>
      </c>
      <c r="J1604" s="10">
        <v>440.39</v>
      </c>
      <c r="K1604" s="10">
        <v>42.44</v>
      </c>
      <c r="L1604" s="10">
        <v>256.57</v>
      </c>
      <c r="M1604" s="10">
        <v>739.4</v>
      </c>
      <c r="N1604" s="8">
        <v>3</v>
      </c>
      <c r="O1604" s="6">
        <v>4.5999999999999996</v>
      </c>
    </row>
    <row r="1605" spans="1:15" x14ac:dyDescent="0.25">
      <c r="A1605" s="8">
        <v>41370</v>
      </c>
      <c r="B1605" s="9" t="s">
        <v>41</v>
      </c>
      <c r="C1605" s="9" t="s">
        <v>42</v>
      </c>
      <c r="D1605" s="9" t="s">
        <v>16</v>
      </c>
      <c r="E1605" s="9" t="s">
        <v>32</v>
      </c>
      <c r="F1605" s="9" t="str">
        <f t="shared" si="25"/>
        <v>Not Delivered</v>
      </c>
      <c r="G1605" s="9" t="b">
        <v>1</v>
      </c>
      <c r="H1605" s="9" t="s">
        <v>18</v>
      </c>
      <c r="I1605" s="8">
        <v>9108</v>
      </c>
      <c r="J1605" s="10">
        <v>658.01</v>
      </c>
      <c r="K1605" s="10">
        <v>0</v>
      </c>
      <c r="L1605" s="10">
        <v>98.79</v>
      </c>
      <c r="M1605" s="10">
        <v>756.8</v>
      </c>
      <c r="N1605" s="8">
        <v>11</v>
      </c>
      <c r="O1605" s="6">
        <v>3</v>
      </c>
    </row>
    <row r="1606" spans="1:15" x14ac:dyDescent="0.25">
      <c r="A1606" s="8">
        <v>60578</v>
      </c>
      <c r="B1606" s="9" t="s">
        <v>23</v>
      </c>
      <c r="C1606" s="9" t="s">
        <v>24</v>
      </c>
      <c r="E1606" s="9" t="s">
        <v>32</v>
      </c>
      <c r="F1606" s="9" t="str">
        <f t="shared" si="25"/>
        <v>Not Delivered</v>
      </c>
      <c r="G1606" s="9" t="b">
        <v>1</v>
      </c>
      <c r="H1606" s="9" t="s">
        <v>4</v>
      </c>
      <c r="I1606" s="8">
        <v>2847</v>
      </c>
      <c r="J1606" s="10">
        <v>1623.68</v>
      </c>
      <c r="K1606" s="10">
        <v>54.94</v>
      </c>
      <c r="L1606" s="10">
        <v>57.29</v>
      </c>
      <c r="M1606" s="10">
        <v>1735.91</v>
      </c>
      <c r="N1606" s="8">
        <v>1</v>
      </c>
      <c r="O1606" s="6">
        <v>1.1000000000000001</v>
      </c>
    </row>
    <row r="1607" spans="1:15" x14ac:dyDescent="0.25">
      <c r="A1607" s="8">
        <v>41599</v>
      </c>
      <c r="B1607" s="9" t="s">
        <v>5</v>
      </c>
      <c r="C1607" s="9" t="s">
        <v>6</v>
      </c>
      <c r="D1607" s="9" t="s">
        <v>30</v>
      </c>
      <c r="E1607" s="9" t="s">
        <v>8</v>
      </c>
      <c r="F1607" s="9" t="str">
        <f t="shared" si="25"/>
        <v>Not Delivered</v>
      </c>
      <c r="G1607" s="9" t="b">
        <v>1</v>
      </c>
      <c r="H1607" s="9" t="s">
        <v>9</v>
      </c>
      <c r="I1607" s="8">
        <v>9185</v>
      </c>
      <c r="J1607" s="10">
        <v>1790.83</v>
      </c>
      <c r="K1607" s="10">
        <v>93.4</v>
      </c>
      <c r="L1607" s="10">
        <v>47.75</v>
      </c>
      <c r="M1607" s="10">
        <v>1931.98</v>
      </c>
      <c r="N1607" s="8">
        <v>9</v>
      </c>
      <c r="O1607" s="6">
        <v>3.4</v>
      </c>
    </row>
    <row r="1608" spans="1:15" x14ac:dyDescent="0.25">
      <c r="A1608" s="8">
        <v>93634</v>
      </c>
      <c r="B1608" s="9" t="s">
        <v>0</v>
      </c>
      <c r="C1608" s="9" t="s">
        <v>37</v>
      </c>
      <c r="D1608" s="9" t="s">
        <v>50</v>
      </c>
      <c r="E1608" s="9" t="s">
        <v>17</v>
      </c>
      <c r="F1608" s="9" t="str">
        <f t="shared" si="25"/>
        <v>Not Delivered</v>
      </c>
      <c r="G1608" s="9" t="b">
        <v>0</v>
      </c>
      <c r="H1608" s="9" t="s">
        <v>22</v>
      </c>
      <c r="I1608" s="8">
        <v>2163</v>
      </c>
      <c r="J1608" s="10">
        <v>350.81</v>
      </c>
      <c r="K1608" s="10">
        <v>66.08</v>
      </c>
      <c r="L1608" s="10">
        <v>0</v>
      </c>
      <c r="M1608" s="10">
        <v>416.89</v>
      </c>
      <c r="N1608" s="8">
        <v>4</v>
      </c>
      <c r="O1608" s="6">
        <v>4.2</v>
      </c>
    </row>
    <row r="1609" spans="1:15" x14ac:dyDescent="0.25">
      <c r="A1609" s="8">
        <v>79243</v>
      </c>
      <c r="B1609" s="9" t="s">
        <v>23</v>
      </c>
      <c r="C1609" s="9" t="s">
        <v>34</v>
      </c>
      <c r="D1609" s="9" t="s">
        <v>30</v>
      </c>
      <c r="E1609" s="9" t="s">
        <v>8</v>
      </c>
      <c r="F1609" s="9" t="str">
        <f t="shared" si="25"/>
        <v>Not Delivered</v>
      </c>
      <c r="G1609" s="9" t="b">
        <v>1</v>
      </c>
      <c r="H1609" s="9" t="s">
        <v>28</v>
      </c>
      <c r="I1609" s="8">
        <v>1197</v>
      </c>
      <c r="J1609" s="10">
        <v>974.68</v>
      </c>
      <c r="L1609" s="10">
        <v>44.65</v>
      </c>
      <c r="M1609" s="10">
        <v>1093.73</v>
      </c>
      <c r="N1609" s="8">
        <v>5</v>
      </c>
      <c r="O1609" s="6">
        <v>4</v>
      </c>
    </row>
    <row r="1610" spans="1:15" x14ac:dyDescent="0.25">
      <c r="A1610" s="8">
        <v>57329</v>
      </c>
      <c r="B1610" s="9" t="s">
        <v>23</v>
      </c>
      <c r="C1610" s="9" t="s">
        <v>49</v>
      </c>
      <c r="D1610" s="9" t="s">
        <v>16</v>
      </c>
      <c r="E1610" s="9" t="s">
        <v>32</v>
      </c>
      <c r="F1610" s="9" t="str">
        <f t="shared" si="25"/>
        <v>Not Delivered</v>
      </c>
      <c r="G1610" s="9" t="b">
        <v>1</v>
      </c>
      <c r="H1610" s="9" t="s">
        <v>4</v>
      </c>
      <c r="I1610" s="8">
        <v>6185</v>
      </c>
      <c r="J1610" s="10">
        <v>1031.5899999999999</v>
      </c>
      <c r="K1610" s="10">
        <v>108.87</v>
      </c>
      <c r="L1610" s="10">
        <v>25.09</v>
      </c>
      <c r="M1610" s="10">
        <v>1165.55</v>
      </c>
      <c r="N1610" s="8">
        <v>12</v>
      </c>
      <c r="O1610" s="6">
        <v>1.1000000000000001</v>
      </c>
    </row>
    <row r="1611" spans="1:15" x14ac:dyDescent="0.25">
      <c r="A1611" s="8">
        <v>27299</v>
      </c>
      <c r="B1611" s="9" t="s">
        <v>10</v>
      </c>
      <c r="C1611" s="9" t="s">
        <v>11</v>
      </c>
      <c r="D1611" s="9" t="s">
        <v>25</v>
      </c>
      <c r="E1611" s="9" t="s">
        <v>8</v>
      </c>
      <c r="F1611" s="9" t="str">
        <f t="shared" si="25"/>
        <v>Not Delivered</v>
      </c>
      <c r="G1611" s="9" t="b">
        <v>0</v>
      </c>
      <c r="H1611" s="9" t="s">
        <v>4</v>
      </c>
      <c r="I1611" s="8">
        <v>7337</v>
      </c>
      <c r="J1611" s="10">
        <v>1892.57</v>
      </c>
      <c r="K1611" s="10">
        <v>108.83</v>
      </c>
      <c r="L1611" s="10">
        <v>0</v>
      </c>
      <c r="M1611" s="10">
        <v>2001.4</v>
      </c>
      <c r="N1611" s="8">
        <v>14</v>
      </c>
    </row>
    <row r="1612" spans="1:15" x14ac:dyDescent="0.25">
      <c r="A1612" s="8">
        <v>84498</v>
      </c>
      <c r="B1612" s="9" t="s">
        <v>39</v>
      </c>
      <c r="C1612" s="9" t="s">
        <v>58</v>
      </c>
      <c r="D1612" s="9" t="s">
        <v>12</v>
      </c>
      <c r="E1612" s="9" t="s">
        <v>8</v>
      </c>
      <c r="F1612" s="9" t="str">
        <f t="shared" si="25"/>
        <v>Not Delivered</v>
      </c>
      <c r="G1612" s="9" t="b">
        <v>1</v>
      </c>
      <c r="H1612" s="9" t="s">
        <v>4</v>
      </c>
      <c r="I1612" s="8">
        <v>7895</v>
      </c>
      <c r="J1612" s="10">
        <v>1460.87</v>
      </c>
      <c r="K1612" s="10">
        <v>92.21</v>
      </c>
      <c r="L1612" s="10">
        <v>25.33</v>
      </c>
      <c r="M1612" s="10">
        <v>1578.41</v>
      </c>
      <c r="N1612" s="8">
        <v>11</v>
      </c>
      <c r="O1612" s="6">
        <v>2.5</v>
      </c>
    </row>
    <row r="1613" spans="1:15" x14ac:dyDescent="0.25">
      <c r="A1613" s="8">
        <v>57895</v>
      </c>
      <c r="B1613" s="9" t="s">
        <v>0</v>
      </c>
      <c r="C1613" s="9" t="s">
        <v>53</v>
      </c>
      <c r="D1613" s="9" t="s">
        <v>2</v>
      </c>
      <c r="E1613" s="9" t="s">
        <v>13</v>
      </c>
      <c r="F1613" s="9" t="str">
        <f t="shared" si="25"/>
        <v>Delivered</v>
      </c>
      <c r="G1613" s="9" t="b">
        <v>0</v>
      </c>
      <c r="H1613" s="9" t="s">
        <v>14</v>
      </c>
      <c r="I1613" s="8">
        <v>9951</v>
      </c>
      <c r="J1613" s="10">
        <v>1778.19</v>
      </c>
      <c r="K1613" s="10">
        <v>0</v>
      </c>
      <c r="L1613" s="10">
        <v>0</v>
      </c>
      <c r="M1613" s="10">
        <v>1778.19</v>
      </c>
      <c r="N1613" s="8">
        <v>9</v>
      </c>
      <c r="O1613" s="6">
        <v>2.6</v>
      </c>
    </row>
    <row r="1614" spans="1:15" x14ac:dyDescent="0.25">
      <c r="A1614" s="8">
        <v>99514</v>
      </c>
      <c r="B1614" s="9" t="s">
        <v>41</v>
      </c>
      <c r="C1614" s="9" t="s">
        <v>42</v>
      </c>
      <c r="D1614" s="9" t="s">
        <v>16</v>
      </c>
      <c r="E1614" s="9" t="s">
        <v>21</v>
      </c>
      <c r="F1614" s="9" t="str">
        <f t="shared" si="25"/>
        <v>Not Delivered</v>
      </c>
      <c r="G1614" s="9" t="b">
        <v>0</v>
      </c>
      <c r="H1614" s="9" t="s">
        <v>28</v>
      </c>
      <c r="I1614" s="8">
        <v>3830</v>
      </c>
      <c r="J1614" s="10">
        <v>392.31</v>
      </c>
      <c r="K1614" s="10">
        <v>71.14</v>
      </c>
      <c r="L1614" s="10">
        <v>0</v>
      </c>
      <c r="M1614" s="10">
        <v>463.45</v>
      </c>
      <c r="N1614" s="8">
        <v>13</v>
      </c>
      <c r="O1614" s="6">
        <v>1.8</v>
      </c>
    </row>
    <row r="1615" spans="1:15" x14ac:dyDescent="0.25">
      <c r="A1615" s="8">
        <v>71736</v>
      </c>
      <c r="B1615" s="9" t="s">
        <v>10</v>
      </c>
      <c r="C1615" s="9" t="s">
        <v>15</v>
      </c>
      <c r="D1615" s="9" t="s">
        <v>25</v>
      </c>
      <c r="E1615" s="9" t="s">
        <v>21</v>
      </c>
      <c r="F1615" s="9" t="str">
        <f t="shared" si="25"/>
        <v>Not Delivered</v>
      </c>
      <c r="G1615" s="9" t="b">
        <v>0</v>
      </c>
      <c r="H1615" s="9" t="s">
        <v>28</v>
      </c>
      <c r="I1615" s="8">
        <v>2195</v>
      </c>
      <c r="J1615" s="10">
        <v>367.57</v>
      </c>
      <c r="K1615" s="10">
        <v>65.069999999999993</v>
      </c>
      <c r="L1615" s="10">
        <v>0</v>
      </c>
      <c r="M1615" s="10">
        <v>432.64</v>
      </c>
      <c r="N1615" s="8">
        <v>3</v>
      </c>
      <c r="O1615" s="6">
        <v>2.8</v>
      </c>
    </row>
    <row r="1616" spans="1:15" x14ac:dyDescent="0.25">
      <c r="A1616" s="8">
        <v>12187</v>
      </c>
      <c r="B1616" s="9" t="s">
        <v>41</v>
      </c>
      <c r="C1616" s="9" t="s">
        <v>42</v>
      </c>
      <c r="D1616" s="9" t="s">
        <v>2</v>
      </c>
      <c r="E1616" s="9" t="s">
        <v>17</v>
      </c>
      <c r="F1616" s="9" t="str">
        <f t="shared" si="25"/>
        <v>Not Delivered</v>
      </c>
      <c r="G1616" s="9" t="b">
        <v>1</v>
      </c>
      <c r="H1616" s="9" t="s">
        <v>33</v>
      </c>
      <c r="I1616" s="8">
        <v>2106</v>
      </c>
      <c r="J1616" s="10">
        <v>1527.67</v>
      </c>
      <c r="K1616" s="10">
        <v>113.53</v>
      </c>
      <c r="L1616" s="10">
        <v>229.37</v>
      </c>
      <c r="M1616" s="10">
        <v>1870.57</v>
      </c>
      <c r="N1616" s="8">
        <v>11</v>
      </c>
      <c r="O1616" s="6">
        <v>2.9</v>
      </c>
    </row>
    <row r="1617" spans="1:15" x14ac:dyDescent="0.25">
      <c r="A1617" s="8">
        <v>11807</v>
      </c>
      <c r="B1617" s="9" t="s">
        <v>5</v>
      </c>
      <c r="C1617" s="9" t="s">
        <v>56</v>
      </c>
      <c r="D1617" s="9" t="s">
        <v>25</v>
      </c>
      <c r="E1617" s="9" t="s">
        <v>17</v>
      </c>
      <c r="F1617" s="9" t="str">
        <f t="shared" si="25"/>
        <v>Not Delivered</v>
      </c>
      <c r="G1617" s="9" t="b">
        <v>1</v>
      </c>
      <c r="H1617" s="9" t="s">
        <v>28</v>
      </c>
      <c r="I1617" s="8">
        <v>5295</v>
      </c>
      <c r="J1617" s="10">
        <v>2046.56</v>
      </c>
      <c r="K1617" s="10">
        <v>86.3</v>
      </c>
      <c r="L1617" s="10">
        <v>284.52</v>
      </c>
      <c r="M1617" s="10">
        <v>2417.38</v>
      </c>
      <c r="N1617" s="8">
        <v>1</v>
      </c>
      <c r="O1617" s="6">
        <v>1.9</v>
      </c>
    </row>
    <row r="1618" spans="1:15" x14ac:dyDescent="0.25">
      <c r="A1618" s="8">
        <v>38277</v>
      </c>
      <c r="B1618" s="9" t="s">
        <v>39</v>
      </c>
      <c r="C1618" s="9" t="s">
        <v>52</v>
      </c>
      <c r="E1618" s="9" t="s">
        <v>13</v>
      </c>
      <c r="F1618" s="9" t="str">
        <f t="shared" si="25"/>
        <v>Delivered</v>
      </c>
      <c r="G1618" s="9" t="b">
        <v>1</v>
      </c>
      <c r="H1618" s="9" t="s">
        <v>28</v>
      </c>
      <c r="I1618" s="8">
        <v>1652</v>
      </c>
      <c r="J1618" s="10">
        <v>725.46</v>
      </c>
      <c r="K1618" s="10">
        <v>102.2</v>
      </c>
      <c r="L1618" s="10">
        <v>152.19999999999999</v>
      </c>
      <c r="M1618" s="10">
        <v>979.86</v>
      </c>
      <c r="N1618" s="8">
        <v>2</v>
      </c>
      <c r="O1618" s="6">
        <v>1</v>
      </c>
    </row>
    <row r="1619" spans="1:15" x14ac:dyDescent="0.25">
      <c r="A1619" s="8">
        <v>17925</v>
      </c>
      <c r="B1619" s="9" t="s">
        <v>5</v>
      </c>
      <c r="C1619" s="9" t="s">
        <v>44</v>
      </c>
      <c r="D1619" s="9" t="s">
        <v>7</v>
      </c>
      <c r="E1619" s="9" t="s">
        <v>3</v>
      </c>
      <c r="F1619" s="9" t="str">
        <f t="shared" si="25"/>
        <v>Not Delivered</v>
      </c>
      <c r="G1619" s="9" t="b">
        <v>1</v>
      </c>
      <c r="H1619" s="9" t="s">
        <v>33</v>
      </c>
      <c r="I1619" s="8">
        <v>7520</v>
      </c>
      <c r="J1619" s="10">
        <v>1030.78</v>
      </c>
      <c r="K1619" s="10">
        <v>147.15</v>
      </c>
      <c r="L1619" s="10">
        <v>223</v>
      </c>
      <c r="M1619" s="10">
        <v>1400.93</v>
      </c>
      <c r="N1619" s="8">
        <v>5</v>
      </c>
      <c r="O1619" s="6">
        <v>3.7</v>
      </c>
    </row>
    <row r="1620" spans="1:15" x14ac:dyDescent="0.25">
      <c r="A1620" s="8">
        <v>76402</v>
      </c>
      <c r="B1620" s="9" t="s">
        <v>39</v>
      </c>
      <c r="C1620" s="9" t="s">
        <v>55</v>
      </c>
      <c r="D1620" s="9" t="s">
        <v>16</v>
      </c>
      <c r="E1620" s="9" t="s">
        <v>13</v>
      </c>
      <c r="F1620" s="9" t="str">
        <f t="shared" si="25"/>
        <v>Delivered</v>
      </c>
      <c r="G1620" s="9" t="b">
        <v>1</v>
      </c>
      <c r="H1620" s="9" t="s">
        <v>28</v>
      </c>
      <c r="I1620" s="8">
        <v>5693</v>
      </c>
      <c r="J1620" s="10">
        <v>342.53</v>
      </c>
      <c r="K1620" s="10">
        <v>30.6</v>
      </c>
      <c r="L1620" s="10">
        <v>109.19</v>
      </c>
      <c r="M1620" s="10">
        <v>482.32</v>
      </c>
      <c r="N1620" s="8">
        <v>12</v>
      </c>
      <c r="O1620" s="6">
        <v>4.8</v>
      </c>
    </row>
    <row r="1621" spans="1:15" x14ac:dyDescent="0.25">
      <c r="A1621" s="8">
        <v>92388</v>
      </c>
      <c r="B1621" s="9" t="s">
        <v>23</v>
      </c>
      <c r="C1621" s="9" t="s">
        <v>24</v>
      </c>
      <c r="D1621" s="9" t="s">
        <v>50</v>
      </c>
      <c r="E1621" s="9" t="s">
        <v>8</v>
      </c>
      <c r="F1621" s="9" t="str">
        <f t="shared" si="25"/>
        <v>Not Delivered</v>
      </c>
      <c r="G1621" s="9" t="b">
        <v>1</v>
      </c>
      <c r="H1621" s="9" t="s">
        <v>22</v>
      </c>
      <c r="I1621" s="8">
        <v>9209</v>
      </c>
      <c r="J1621" s="10">
        <v>1869</v>
      </c>
      <c r="K1621" s="10">
        <v>101.22</v>
      </c>
      <c r="L1621" s="10">
        <v>158.01</v>
      </c>
      <c r="M1621" s="10">
        <v>2128.23</v>
      </c>
      <c r="N1621" s="8">
        <v>12</v>
      </c>
      <c r="O1621" s="6">
        <v>4.7</v>
      </c>
    </row>
    <row r="1622" spans="1:15" x14ac:dyDescent="0.25">
      <c r="A1622" s="8">
        <v>64451</v>
      </c>
      <c r="B1622" s="9" t="s">
        <v>10</v>
      </c>
      <c r="C1622" s="9" t="s">
        <v>11</v>
      </c>
      <c r="D1622" s="9" t="s">
        <v>25</v>
      </c>
      <c r="E1622" s="9" t="s">
        <v>13</v>
      </c>
      <c r="F1622" s="9" t="str">
        <f t="shared" si="25"/>
        <v>Delivered</v>
      </c>
      <c r="G1622" s="9" t="b">
        <v>0</v>
      </c>
      <c r="H1622" s="9" t="s">
        <v>9</v>
      </c>
      <c r="I1622" s="8">
        <v>7939</v>
      </c>
      <c r="J1622" s="10">
        <v>1840.87</v>
      </c>
      <c r="K1622" s="10">
        <v>0</v>
      </c>
      <c r="L1622" s="10">
        <v>0</v>
      </c>
      <c r="M1622" s="10">
        <v>1840.87</v>
      </c>
      <c r="N1622" s="8">
        <v>11</v>
      </c>
      <c r="O1622" s="6">
        <v>2.9</v>
      </c>
    </row>
    <row r="1623" spans="1:15" x14ac:dyDescent="0.25">
      <c r="A1623" s="8">
        <v>62727</v>
      </c>
      <c r="B1623" s="9" t="s">
        <v>41</v>
      </c>
      <c r="C1623" s="9" t="s">
        <v>46</v>
      </c>
      <c r="D1623" s="9" t="s">
        <v>38</v>
      </c>
      <c r="E1623" s="9" t="s">
        <v>17</v>
      </c>
      <c r="F1623" s="9" t="str">
        <f t="shared" si="25"/>
        <v>Not Delivered</v>
      </c>
      <c r="G1623" s="9" t="b">
        <v>1</v>
      </c>
      <c r="H1623" s="9" t="s">
        <v>4</v>
      </c>
      <c r="I1623" s="8">
        <v>2350</v>
      </c>
      <c r="J1623" s="10">
        <v>306.35000000000002</v>
      </c>
      <c r="K1623" s="10">
        <v>68.349999999999994</v>
      </c>
      <c r="L1623" s="10">
        <v>149.69</v>
      </c>
      <c r="M1623" s="10">
        <v>524.39</v>
      </c>
      <c r="N1623" s="8">
        <v>1</v>
      </c>
      <c r="O1623" s="6">
        <v>1.1000000000000001</v>
      </c>
    </row>
    <row r="1624" spans="1:15" x14ac:dyDescent="0.25">
      <c r="A1624" s="8">
        <v>93956</v>
      </c>
      <c r="B1624" s="9" t="s">
        <v>0</v>
      </c>
      <c r="C1624" s="9" t="s">
        <v>37</v>
      </c>
      <c r="D1624" s="9" t="s">
        <v>7</v>
      </c>
      <c r="E1624" s="9" t="s">
        <v>13</v>
      </c>
      <c r="F1624" s="9" t="str">
        <f t="shared" si="25"/>
        <v>Delivered</v>
      </c>
      <c r="G1624" s="9" t="b">
        <v>0</v>
      </c>
      <c r="H1624" s="9" t="s">
        <v>14</v>
      </c>
      <c r="I1624" s="8">
        <v>9791</v>
      </c>
      <c r="J1624" s="10">
        <v>512.27</v>
      </c>
      <c r="K1624" s="10">
        <v>84.22</v>
      </c>
      <c r="L1624" s="10">
        <v>0</v>
      </c>
      <c r="M1624" s="10">
        <v>596.49</v>
      </c>
      <c r="N1624" s="8">
        <v>1</v>
      </c>
      <c r="O1624" s="6">
        <v>1.8</v>
      </c>
    </row>
    <row r="1625" spans="1:15" x14ac:dyDescent="0.25">
      <c r="A1625" s="8">
        <v>80471</v>
      </c>
      <c r="B1625" s="9" t="s">
        <v>39</v>
      </c>
      <c r="C1625" s="9" t="s">
        <v>40</v>
      </c>
      <c r="D1625" s="9" t="s">
        <v>45</v>
      </c>
      <c r="E1625" s="9" t="s">
        <v>21</v>
      </c>
      <c r="F1625" s="9" t="str">
        <f t="shared" si="25"/>
        <v>Not Delivered</v>
      </c>
      <c r="G1625" s="9" t="b">
        <v>0</v>
      </c>
      <c r="H1625" s="9" t="s">
        <v>22</v>
      </c>
      <c r="I1625" s="8">
        <v>3501</v>
      </c>
      <c r="J1625" s="10">
        <v>794.4</v>
      </c>
      <c r="L1625" s="10">
        <v>0</v>
      </c>
      <c r="M1625" s="10">
        <v>905.5</v>
      </c>
      <c r="N1625" s="8">
        <v>1</v>
      </c>
    </row>
    <row r="1626" spans="1:15" x14ac:dyDescent="0.25">
      <c r="A1626" s="8">
        <v>46368</v>
      </c>
      <c r="B1626" s="9" t="s">
        <v>41</v>
      </c>
      <c r="C1626" s="9" t="s">
        <v>46</v>
      </c>
      <c r="D1626" s="9" t="s">
        <v>16</v>
      </c>
      <c r="E1626" s="9" t="s">
        <v>17</v>
      </c>
      <c r="F1626" s="9" t="str">
        <f t="shared" si="25"/>
        <v>Not Delivered</v>
      </c>
      <c r="G1626" s="9" t="b">
        <v>0</v>
      </c>
      <c r="H1626" s="9" t="s">
        <v>9</v>
      </c>
      <c r="I1626" s="8">
        <v>2369</v>
      </c>
      <c r="J1626" s="10">
        <v>654.02</v>
      </c>
      <c r="K1626" s="10">
        <v>0</v>
      </c>
      <c r="L1626" s="10">
        <v>0</v>
      </c>
      <c r="M1626" s="10">
        <v>654.02</v>
      </c>
      <c r="N1626" s="8">
        <v>4</v>
      </c>
    </row>
    <row r="1627" spans="1:15" x14ac:dyDescent="0.25">
      <c r="A1627" s="8">
        <v>50620</v>
      </c>
      <c r="B1627" s="9" t="s">
        <v>41</v>
      </c>
      <c r="C1627" s="9" t="s">
        <v>61</v>
      </c>
      <c r="D1627" s="9" t="s">
        <v>25</v>
      </c>
      <c r="E1627" s="9" t="s">
        <v>17</v>
      </c>
      <c r="F1627" s="9" t="str">
        <f t="shared" si="25"/>
        <v>Not Delivered</v>
      </c>
      <c r="G1627" s="9" t="b">
        <v>0</v>
      </c>
      <c r="H1627" s="9" t="s">
        <v>4</v>
      </c>
      <c r="I1627" s="8">
        <v>2294</v>
      </c>
      <c r="J1627" s="10">
        <v>313.74</v>
      </c>
      <c r="K1627" s="10">
        <v>29.94</v>
      </c>
      <c r="L1627" s="10">
        <v>0</v>
      </c>
      <c r="M1627" s="10">
        <v>343.68</v>
      </c>
      <c r="N1627" s="8">
        <v>9</v>
      </c>
      <c r="O1627" s="6">
        <v>4</v>
      </c>
    </row>
    <row r="1628" spans="1:15" x14ac:dyDescent="0.25">
      <c r="A1628" s="8">
        <v>77017</v>
      </c>
      <c r="B1628" s="9" t="s">
        <v>41</v>
      </c>
      <c r="C1628" s="9" t="s">
        <v>61</v>
      </c>
      <c r="D1628" s="9" t="s">
        <v>25</v>
      </c>
      <c r="E1628" s="9" t="s">
        <v>8</v>
      </c>
      <c r="F1628" s="9" t="str">
        <f t="shared" si="25"/>
        <v>Not Delivered</v>
      </c>
      <c r="G1628" s="9" t="b">
        <v>1</v>
      </c>
      <c r="H1628" s="9" t="s">
        <v>33</v>
      </c>
      <c r="I1628" s="8">
        <v>4329</v>
      </c>
      <c r="J1628" s="10">
        <v>2444.39</v>
      </c>
      <c r="K1628" s="10">
        <v>134.38</v>
      </c>
      <c r="L1628" s="10">
        <v>32.869999999999997</v>
      </c>
      <c r="M1628" s="10">
        <v>2611.64</v>
      </c>
      <c r="N1628" s="8">
        <v>7</v>
      </c>
    </row>
    <row r="1629" spans="1:15" x14ac:dyDescent="0.25">
      <c r="A1629" s="8">
        <v>30365</v>
      </c>
      <c r="B1629" s="9" t="s">
        <v>23</v>
      </c>
      <c r="C1629" s="9" t="s">
        <v>54</v>
      </c>
      <c r="D1629" s="9" t="s">
        <v>27</v>
      </c>
      <c r="E1629" s="9" t="s">
        <v>17</v>
      </c>
      <c r="F1629" s="9" t="str">
        <f t="shared" si="25"/>
        <v>Not Delivered</v>
      </c>
      <c r="G1629" s="9" t="b">
        <v>1</v>
      </c>
      <c r="H1629" s="9" t="s">
        <v>4</v>
      </c>
      <c r="I1629" s="8">
        <v>9788</v>
      </c>
      <c r="J1629" s="10">
        <v>301.73</v>
      </c>
      <c r="K1629" s="10">
        <v>67.709999999999994</v>
      </c>
      <c r="L1629" s="10">
        <v>25.82</v>
      </c>
      <c r="M1629" s="10">
        <v>395.26</v>
      </c>
      <c r="N1629" s="8">
        <v>2</v>
      </c>
      <c r="O1629" s="6">
        <v>3.4</v>
      </c>
    </row>
    <row r="1630" spans="1:15" x14ac:dyDescent="0.25">
      <c r="A1630" s="8">
        <v>52827</v>
      </c>
      <c r="B1630" s="9" t="s">
        <v>39</v>
      </c>
      <c r="C1630" s="9" t="s">
        <v>52</v>
      </c>
      <c r="D1630" s="9" t="s">
        <v>19</v>
      </c>
      <c r="E1630" s="9" t="s">
        <v>8</v>
      </c>
      <c r="F1630" s="9" t="str">
        <f t="shared" si="25"/>
        <v>Not Delivered</v>
      </c>
      <c r="G1630" s="9" t="b">
        <v>0</v>
      </c>
      <c r="H1630" s="9" t="s">
        <v>28</v>
      </c>
      <c r="I1630" s="8">
        <v>7401</v>
      </c>
      <c r="J1630" s="10">
        <v>1366.59</v>
      </c>
      <c r="K1630" s="10">
        <v>115.36</v>
      </c>
      <c r="L1630" s="10">
        <v>0</v>
      </c>
      <c r="M1630" s="10">
        <v>1481.95</v>
      </c>
      <c r="N1630" s="8">
        <v>9</v>
      </c>
      <c r="O1630" s="6">
        <v>3.8</v>
      </c>
    </row>
    <row r="1631" spans="1:15" x14ac:dyDescent="0.25">
      <c r="A1631" s="8">
        <v>86865</v>
      </c>
      <c r="B1631" s="9" t="s">
        <v>41</v>
      </c>
      <c r="C1631" s="9" t="s">
        <v>42</v>
      </c>
      <c r="E1631" s="9" t="s">
        <v>13</v>
      </c>
      <c r="F1631" s="9" t="str">
        <f t="shared" si="25"/>
        <v>Delivered</v>
      </c>
      <c r="G1631" s="9" t="b">
        <v>0</v>
      </c>
      <c r="H1631" s="9" t="s">
        <v>9</v>
      </c>
      <c r="I1631" s="8">
        <v>2083</v>
      </c>
      <c r="J1631" s="10">
        <v>1209.05</v>
      </c>
      <c r="K1631" s="10">
        <v>71.33</v>
      </c>
      <c r="L1631" s="10">
        <v>0</v>
      </c>
      <c r="M1631" s="10">
        <v>1280.3800000000001</v>
      </c>
      <c r="N1631" s="8">
        <v>6</v>
      </c>
    </row>
    <row r="1632" spans="1:15" x14ac:dyDescent="0.25">
      <c r="A1632" s="8">
        <v>50654</v>
      </c>
      <c r="B1632" s="9" t="s">
        <v>5</v>
      </c>
      <c r="C1632" s="9" t="s">
        <v>44</v>
      </c>
      <c r="D1632" s="9" t="s">
        <v>38</v>
      </c>
      <c r="E1632" s="9" t="s">
        <v>17</v>
      </c>
      <c r="F1632" s="9" t="str">
        <f t="shared" si="25"/>
        <v>Not Delivered</v>
      </c>
      <c r="G1632" s="9" t="b">
        <v>1</v>
      </c>
      <c r="H1632" s="9" t="s">
        <v>4</v>
      </c>
      <c r="I1632" s="8">
        <v>8167</v>
      </c>
      <c r="J1632" s="10">
        <v>2123.56</v>
      </c>
      <c r="K1632" s="10">
        <v>0</v>
      </c>
      <c r="L1632" s="10">
        <v>180.33</v>
      </c>
      <c r="M1632" s="10">
        <v>2303.89</v>
      </c>
      <c r="N1632" s="8">
        <v>5</v>
      </c>
      <c r="O1632" s="6">
        <v>1.3</v>
      </c>
    </row>
    <row r="1633" spans="1:15" x14ac:dyDescent="0.25">
      <c r="A1633" s="8">
        <v>41278</v>
      </c>
      <c r="B1633" s="9" t="s">
        <v>10</v>
      </c>
      <c r="C1633" s="9" t="s">
        <v>11</v>
      </c>
      <c r="D1633" s="9" t="s">
        <v>50</v>
      </c>
      <c r="E1633" s="9" t="s">
        <v>32</v>
      </c>
      <c r="F1633" s="9" t="str">
        <f t="shared" si="25"/>
        <v>Not Delivered</v>
      </c>
      <c r="G1633" s="9" t="b">
        <v>0</v>
      </c>
      <c r="H1633" s="9" t="s">
        <v>14</v>
      </c>
      <c r="I1633" s="8">
        <v>1948</v>
      </c>
      <c r="J1633" s="10">
        <v>186.27</v>
      </c>
      <c r="K1633" s="10">
        <v>51.38</v>
      </c>
      <c r="L1633" s="10">
        <v>0</v>
      </c>
      <c r="M1633" s="10">
        <v>237.65</v>
      </c>
      <c r="N1633" s="8">
        <v>4</v>
      </c>
      <c r="O1633" s="6">
        <v>1.3</v>
      </c>
    </row>
    <row r="1634" spans="1:15" x14ac:dyDescent="0.25">
      <c r="A1634" s="8">
        <v>42044</v>
      </c>
      <c r="B1634" s="9" t="s">
        <v>0</v>
      </c>
      <c r="C1634" s="9" t="s">
        <v>51</v>
      </c>
      <c r="D1634" s="9" t="s">
        <v>50</v>
      </c>
      <c r="E1634" s="9" t="s">
        <v>21</v>
      </c>
      <c r="F1634" s="9" t="str">
        <f t="shared" si="25"/>
        <v>Not Delivered</v>
      </c>
      <c r="G1634" s="9" t="b">
        <v>1</v>
      </c>
      <c r="H1634" s="9" t="s">
        <v>9</v>
      </c>
      <c r="I1634" s="8">
        <v>2412</v>
      </c>
      <c r="J1634" s="10">
        <v>872.45</v>
      </c>
      <c r="K1634" s="10">
        <v>138.13</v>
      </c>
      <c r="L1634" s="10">
        <v>187.14</v>
      </c>
      <c r="M1634" s="10">
        <v>1197.72</v>
      </c>
      <c r="N1634" s="8">
        <v>3</v>
      </c>
      <c r="O1634" s="6">
        <v>1.2</v>
      </c>
    </row>
    <row r="1635" spans="1:15" x14ac:dyDescent="0.25">
      <c r="A1635" s="8">
        <v>66948</v>
      </c>
      <c r="B1635" s="9" t="s">
        <v>5</v>
      </c>
      <c r="C1635" s="9" t="s">
        <v>31</v>
      </c>
      <c r="D1635" s="9" t="s">
        <v>7</v>
      </c>
      <c r="E1635" s="9" t="s">
        <v>13</v>
      </c>
      <c r="F1635" s="9" t="str">
        <f t="shared" si="25"/>
        <v>Delivered</v>
      </c>
      <c r="G1635" s="9" t="b">
        <v>1</v>
      </c>
      <c r="H1635" s="9" t="s">
        <v>14</v>
      </c>
      <c r="I1635" s="8">
        <v>2900</v>
      </c>
      <c r="J1635" s="10">
        <v>1187.31</v>
      </c>
      <c r="K1635" s="10">
        <v>0</v>
      </c>
      <c r="L1635" s="10">
        <v>189.1</v>
      </c>
      <c r="M1635" s="10">
        <v>1376.41</v>
      </c>
      <c r="N1635" s="8">
        <v>9</v>
      </c>
      <c r="O1635" s="6">
        <v>3.2</v>
      </c>
    </row>
    <row r="1636" spans="1:15" x14ac:dyDescent="0.25">
      <c r="A1636" s="8">
        <v>69424</v>
      </c>
      <c r="B1636" s="9" t="s">
        <v>23</v>
      </c>
      <c r="C1636" s="9" t="s">
        <v>54</v>
      </c>
      <c r="D1636" s="9" t="s">
        <v>35</v>
      </c>
      <c r="E1636" s="9" t="s">
        <v>13</v>
      </c>
      <c r="F1636" s="9" t="str">
        <f t="shared" si="25"/>
        <v>Delivered</v>
      </c>
      <c r="G1636" s="9" t="b">
        <v>0</v>
      </c>
      <c r="H1636" s="9" t="s">
        <v>4</v>
      </c>
      <c r="I1636" s="8">
        <v>1901</v>
      </c>
      <c r="J1636" s="10">
        <v>2775.24</v>
      </c>
      <c r="K1636" s="10">
        <v>113.06</v>
      </c>
      <c r="L1636" s="10">
        <v>0</v>
      </c>
      <c r="M1636" s="10">
        <v>2888.3</v>
      </c>
      <c r="N1636" s="8">
        <v>7</v>
      </c>
      <c r="O1636" s="6">
        <v>3.2</v>
      </c>
    </row>
    <row r="1637" spans="1:15" x14ac:dyDescent="0.25">
      <c r="A1637" s="8">
        <v>50539</v>
      </c>
      <c r="B1637" s="9" t="s">
        <v>39</v>
      </c>
      <c r="C1637" s="9" t="s">
        <v>58</v>
      </c>
      <c r="D1637" s="9" t="s">
        <v>16</v>
      </c>
      <c r="E1637" s="9" t="s">
        <v>32</v>
      </c>
      <c r="F1637" s="9" t="str">
        <f t="shared" si="25"/>
        <v>Not Delivered</v>
      </c>
      <c r="G1637" s="9" t="b">
        <v>0</v>
      </c>
      <c r="H1637" s="9" t="s">
        <v>28</v>
      </c>
      <c r="I1637" s="8">
        <v>3877</v>
      </c>
      <c r="J1637" s="10">
        <v>1396.36</v>
      </c>
      <c r="K1637" s="10">
        <v>89.35</v>
      </c>
      <c r="L1637" s="10">
        <v>0</v>
      </c>
      <c r="M1637" s="10">
        <v>1485.71</v>
      </c>
      <c r="N1637" s="8">
        <v>10</v>
      </c>
      <c r="O1637" s="6">
        <v>1.3</v>
      </c>
    </row>
    <row r="1638" spans="1:15" x14ac:dyDescent="0.25">
      <c r="A1638" s="8">
        <v>25655</v>
      </c>
      <c r="B1638" s="9" t="s">
        <v>41</v>
      </c>
      <c r="C1638" s="9" t="s">
        <v>46</v>
      </c>
      <c r="D1638" s="9" t="s">
        <v>45</v>
      </c>
      <c r="E1638" s="9" t="s">
        <v>8</v>
      </c>
      <c r="F1638" s="9" t="str">
        <f t="shared" si="25"/>
        <v>Not Delivered</v>
      </c>
      <c r="G1638" s="9" t="b">
        <v>1</v>
      </c>
      <c r="H1638" s="9" t="s">
        <v>22</v>
      </c>
      <c r="I1638" s="8">
        <v>1207</v>
      </c>
      <c r="J1638" s="10">
        <v>1904.21</v>
      </c>
      <c r="K1638" s="10">
        <v>0</v>
      </c>
      <c r="L1638" s="10">
        <v>190.23</v>
      </c>
      <c r="M1638" s="10">
        <v>2094.44</v>
      </c>
      <c r="N1638" s="8">
        <v>6</v>
      </c>
    </row>
    <row r="1639" spans="1:15" x14ac:dyDescent="0.25">
      <c r="A1639" s="8">
        <v>27984</v>
      </c>
      <c r="B1639" s="9" t="s">
        <v>10</v>
      </c>
      <c r="C1639" s="9" t="s">
        <v>26</v>
      </c>
      <c r="D1639" s="9" t="s">
        <v>12</v>
      </c>
      <c r="E1639" s="9" t="s">
        <v>21</v>
      </c>
      <c r="F1639" s="9" t="str">
        <f t="shared" si="25"/>
        <v>Not Delivered</v>
      </c>
      <c r="G1639" s="9" t="b">
        <v>1</v>
      </c>
      <c r="H1639" s="9" t="s">
        <v>22</v>
      </c>
      <c r="I1639" s="8">
        <v>1185</v>
      </c>
      <c r="J1639" s="10">
        <v>1365.56</v>
      </c>
      <c r="K1639" s="10">
        <v>138.94999999999999</v>
      </c>
      <c r="L1639" s="10">
        <v>49.92</v>
      </c>
      <c r="M1639" s="10">
        <v>1554.43</v>
      </c>
      <c r="N1639" s="8">
        <v>8</v>
      </c>
      <c r="O1639" s="6">
        <v>4.8</v>
      </c>
    </row>
    <row r="1640" spans="1:15" x14ac:dyDescent="0.25">
      <c r="A1640" s="8">
        <v>31473</v>
      </c>
      <c r="B1640" s="9" t="s">
        <v>5</v>
      </c>
      <c r="C1640" s="9" t="s">
        <v>36</v>
      </c>
      <c r="D1640" s="9" t="s">
        <v>7</v>
      </c>
      <c r="E1640" s="9" t="s">
        <v>32</v>
      </c>
      <c r="F1640" s="9" t="str">
        <f t="shared" si="25"/>
        <v>Not Delivered</v>
      </c>
      <c r="G1640" s="9" t="b">
        <v>0</v>
      </c>
      <c r="H1640" s="9" t="s">
        <v>22</v>
      </c>
      <c r="I1640" s="8">
        <v>9133</v>
      </c>
      <c r="J1640" s="10">
        <v>955.63</v>
      </c>
      <c r="K1640" s="10">
        <v>0</v>
      </c>
      <c r="L1640" s="10">
        <v>0</v>
      </c>
      <c r="M1640" s="10">
        <v>955.63</v>
      </c>
      <c r="N1640" s="8">
        <v>11</v>
      </c>
      <c r="O1640" s="6">
        <v>3.7</v>
      </c>
    </row>
    <row r="1641" spans="1:15" x14ac:dyDescent="0.25">
      <c r="A1641" s="8">
        <v>55443</v>
      </c>
      <c r="B1641" s="9" t="s">
        <v>5</v>
      </c>
      <c r="C1641" s="9" t="s">
        <v>44</v>
      </c>
      <c r="D1641" s="9" t="s">
        <v>25</v>
      </c>
      <c r="E1641" s="9" t="s">
        <v>17</v>
      </c>
      <c r="F1641" s="9" t="str">
        <f t="shared" si="25"/>
        <v>Not Delivered</v>
      </c>
      <c r="G1641" s="9" t="b">
        <v>0</v>
      </c>
      <c r="H1641" s="9" t="s">
        <v>22</v>
      </c>
      <c r="I1641" s="8">
        <v>9568</v>
      </c>
      <c r="J1641" s="10">
        <v>1849.3</v>
      </c>
      <c r="K1641" s="10">
        <v>73.38</v>
      </c>
      <c r="L1641" s="10">
        <v>0</v>
      </c>
      <c r="M1641" s="10">
        <v>1922.68</v>
      </c>
      <c r="N1641" s="8">
        <v>12</v>
      </c>
      <c r="O1641" s="6">
        <v>3.7</v>
      </c>
    </row>
    <row r="1642" spans="1:15" x14ac:dyDescent="0.25">
      <c r="A1642" s="8">
        <v>77793</v>
      </c>
      <c r="B1642" s="9" t="s">
        <v>23</v>
      </c>
      <c r="C1642" s="9" t="s">
        <v>24</v>
      </c>
      <c r="D1642" s="9" t="s">
        <v>16</v>
      </c>
      <c r="E1642" s="9" t="s">
        <v>8</v>
      </c>
      <c r="F1642" s="9" t="str">
        <f t="shared" si="25"/>
        <v>Not Delivered</v>
      </c>
      <c r="G1642" s="9" t="b">
        <v>0</v>
      </c>
      <c r="H1642" s="9" t="s">
        <v>4</v>
      </c>
      <c r="I1642" s="8">
        <v>5247</v>
      </c>
      <c r="J1642" s="10">
        <v>1397.55</v>
      </c>
      <c r="K1642" s="10">
        <v>129.38999999999999</v>
      </c>
      <c r="L1642" s="10">
        <v>0</v>
      </c>
      <c r="M1642" s="10">
        <v>1526.94</v>
      </c>
      <c r="N1642" s="8">
        <v>14</v>
      </c>
      <c r="O1642" s="6">
        <v>1</v>
      </c>
    </row>
    <row r="1643" spans="1:15" x14ac:dyDescent="0.25">
      <c r="A1643" s="8">
        <v>31884</v>
      </c>
      <c r="B1643" s="9" t="s">
        <v>5</v>
      </c>
      <c r="C1643" s="9" t="s">
        <v>56</v>
      </c>
      <c r="D1643" s="9" t="s">
        <v>45</v>
      </c>
      <c r="E1643" s="9" t="s">
        <v>8</v>
      </c>
      <c r="F1643" s="9" t="str">
        <f t="shared" si="25"/>
        <v>Not Delivered</v>
      </c>
      <c r="G1643" s="9" t="b">
        <v>1</v>
      </c>
      <c r="H1643" s="9" t="s">
        <v>18</v>
      </c>
      <c r="I1643" s="8">
        <v>7092</v>
      </c>
      <c r="J1643" s="10">
        <v>455.29</v>
      </c>
      <c r="K1643" s="10">
        <v>41.09</v>
      </c>
      <c r="L1643" s="10">
        <v>196.66</v>
      </c>
      <c r="M1643" s="10">
        <v>693.04</v>
      </c>
      <c r="N1643" s="8">
        <v>11</v>
      </c>
      <c r="O1643" s="6">
        <v>3.4</v>
      </c>
    </row>
    <row r="1644" spans="1:15" x14ac:dyDescent="0.25">
      <c r="A1644" s="8">
        <v>26637</v>
      </c>
      <c r="B1644" s="9" t="s">
        <v>10</v>
      </c>
      <c r="C1644" s="9" t="s">
        <v>26</v>
      </c>
      <c r="D1644" s="9" t="s">
        <v>7</v>
      </c>
      <c r="E1644" s="9" t="s">
        <v>3</v>
      </c>
      <c r="F1644" s="9" t="str">
        <f t="shared" si="25"/>
        <v>Not Delivered</v>
      </c>
      <c r="G1644" s="9" t="b">
        <v>0</v>
      </c>
      <c r="H1644" s="9" t="s">
        <v>18</v>
      </c>
      <c r="I1644" s="8">
        <v>5403</v>
      </c>
      <c r="J1644" s="10">
        <v>932.32</v>
      </c>
      <c r="K1644" s="10">
        <v>0</v>
      </c>
      <c r="L1644" s="10">
        <v>0</v>
      </c>
      <c r="M1644" s="10">
        <v>932.32</v>
      </c>
      <c r="N1644" s="8">
        <v>2</v>
      </c>
      <c r="O1644" s="6">
        <v>3.8</v>
      </c>
    </row>
    <row r="1645" spans="1:15" x14ac:dyDescent="0.25">
      <c r="A1645" s="8">
        <v>25473</v>
      </c>
      <c r="B1645" s="9" t="s">
        <v>41</v>
      </c>
      <c r="C1645" s="9" t="s">
        <v>47</v>
      </c>
      <c r="D1645" s="9" t="s">
        <v>19</v>
      </c>
      <c r="E1645" s="9" t="s">
        <v>8</v>
      </c>
      <c r="F1645" s="9" t="str">
        <f t="shared" si="25"/>
        <v>Not Delivered</v>
      </c>
      <c r="G1645" s="9" t="b">
        <v>0</v>
      </c>
      <c r="H1645" s="9" t="s">
        <v>14</v>
      </c>
      <c r="I1645" s="8">
        <v>1480</v>
      </c>
      <c r="J1645" s="10">
        <v>2347.65</v>
      </c>
      <c r="K1645" s="10">
        <v>108.99</v>
      </c>
      <c r="L1645" s="10">
        <v>0</v>
      </c>
      <c r="M1645" s="10">
        <v>2456.64</v>
      </c>
      <c r="N1645" s="8">
        <v>11</v>
      </c>
    </row>
    <row r="1646" spans="1:15" x14ac:dyDescent="0.25">
      <c r="A1646" s="8">
        <v>53910</v>
      </c>
      <c r="B1646" s="9" t="s">
        <v>5</v>
      </c>
      <c r="C1646" s="9" t="s">
        <v>6</v>
      </c>
      <c r="D1646" s="9" t="s">
        <v>12</v>
      </c>
      <c r="E1646" s="9" t="s">
        <v>17</v>
      </c>
      <c r="F1646" s="9" t="str">
        <f t="shared" si="25"/>
        <v>Not Delivered</v>
      </c>
      <c r="G1646" s="9" t="b">
        <v>1</v>
      </c>
      <c r="H1646" s="9" t="s">
        <v>33</v>
      </c>
      <c r="I1646" s="8">
        <v>8034</v>
      </c>
      <c r="J1646" s="10">
        <v>222.36</v>
      </c>
      <c r="K1646" s="10">
        <v>54.45</v>
      </c>
      <c r="L1646" s="10">
        <v>177.29</v>
      </c>
      <c r="M1646" s="10">
        <v>454.1</v>
      </c>
      <c r="N1646" s="8">
        <v>1</v>
      </c>
      <c r="O1646" s="6">
        <v>4.5999999999999996</v>
      </c>
    </row>
    <row r="1647" spans="1:15" x14ac:dyDescent="0.25">
      <c r="A1647" s="8">
        <v>45649</v>
      </c>
      <c r="B1647" s="9" t="s">
        <v>10</v>
      </c>
      <c r="C1647" s="9" t="s">
        <v>29</v>
      </c>
      <c r="D1647" s="9" t="s">
        <v>50</v>
      </c>
      <c r="E1647" s="9" t="s">
        <v>8</v>
      </c>
      <c r="F1647" s="9" t="str">
        <f t="shared" si="25"/>
        <v>Not Delivered</v>
      </c>
      <c r="G1647" s="9" t="b">
        <v>0</v>
      </c>
      <c r="H1647" s="9" t="s">
        <v>18</v>
      </c>
      <c r="I1647" s="8">
        <v>9582</v>
      </c>
      <c r="J1647" s="10">
        <v>1881.61</v>
      </c>
      <c r="K1647" s="10">
        <v>92.84</v>
      </c>
      <c r="L1647" s="10">
        <v>0</v>
      </c>
      <c r="M1647" s="10">
        <v>1974.45</v>
      </c>
      <c r="N1647" s="8">
        <v>2</v>
      </c>
    </row>
    <row r="1648" spans="1:15" x14ac:dyDescent="0.25">
      <c r="A1648" s="8">
        <v>18371</v>
      </c>
      <c r="B1648" s="9" t="s">
        <v>5</v>
      </c>
      <c r="C1648" s="9" t="s">
        <v>36</v>
      </c>
      <c r="D1648" s="9" t="s">
        <v>2</v>
      </c>
      <c r="E1648" s="9" t="s">
        <v>13</v>
      </c>
      <c r="F1648" s="9" t="str">
        <f t="shared" si="25"/>
        <v>Delivered</v>
      </c>
      <c r="G1648" s="9" t="b">
        <v>1</v>
      </c>
      <c r="H1648" s="9" t="s">
        <v>28</v>
      </c>
      <c r="I1648" s="8">
        <v>5308</v>
      </c>
      <c r="J1648" s="10">
        <v>2478.12</v>
      </c>
      <c r="K1648" s="10">
        <v>111.54</v>
      </c>
      <c r="L1648" s="10">
        <v>134.61000000000001</v>
      </c>
      <c r="M1648" s="10">
        <v>2724.27</v>
      </c>
      <c r="N1648" s="8">
        <v>13</v>
      </c>
      <c r="O1648" s="6">
        <v>2.5</v>
      </c>
    </row>
    <row r="1649" spans="1:15" x14ac:dyDescent="0.25">
      <c r="A1649" s="8">
        <v>85582</v>
      </c>
      <c r="B1649" s="9" t="s">
        <v>5</v>
      </c>
      <c r="C1649" s="9" t="s">
        <v>56</v>
      </c>
      <c r="D1649" s="9" t="s">
        <v>27</v>
      </c>
      <c r="E1649" s="9" t="s">
        <v>17</v>
      </c>
      <c r="F1649" s="9" t="str">
        <f t="shared" si="25"/>
        <v>Not Delivered</v>
      </c>
      <c r="G1649" s="9" t="b">
        <v>0</v>
      </c>
      <c r="H1649" s="9" t="s">
        <v>9</v>
      </c>
      <c r="I1649" s="8">
        <v>2262</v>
      </c>
      <c r="J1649" s="10">
        <v>1092.22</v>
      </c>
      <c r="K1649" s="10">
        <v>0</v>
      </c>
      <c r="L1649" s="10">
        <v>0</v>
      </c>
      <c r="M1649" s="10">
        <v>1092.22</v>
      </c>
      <c r="N1649" s="8">
        <v>8</v>
      </c>
      <c r="O1649" s="6">
        <v>3.3</v>
      </c>
    </row>
    <row r="1650" spans="1:15" x14ac:dyDescent="0.25">
      <c r="A1650" s="8">
        <v>75031</v>
      </c>
      <c r="B1650" s="9" t="s">
        <v>41</v>
      </c>
      <c r="C1650" s="9" t="s">
        <v>42</v>
      </c>
      <c r="D1650" s="9" t="s">
        <v>19</v>
      </c>
      <c r="E1650" s="9" t="s">
        <v>3</v>
      </c>
      <c r="F1650" s="9" t="str">
        <f t="shared" si="25"/>
        <v>Not Delivered</v>
      </c>
      <c r="G1650" s="9" t="b">
        <v>1</v>
      </c>
      <c r="H1650" s="9" t="s">
        <v>18</v>
      </c>
      <c r="I1650" s="8">
        <v>8457</v>
      </c>
      <c r="J1650" s="10">
        <v>2374.39</v>
      </c>
      <c r="K1650" s="10">
        <v>104.75</v>
      </c>
      <c r="L1650" s="10">
        <v>257.57</v>
      </c>
      <c r="M1650" s="10">
        <v>2736.71</v>
      </c>
      <c r="N1650" s="8">
        <v>8</v>
      </c>
      <c r="O1650" s="6">
        <v>4.0999999999999996</v>
      </c>
    </row>
    <row r="1651" spans="1:15" x14ac:dyDescent="0.25">
      <c r="A1651" s="8">
        <v>76949</v>
      </c>
      <c r="B1651" s="9" t="s">
        <v>10</v>
      </c>
      <c r="C1651" s="9" t="s">
        <v>29</v>
      </c>
      <c r="D1651" s="9" t="s">
        <v>35</v>
      </c>
      <c r="E1651" s="9" t="s">
        <v>32</v>
      </c>
      <c r="F1651" s="9" t="str">
        <f t="shared" si="25"/>
        <v>Not Delivered</v>
      </c>
      <c r="G1651" s="9" t="b">
        <v>0</v>
      </c>
      <c r="H1651" s="9" t="s">
        <v>4</v>
      </c>
      <c r="I1651" s="8">
        <v>6900</v>
      </c>
      <c r="J1651" s="10">
        <v>1461.65</v>
      </c>
      <c r="K1651" s="10">
        <v>116.22</v>
      </c>
      <c r="L1651" s="10">
        <v>0</v>
      </c>
      <c r="M1651" s="10">
        <v>1577.87</v>
      </c>
      <c r="N1651" s="8">
        <v>5</v>
      </c>
      <c r="O1651" s="6">
        <v>4.9000000000000004</v>
      </c>
    </row>
    <row r="1652" spans="1:15" x14ac:dyDescent="0.25">
      <c r="A1652" s="8">
        <v>17266</v>
      </c>
      <c r="B1652" s="9" t="s">
        <v>5</v>
      </c>
      <c r="C1652" s="9" t="s">
        <v>44</v>
      </c>
      <c r="D1652" s="9" t="s">
        <v>25</v>
      </c>
      <c r="E1652" s="9" t="s">
        <v>17</v>
      </c>
      <c r="F1652" s="9" t="str">
        <f t="shared" si="25"/>
        <v>Not Delivered</v>
      </c>
      <c r="G1652" s="9" t="b">
        <v>1</v>
      </c>
      <c r="H1652" s="9" t="s">
        <v>9</v>
      </c>
      <c r="I1652" s="8">
        <v>9185</v>
      </c>
      <c r="J1652" s="10">
        <v>1328.79</v>
      </c>
      <c r="K1652" s="10">
        <v>134.81</v>
      </c>
      <c r="L1652" s="10">
        <v>132.81</v>
      </c>
      <c r="M1652" s="10">
        <v>1596.41</v>
      </c>
      <c r="N1652" s="8">
        <v>4</v>
      </c>
      <c r="O1652" s="6">
        <v>2.4</v>
      </c>
    </row>
    <row r="1653" spans="1:15" x14ac:dyDescent="0.25">
      <c r="A1653" s="8">
        <v>84302</v>
      </c>
      <c r="B1653" s="9" t="s">
        <v>23</v>
      </c>
      <c r="C1653" s="9" t="s">
        <v>54</v>
      </c>
      <c r="D1653" s="9" t="s">
        <v>50</v>
      </c>
      <c r="E1653" s="9" t="s">
        <v>32</v>
      </c>
      <c r="F1653" s="9" t="str">
        <f t="shared" si="25"/>
        <v>Not Delivered</v>
      </c>
      <c r="G1653" s="9" t="b">
        <v>0</v>
      </c>
      <c r="H1653" s="9" t="s">
        <v>18</v>
      </c>
      <c r="I1653" s="8">
        <v>3734</v>
      </c>
      <c r="J1653" s="10">
        <v>1042.3499999999999</v>
      </c>
      <c r="K1653" s="10">
        <v>0</v>
      </c>
      <c r="L1653" s="10">
        <v>0</v>
      </c>
      <c r="M1653" s="10">
        <v>1042.3499999999999</v>
      </c>
      <c r="N1653" s="8">
        <v>3</v>
      </c>
      <c r="O1653" s="6">
        <v>2.8</v>
      </c>
    </row>
    <row r="1654" spans="1:15" x14ac:dyDescent="0.25">
      <c r="A1654" s="8">
        <v>58193</v>
      </c>
      <c r="B1654" s="9" t="s">
        <v>5</v>
      </c>
      <c r="C1654" s="9" t="s">
        <v>31</v>
      </c>
      <c r="D1654" s="9" t="s">
        <v>25</v>
      </c>
      <c r="E1654" s="9" t="s">
        <v>8</v>
      </c>
      <c r="F1654" s="9" t="str">
        <f t="shared" si="25"/>
        <v>Not Delivered</v>
      </c>
      <c r="G1654" s="9" t="b">
        <v>1</v>
      </c>
      <c r="H1654" s="9" t="s">
        <v>14</v>
      </c>
      <c r="I1654" s="8">
        <v>3577</v>
      </c>
      <c r="J1654" s="10">
        <v>629.57000000000005</v>
      </c>
      <c r="K1654" s="10">
        <v>120.25</v>
      </c>
      <c r="L1654" s="10">
        <v>89.46</v>
      </c>
      <c r="M1654" s="10">
        <v>839.28</v>
      </c>
      <c r="N1654" s="8">
        <v>5</v>
      </c>
      <c r="O1654" s="6">
        <v>1.4</v>
      </c>
    </row>
    <row r="1655" spans="1:15" x14ac:dyDescent="0.25">
      <c r="A1655" s="8">
        <v>43438</v>
      </c>
      <c r="B1655" s="9" t="s">
        <v>5</v>
      </c>
      <c r="C1655" s="9" t="s">
        <v>59</v>
      </c>
      <c r="D1655" s="9" t="s">
        <v>25</v>
      </c>
      <c r="E1655" s="9" t="s">
        <v>8</v>
      </c>
      <c r="F1655" s="9" t="str">
        <f t="shared" si="25"/>
        <v>Not Delivered</v>
      </c>
      <c r="G1655" s="9" t="b">
        <v>0</v>
      </c>
      <c r="H1655" s="9" t="s">
        <v>14</v>
      </c>
      <c r="I1655" s="8">
        <v>2685</v>
      </c>
      <c r="J1655" s="10">
        <v>291.62</v>
      </c>
      <c r="K1655" s="10">
        <v>92.13</v>
      </c>
      <c r="L1655" s="10">
        <v>0</v>
      </c>
      <c r="M1655" s="10">
        <v>383.75</v>
      </c>
      <c r="N1655" s="8">
        <v>14</v>
      </c>
      <c r="O1655" s="6">
        <v>2.4</v>
      </c>
    </row>
    <row r="1656" spans="1:15" x14ac:dyDescent="0.25">
      <c r="A1656" s="8">
        <v>85223</v>
      </c>
      <c r="B1656" s="9" t="s">
        <v>41</v>
      </c>
      <c r="C1656" s="9" t="s">
        <v>42</v>
      </c>
      <c r="D1656" s="9" t="s">
        <v>2</v>
      </c>
      <c r="E1656" s="9" t="s">
        <v>17</v>
      </c>
      <c r="F1656" s="9" t="str">
        <f t="shared" si="25"/>
        <v>Not Delivered</v>
      </c>
      <c r="G1656" s="9" t="b">
        <v>1</v>
      </c>
      <c r="H1656" s="9" t="s">
        <v>33</v>
      </c>
      <c r="I1656" s="8">
        <v>2889</v>
      </c>
      <c r="J1656" s="10">
        <v>1422.96</v>
      </c>
      <c r="K1656" s="10">
        <v>0</v>
      </c>
      <c r="L1656" s="10">
        <v>27.21</v>
      </c>
      <c r="M1656" s="10">
        <v>1450.17</v>
      </c>
      <c r="N1656" s="8">
        <v>7</v>
      </c>
      <c r="O1656" s="6">
        <v>4.2</v>
      </c>
    </row>
    <row r="1657" spans="1:15" x14ac:dyDescent="0.25">
      <c r="A1657" s="8">
        <v>39937</v>
      </c>
      <c r="B1657" s="9" t="s">
        <v>0</v>
      </c>
      <c r="C1657" s="9" t="s">
        <v>51</v>
      </c>
      <c r="D1657" s="9" t="s">
        <v>12</v>
      </c>
      <c r="E1657" s="9" t="s">
        <v>32</v>
      </c>
      <c r="F1657" s="9" t="str">
        <f t="shared" si="25"/>
        <v>Not Delivered</v>
      </c>
      <c r="G1657" s="9" t="b">
        <v>0</v>
      </c>
      <c r="H1657" s="9" t="s">
        <v>18</v>
      </c>
      <c r="I1657" s="8">
        <v>9336</v>
      </c>
      <c r="J1657" s="10">
        <v>1730.18</v>
      </c>
      <c r="K1657" s="10">
        <v>95.65</v>
      </c>
      <c r="L1657" s="10">
        <v>0</v>
      </c>
      <c r="M1657" s="10">
        <v>1825.83</v>
      </c>
      <c r="N1657" s="8">
        <v>6</v>
      </c>
      <c r="O1657" s="6">
        <v>4.4000000000000004</v>
      </c>
    </row>
    <row r="1658" spans="1:15" x14ac:dyDescent="0.25">
      <c r="A1658" s="8">
        <v>10336</v>
      </c>
      <c r="B1658" s="9" t="s">
        <v>0</v>
      </c>
      <c r="C1658" s="9" t="s">
        <v>43</v>
      </c>
      <c r="D1658" s="9" t="s">
        <v>38</v>
      </c>
      <c r="E1658" s="9" t="s">
        <v>32</v>
      </c>
      <c r="F1658" s="9" t="str">
        <f t="shared" si="25"/>
        <v>Not Delivered</v>
      </c>
      <c r="G1658" s="9" t="b">
        <v>1</v>
      </c>
      <c r="H1658" s="9" t="s">
        <v>9</v>
      </c>
      <c r="I1658" s="8">
        <v>1721</v>
      </c>
      <c r="J1658" s="10">
        <v>1422.26</v>
      </c>
      <c r="K1658" s="10">
        <v>89.52</v>
      </c>
      <c r="L1658" s="10">
        <v>70.95</v>
      </c>
      <c r="M1658" s="10">
        <v>1582.73</v>
      </c>
      <c r="N1658" s="8">
        <v>13</v>
      </c>
      <c r="O1658" s="6">
        <v>4.2</v>
      </c>
    </row>
    <row r="1659" spans="1:15" x14ac:dyDescent="0.25">
      <c r="A1659" s="8">
        <v>11610</v>
      </c>
      <c r="B1659" s="9" t="s">
        <v>10</v>
      </c>
      <c r="C1659" s="9" t="s">
        <v>11</v>
      </c>
      <c r="D1659" s="9" t="s">
        <v>7</v>
      </c>
      <c r="E1659" s="9" t="s">
        <v>17</v>
      </c>
      <c r="F1659" s="9" t="str">
        <f t="shared" si="25"/>
        <v>Not Delivered</v>
      </c>
      <c r="G1659" s="9" t="b">
        <v>0</v>
      </c>
      <c r="H1659" s="9" t="s">
        <v>9</v>
      </c>
      <c r="I1659" s="8">
        <v>5006</v>
      </c>
      <c r="J1659" s="10">
        <v>1089.26</v>
      </c>
      <c r="K1659" s="10">
        <v>0</v>
      </c>
      <c r="L1659" s="10">
        <v>0</v>
      </c>
      <c r="M1659" s="10">
        <v>1089.26</v>
      </c>
      <c r="N1659" s="8">
        <v>8</v>
      </c>
      <c r="O1659" s="6">
        <v>3.8</v>
      </c>
    </row>
    <row r="1660" spans="1:15" x14ac:dyDescent="0.25">
      <c r="A1660" s="8">
        <v>16026</v>
      </c>
      <c r="B1660" s="9" t="s">
        <v>5</v>
      </c>
      <c r="C1660" s="9" t="s">
        <v>6</v>
      </c>
      <c r="D1660" s="9" t="s">
        <v>2</v>
      </c>
      <c r="E1660" s="9" t="s">
        <v>8</v>
      </c>
      <c r="F1660" s="9" t="str">
        <f t="shared" si="25"/>
        <v>Not Delivered</v>
      </c>
      <c r="G1660" s="9" t="b">
        <v>1</v>
      </c>
      <c r="H1660" s="9" t="s">
        <v>22</v>
      </c>
      <c r="I1660" s="8">
        <v>8729</v>
      </c>
      <c r="J1660" s="10">
        <v>2042.65</v>
      </c>
      <c r="K1660" s="10">
        <v>72.56</v>
      </c>
      <c r="L1660" s="10">
        <v>59.45</v>
      </c>
      <c r="M1660" s="10">
        <v>2174.66</v>
      </c>
      <c r="N1660" s="8">
        <v>12</v>
      </c>
      <c r="O1660" s="6">
        <v>1.4</v>
      </c>
    </row>
    <row r="1661" spans="1:15" x14ac:dyDescent="0.25">
      <c r="A1661" s="8">
        <v>57707</v>
      </c>
      <c r="B1661" s="9" t="s">
        <v>23</v>
      </c>
      <c r="C1661" s="9" t="s">
        <v>60</v>
      </c>
      <c r="D1661" s="9" t="s">
        <v>35</v>
      </c>
      <c r="E1661" s="9" t="s">
        <v>21</v>
      </c>
      <c r="F1661" s="9" t="str">
        <f t="shared" si="25"/>
        <v>Not Delivered</v>
      </c>
      <c r="G1661" s="9" t="b">
        <v>0</v>
      </c>
      <c r="H1661" s="9" t="s">
        <v>4</v>
      </c>
      <c r="I1661" s="8">
        <v>7274</v>
      </c>
      <c r="J1661" s="10">
        <v>1154.83</v>
      </c>
      <c r="K1661" s="10">
        <v>128.57</v>
      </c>
      <c r="L1661" s="10">
        <v>0</v>
      </c>
      <c r="M1661" s="10">
        <v>1283.4000000000001</v>
      </c>
      <c r="N1661" s="8">
        <v>12</v>
      </c>
    </row>
    <row r="1662" spans="1:15" x14ac:dyDescent="0.25">
      <c r="A1662" s="8">
        <v>29671</v>
      </c>
      <c r="B1662" s="9" t="s">
        <v>39</v>
      </c>
      <c r="C1662" s="9" t="s">
        <v>57</v>
      </c>
      <c r="D1662" s="9" t="s">
        <v>2</v>
      </c>
      <c r="E1662" s="9" t="s">
        <v>13</v>
      </c>
      <c r="F1662" s="9" t="str">
        <f t="shared" si="25"/>
        <v>Delivered</v>
      </c>
      <c r="G1662" s="9" t="b">
        <v>0</v>
      </c>
      <c r="H1662" s="9" t="s">
        <v>18</v>
      </c>
      <c r="I1662" s="8">
        <v>3932</v>
      </c>
      <c r="J1662" s="10">
        <v>1177.3800000000001</v>
      </c>
      <c r="K1662" s="10">
        <v>71.14</v>
      </c>
      <c r="L1662" s="10">
        <v>0</v>
      </c>
      <c r="M1662" s="10">
        <v>1248.52</v>
      </c>
      <c r="N1662" s="8">
        <v>6</v>
      </c>
      <c r="O1662" s="6">
        <v>1.3</v>
      </c>
    </row>
    <row r="1663" spans="1:15" x14ac:dyDescent="0.25">
      <c r="A1663" s="8">
        <v>14635</v>
      </c>
      <c r="B1663" s="9" t="s">
        <v>0</v>
      </c>
      <c r="C1663" s="9" t="s">
        <v>37</v>
      </c>
      <c r="D1663" s="9" t="s">
        <v>35</v>
      </c>
      <c r="E1663" s="9" t="s">
        <v>32</v>
      </c>
      <c r="F1663" s="9" t="str">
        <f t="shared" si="25"/>
        <v>Not Delivered</v>
      </c>
      <c r="G1663" s="9" t="b">
        <v>1</v>
      </c>
      <c r="H1663" s="9" t="s">
        <v>9</v>
      </c>
      <c r="I1663" s="8">
        <v>7870</v>
      </c>
      <c r="J1663" s="10">
        <v>1288.94</v>
      </c>
      <c r="K1663" s="10">
        <v>120.4</v>
      </c>
      <c r="M1663" s="10">
        <v>1642.74</v>
      </c>
      <c r="N1663" s="8">
        <v>1</v>
      </c>
      <c r="O1663" s="6">
        <v>4</v>
      </c>
    </row>
    <row r="1664" spans="1:15" x14ac:dyDescent="0.25">
      <c r="A1664" s="8">
        <v>39427</v>
      </c>
      <c r="B1664" s="9" t="s">
        <v>41</v>
      </c>
      <c r="C1664" s="9" t="s">
        <v>46</v>
      </c>
      <c r="D1664" s="9" t="s">
        <v>50</v>
      </c>
      <c r="E1664" s="9" t="s">
        <v>17</v>
      </c>
      <c r="F1664" s="9" t="str">
        <f t="shared" si="25"/>
        <v>Not Delivered</v>
      </c>
      <c r="G1664" s="9" t="b">
        <v>1</v>
      </c>
      <c r="H1664" s="9" t="s">
        <v>22</v>
      </c>
      <c r="I1664" s="8">
        <v>6272</v>
      </c>
      <c r="J1664" s="10">
        <v>447.77</v>
      </c>
      <c r="K1664" s="10">
        <v>98.43</v>
      </c>
      <c r="L1664" s="10">
        <v>284.88</v>
      </c>
      <c r="M1664" s="10">
        <v>831.08</v>
      </c>
      <c r="N1664" s="8">
        <v>13</v>
      </c>
      <c r="O1664" s="6">
        <v>2.2999999999999998</v>
      </c>
    </row>
    <row r="1665" spans="1:15" x14ac:dyDescent="0.25">
      <c r="A1665" s="8">
        <v>42540</v>
      </c>
      <c r="B1665" s="9" t="s">
        <v>5</v>
      </c>
      <c r="C1665" s="9" t="s">
        <v>59</v>
      </c>
      <c r="D1665" s="9" t="s">
        <v>27</v>
      </c>
      <c r="E1665" s="9" t="s">
        <v>32</v>
      </c>
      <c r="F1665" s="9" t="str">
        <f t="shared" si="25"/>
        <v>Not Delivered</v>
      </c>
      <c r="G1665" s="9" t="b">
        <v>1</v>
      </c>
      <c r="H1665" s="9" t="s">
        <v>28</v>
      </c>
      <c r="I1665" s="8">
        <v>7819</v>
      </c>
      <c r="J1665" s="10">
        <v>517.63</v>
      </c>
      <c r="K1665" s="10">
        <v>97.68</v>
      </c>
      <c r="L1665" s="10">
        <v>29.44</v>
      </c>
      <c r="M1665" s="10">
        <v>644.75</v>
      </c>
      <c r="N1665" s="8">
        <v>4</v>
      </c>
      <c r="O1665" s="6">
        <v>3.1</v>
      </c>
    </row>
    <row r="1666" spans="1:15" x14ac:dyDescent="0.25">
      <c r="A1666" s="8">
        <v>51934</v>
      </c>
      <c r="B1666" s="9" t="s">
        <v>0</v>
      </c>
      <c r="C1666" s="9" t="s">
        <v>53</v>
      </c>
      <c r="D1666" s="9" t="s">
        <v>38</v>
      </c>
      <c r="E1666" s="9" t="s">
        <v>32</v>
      </c>
      <c r="F1666" s="9" t="str">
        <f t="shared" si="25"/>
        <v>Not Delivered</v>
      </c>
      <c r="G1666" s="9" t="b">
        <v>0</v>
      </c>
      <c r="H1666" s="9" t="s">
        <v>22</v>
      </c>
      <c r="I1666" s="8">
        <v>5444</v>
      </c>
      <c r="J1666" s="10">
        <v>247.61</v>
      </c>
      <c r="K1666" s="10">
        <v>31.65</v>
      </c>
      <c r="L1666" s="10">
        <v>0</v>
      </c>
      <c r="M1666" s="10">
        <v>279.26</v>
      </c>
      <c r="N1666" s="8">
        <v>8</v>
      </c>
      <c r="O1666" s="6">
        <v>3.6</v>
      </c>
    </row>
    <row r="1667" spans="1:15" x14ac:dyDescent="0.25">
      <c r="A1667" s="8">
        <v>20208</v>
      </c>
      <c r="B1667" s="9" t="s">
        <v>41</v>
      </c>
      <c r="C1667" s="9" t="s">
        <v>47</v>
      </c>
      <c r="D1667" s="9" t="s">
        <v>25</v>
      </c>
      <c r="E1667" s="9" t="s">
        <v>8</v>
      </c>
      <c r="F1667" s="9" t="str">
        <f t="shared" ref="F1667:F1730" si="26">IF(OR(
E1667="Failed Delivery",
E1667="Cancelled",
E1667="Pending",
E1667="Rescheduled",
E1667="In Transit"
),"Not Delivered","Delivered")</f>
        <v>Not Delivered</v>
      </c>
      <c r="G1667" s="9" t="b">
        <v>0</v>
      </c>
      <c r="H1667" s="9" t="s">
        <v>28</v>
      </c>
      <c r="I1667" s="8">
        <v>7108</v>
      </c>
      <c r="J1667" s="10">
        <v>445.29</v>
      </c>
      <c r="K1667" s="10">
        <v>98.05</v>
      </c>
      <c r="L1667" s="10">
        <v>0</v>
      </c>
      <c r="M1667" s="10">
        <v>543.34</v>
      </c>
      <c r="N1667" s="8">
        <v>10</v>
      </c>
      <c r="O1667" s="6">
        <v>1.8</v>
      </c>
    </row>
    <row r="1668" spans="1:15" x14ac:dyDescent="0.25">
      <c r="A1668" s="8">
        <v>25650</v>
      </c>
      <c r="B1668" s="9" t="s">
        <v>0</v>
      </c>
      <c r="C1668" s="9" t="s">
        <v>1</v>
      </c>
      <c r="D1668" s="9" t="s">
        <v>7</v>
      </c>
      <c r="E1668" s="9" t="s">
        <v>32</v>
      </c>
      <c r="F1668" s="9" t="str">
        <f t="shared" si="26"/>
        <v>Not Delivered</v>
      </c>
      <c r="G1668" s="9" t="b">
        <v>1</v>
      </c>
      <c r="H1668" s="9" t="s">
        <v>22</v>
      </c>
      <c r="I1668" s="8">
        <v>9225</v>
      </c>
      <c r="J1668" s="10">
        <v>360.51</v>
      </c>
      <c r="K1668" s="10">
        <v>72.55</v>
      </c>
      <c r="L1668" s="10">
        <v>193.71</v>
      </c>
      <c r="M1668" s="10">
        <v>626.77</v>
      </c>
      <c r="N1668" s="8">
        <v>12</v>
      </c>
    </row>
    <row r="1669" spans="1:15" x14ac:dyDescent="0.25">
      <c r="A1669" s="8">
        <v>98254</v>
      </c>
      <c r="B1669" s="9" t="s">
        <v>39</v>
      </c>
      <c r="C1669" s="9" t="s">
        <v>58</v>
      </c>
      <c r="D1669" s="9" t="s">
        <v>7</v>
      </c>
      <c r="E1669" s="9" t="s">
        <v>21</v>
      </c>
      <c r="F1669" s="9" t="str">
        <f t="shared" si="26"/>
        <v>Not Delivered</v>
      </c>
      <c r="G1669" s="9" t="b">
        <v>1</v>
      </c>
      <c r="H1669" s="9" t="s">
        <v>4</v>
      </c>
      <c r="I1669" s="8">
        <v>1862</v>
      </c>
      <c r="J1669" s="10">
        <v>590.03</v>
      </c>
      <c r="K1669" s="10">
        <v>119.55</v>
      </c>
      <c r="L1669" s="10">
        <v>68.650000000000006</v>
      </c>
      <c r="M1669" s="10">
        <v>778.23</v>
      </c>
      <c r="N1669" s="8">
        <v>4</v>
      </c>
    </row>
    <row r="1670" spans="1:15" x14ac:dyDescent="0.25">
      <c r="A1670" s="8">
        <v>33507</v>
      </c>
      <c r="B1670" s="9" t="s">
        <v>39</v>
      </c>
      <c r="C1670" s="9" t="s">
        <v>52</v>
      </c>
      <c r="E1670" s="9" t="s">
        <v>3</v>
      </c>
      <c r="F1670" s="9" t="str">
        <f t="shared" si="26"/>
        <v>Not Delivered</v>
      </c>
      <c r="G1670" s="9" t="b">
        <v>1</v>
      </c>
      <c r="H1670" s="9" t="s">
        <v>9</v>
      </c>
      <c r="I1670" s="8">
        <v>4656</v>
      </c>
      <c r="J1670" s="10">
        <v>1338.6</v>
      </c>
      <c r="K1670" s="10">
        <v>89.59</v>
      </c>
      <c r="L1670" s="10">
        <v>33.61</v>
      </c>
      <c r="M1670" s="10">
        <v>1461.8</v>
      </c>
      <c r="N1670" s="8">
        <v>13</v>
      </c>
      <c r="O1670" s="6">
        <v>4.7</v>
      </c>
    </row>
    <row r="1671" spans="1:15" x14ac:dyDescent="0.25">
      <c r="A1671" s="8">
        <v>77603</v>
      </c>
      <c r="B1671" s="9" t="s">
        <v>10</v>
      </c>
      <c r="C1671" s="9" t="s">
        <v>20</v>
      </c>
      <c r="D1671" s="9" t="s">
        <v>7</v>
      </c>
      <c r="E1671" s="9" t="s">
        <v>21</v>
      </c>
      <c r="F1671" s="9" t="str">
        <f t="shared" si="26"/>
        <v>Not Delivered</v>
      </c>
      <c r="G1671" s="9" t="b">
        <v>1</v>
      </c>
      <c r="H1671" s="9" t="s">
        <v>4</v>
      </c>
      <c r="I1671" s="8">
        <v>1752</v>
      </c>
      <c r="J1671" s="10">
        <v>1815.88</v>
      </c>
      <c r="K1671" s="10">
        <v>0</v>
      </c>
      <c r="L1671" s="10">
        <v>88.4</v>
      </c>
      <c r="M1671" s="10">
        <v>1904.28</v>
      </c>
      <c r="N1671" s="8">
        <v>11</v>
      </c>
    </row>
    <row r="1672" spans="1:15" x14ac:dyDescent="0.25">
      <c r="A1672" s="8">
        <v>62550</v>
      </c>
      <c r="B1672" s="9" t="s">
        <v>39</v>
      </c>
      <c r="C1672" s="9" t="s">
        <v>57</v>
      </c>
      <c r="D1672" s="9" t="s">
        <v>19</v>
      </c>
      <c r="E1672" s="9" t="s">
        <v>8</v>
      </c>
      <c r="F1672" s="9" t="str">
        <f t="shared" si="26"/>
        <v>Not Delivered</v>
      </c>
      <c r="G1672" s="9" t="b">
        <v>1</v>
      </c>
      <c r="H1672" s="9" t="s">
        <v>18</v>
      </c>
      <c r="I1672" s="8">
        <v>2129</v>
      </c>
      <c r="J1672" s="10">
        <v>746.94</v>
      </c>
      <c r="K1672" s="10">
        <v>110.81</v>
      </c>
      <c r="L1672" s="10">
        <v>55.97</v>
      </c>
      <c r="M1672" s="10">
        <v>913.72</v>
      </c>
      <c r="N1672" s="8">
        <v>13</v>
      </c>
    </row>
    <row r="1673" spans="1:15" x14ac:dyDescent="0.25">
      <c r="A1673" s="8">
        <v>70960</v>
      </c>
      <c r="B1673" s="9" t="s">
        <v>10</v>
      </c>
      <c r="C1673" s="9" t="s">
        <v>26</v>
      </c>
      <c r="D1673" s="9" t="s">
        <v>35</v>
      </c>
      <c r="E1673" s="9" t="s">
        <v>3</v>
      </c>
      <c r="F1673" s="9" t="str">
        <f t="shared" si="26"/>
        <v>Not Delivered</v>
      </c>
      <c r="G1673" s="9" t="b">
        <v>1</v>
      </c>
      <c r="H1673" s="9" t="s">
        <v>18</v>
      </c>
      <c r="I1673" s="8">
        <v>5625</v>
      </c>
      <c r="J1673" s="10">
        <v>1278.17</v>
      </c>
      <c r="K1673" s="10">
        <v>65.08</v>
      </c>
      <c r="L1673" s="10">
        <v>96.94</v>
      </c>
      <c r="M1673" s="10">
        <v>1440.19</v>
      </c>
      <c r="N1673" s="8">
        <v>7</v>
      </c>
      <c r="O1673" s="6">
        <v>3</v>
      </c>
    </row>
    <row r="1674" spans="1:15" x14ac:dyDescent="0.25">
      <c r="A1674" s="8">
        <v>50723</v>
      </c>
      <c r="B1674" s="9" t="s">
        <v>10</v>
      </c>
      <c r="C1674" s="9" t="s">
        <v>20</v>
      </c>
      <c r="D1674" s="9" t="s">
        <v>30</v>
      </c>
      <c r="E1674" s="9" t="s">
        <v>3</v>
      </c>
      <c r="F1674" s="9" t="str">
        <f t="shared" si="26"/>
        <v>Not Delivered</v>
      </c>
      <c r="G1674" s="9" t="b">
        <v>1</v>
      </c>
      <c r="H1674" s="9" t="s">
        <v>33</v>
      </c>
      <c r="I1674" s="8">
        <v>6362</v>
      </c>
      <c r="J1674" s="10">
        <v>1698.73</v>
      </c>
      <c r="K1674" s="10">
        <v>96.05</v>
      </c>
      <c r="L1674" s="10">
        <v>185.08</v>
      </c>
      <c r="M1674" s="10">
        <v>1979.86</v>
      </c>
      <c r="N1674" s="8">
        <v>7</v>
      </c>
      <c r="O1674" s="6">
        <v>1.3</v>
      </c>
    </row>
    <row r="1675" spans="1:15" x14ac:dyDescent="0.25">
      <c r="A1675" s="8">
        <v>21322</v>
      </c>
      <c r="B1675" s="9" t="s">
        <v>10</v>
      </c>
      <c r="C1675" s="9" t="s">
        <v>26</v>
      </c>
      <c r="D1675" s="9" t="s">
        <v>16</v>
      </c>
      <c r="E1675" s="9" t="s">
        <v>3</v>
      </c>
      <c r="F1675" s="9" t="str">
        <f t="shared" si="26"/>
        <v>Not Delivered</v>
      </c>
      <c r="G1675" s="9" t="b">
        <v>0</v>
      </c>
      <c r="H1675" s="9" t="s">
        <v>28</v>
      </c>
      <c r="I1675" s="8">
        <v>8483</v>
      </c>
      <c r="J1675" s="10">
        <v>676.07</v>
      </c>
      <c r="K1675" s="10">
        <v>0</v>
      </c>
      <c r="L1675" s="10">
        <v>0</v>
      </c>
      <c r="M1675" s="10">
        <v>676.07</v>
      </c>
      <c r="N1675" s="8">
        <v>5</v>
      </c>
      <c r="O1675" s="6">
        <v>2.8</v>
      </c>
    </row>
    <row r="1676" spans="1:15" x14ac:dyDescent="0.25">
      <c r="A1676" s="8">
        <v>11044</v>
      </c>
      <c r="B1676" s="9" t="s">
        <v>0</v>
      </c>
      <c r="C1676" s="9" t="s">
        <v>51</v>
      </c>
      <c r="D1676" s="9" t="s">
        <v>45</v>
      </c>
      <c r="E1676" s="9" t="s">
        <v>32</v>
      </c>
      <c r="F1676" s="9" t="str">
        <f t="shared" si="26"/>
        <v>Not Delivered</v>
      </c>
      <c r="G1676" s="9" t="b">
        <v>1</v>
      </c>
      <c r="H1676" s="9" t="s">
        <v>28</v>
      </c>
      <c r="I1676" s="8">
        <v>7044</v>
      </c>
      <c r="J1676" s="10">
        <v>1147.69</v>
      </c>
      <c r="K1676" s="10">
        <v>0</v>
      </c>
      <c r="L1676" s="10">
        <v>201.57</v>
      </c>
      <c r="M1676" s="10">
        <v>1349.26</v>
      </c>
      <c r="N1676" s="8">
        <v>5</v>
      </c>
      <c r="O1676" s="6">
        <v>2.5</v>
      </c>
    </row>
    <row r="1677" spans="1:15" x14ac:dyDescent="0.25">
      <c r="A1677" s="8">
        <v>36302</v>
      </c>
      <c r="B1677" s="9" t="s">
        <v>23</v>
      </c>
      <c r="C1677" s="9" t="s">
        <v>54</v>
      </c>
      <c r="D1677" s="9" t="s">
        <v>27</v>
      </c>
      <c r="E1677" s="9" t="s">
        <v>32</v>
      </c>
      <c r="F1677" s="9" t="str">
        <f t="shared" si="26"/>
        <v>Not Delivered</v>
      </c>
      <c r="G1677" s="9" t="b">
        <v>0</v>
      </c>
      <c r="H1677" s="9" t="s">
        <v>14</v>
      </c>
      <c r="I1677" s="8">
        <v>5777</v>
      </c>
      <c r="J1677" s="10">
        <v>533.87</v>
      </c>
      <c r="K1677" s="10">
        <v>61.75</v>
      </c>
      <c r="L1677" s="10">
        <v>0</v>
      </c>
      <c r="M1677" s="10">
        <v>595.62</v>
      </c>
      <c r="N1677" s="8">
        <v>3</v>
      </c>
      <c r="O1677" s="6">
        <v>4.0999999999999996</v>
      </c>
    </row>
    <row r="1678" spans="1:15" x14ac:dyDescent="0.25">
      <c r="A1678" s="8">
        <v>83899</v>
      </c>
      <c r="B1678" s="9" t="s">
        <v>0</v>
      </c>
      <c r="C1678" s="9" t="s">
        <v>51</v>
      </c>
      <c r="D1678" s="9" t="s">
        <v>25</v>
      </c>
      <c r="E1678" s="9" t="s">
        <v>21</v>
      </c>
      <c r="F1678" s="9" t="str">
        <f t="shared" si="26"/>
        <v>Not Delivered</v>
      </c>
      <c r="G1678" s="9" t="b">
        <v>1</v>
      </c>
      <c r="H1678" s="9" t="s">
        <v>22</v>
      </c>
      <c r="I1678" s="8">
        <v>5979</v>
      </c>
      <c r="J1678" s="10">
        <v>1702.38</v>
      </c>
      <c r="K1678" s="10">
        <v>82.06</v>
      </c>
      <c r="L1678" s="10">
        <v>41.98</v>
      </c>
      <c r="M1678" s="10">
        <v>1826.42</v>
      </c>
      <c r="N1678" s="8">
        <v>14</v>
      </c>
      <c r="O1678" s="6">
        <v>4.5</v>
      </c>
    </row>
    <row r="1679" spans="1:15" x14ac:dyDescent="0.25">
      <c r="A1679" s="8">
        <v>91620</v>
      </c>
      <c r="B1679" s="9" t="s">
        <v>39</v>
      </c>
      <c r="C1679" s="9" t="s">
        <v>55</v>
      </c>
      <c r="E1679" s="9" t="s">
        <v>17</v>
      </c>
      <c r="F1679" s="9" t="str">
        <f t="shared" si="26"/>
        <v>Not Delivered</v>
      </c>
      <c r="G1679" s="9" t="b">
        <v>0</v>
      </c>
      <c r="H1679" s="9" t="s">
        <v>22</v>
      </c>
      <c r="I1679" s="8">
        <v>4974</v>
      </c>
      <c r="J1679" s="10">
        <v>1429.53</v>
      </c>
      <c r="K1679" s="10">
        <v>123.99</v>
      </c>
      <c r="L1679" s="10">
        <v>0</v>
      </c>
      <c r="M1679" s="10">
        <v>1553.52</v>
      </c>
      <c r="N1679" s="8">
        <v>3</v>
      </c>
      <c r="O1679" s="6">
        <v>3.9</v>
      </c>
    </row>
    <row r="1680" spans="1:15" x14ac:dyDescent="0.25">
      <c r="A1680" s="8">
        <v>70807</v>
      </c>
      <c r="B1680" s="9" t="s">
        <v>41</v>
      </c>
      <c r="C1680" s="9" t="s">
        <v>42</v>
      </c>
      <c r="D1680" s="9" t="s">
        <v>50</v>
      </c>
      <c r="E1680" s="9" t="s">
        <v>3</v>
      </c>
      <c r="F1680" s="9" t="str">
        <f t="shared" si="26"/>
        <v>Not Delivered</v>
      </c>
      <c r="G1680" s="9" t="b">
        <v>0</v>
      </c>
      <c r="H1680" s="9" t="s">
        <v>28</v>
      </c>
      <c r="I1680" s="8">
        <v>7033</v>
      </c>
      <c r="J1680" s="10">
        <v>880.07</v>
      </c>
      <c r="K1680" s="10">
        <v>0</v>
      </c>
      <c r="L1680" s="10">
        <v>0</v>
      </c>
      <c r="M1680" s="10">
        <v>880.07</v>
      </c>
      <c r="N1680" s="8">
        <v>13</v>
      </c>
      <c r="O1680" s="6">
        <v>1.5</v>
      </c>
    </row>
    <row r="1681" spans="1:15" x14ac:dyDescent="0.25">
      <c r="A1681" s="8">
        <v>87554</v>
      </c>
      <c r="B1681" s="9" t="s">
        <v>10</v>
      </c>
      <c r="C1681" s="9" t="s">
        <v>26</v>
      </c>
      <c r="D1681" s="9" t="s">
        <v>38</v>
      </c>
      <c r="E1681" s="9" t="s">
        <v>32</v>
      </c>
      <c r="F1681" s="9" t="str">
        <f t="shared" si="26"/>
        <v>Not Delivered</v>
      </c>
      <c r="G1681" s="9" t="b">
        <v>1</v>
      </c>
      <c r="H1681" s="9" t="s">
        <v>4</v>
      </c>
      <c r="I1681" s="8">
        <v>9083</v>
      </c>
      <c r="J1681" s="10">
        <v>792.87</v>
      </c>
      <c r="K1681" s="10">
        <v>0</v>
      </c>
      <c r="L1681" s="10">
        <v>194.92</v>
      </c>
      <c r="M1681" s="10">
        <v>987.79</v>
      </c>
      <c r="N1681" s="8">
        <v>14</v>
      </c>
    </row>
    <row r="1682" spans="1:15" x14ac:dyDescent="0.25">
      <c r="A1682" s="8">
        <v>35614</v>
      </c>
      <c r="B1682" s="9" t="s">
        <v>5</v>
      </c>
      <c r="C1682" s="9" t="s">
        <v>31</v>
      </c>
      <c r="D1682" s="9" t="s">
        <v>35</v>
      </c>
      <c r="E1682" s="9" t="s">
        <v>3</v>
      </c>
      <c r="F1682" s="9" t="str">
        <f t="shared" si="26"/>
        <v>Not Delivered</v>
      </c>
      <c r="G1682" s="9" t="b">
        <v>0</v>
      </c>
      <c r="H1682" s="9" t="s">
        <v>14</v>
      </c>
      <c r="I1682" s="8">
        <v>9954</v>
      </c>
      <c r="J1682" s="10">
        <v>2119.2399999999998</v>
      </c>
      <c r="L1682" s="10">
        <v>0</v>
      </c>
      <c r="M1682" s="10">
        <v>2222.14</v>
      </c>
      <c r="N1682" s="8">
        <v>1</v>
      </c>
      <c r="O1682" s="6">
        <v>3.9</v>
      </c>
    </row>
    <row r="1683" spans="1:15" x14ac:dyDescent="0.25">
      <c r="A1683" s="8">
        <v>42129</v>
      </c>
      <c r="B1683" s="9" t="s">
        <v>0</v>
      </c>
      <c r="C1683" s="9" t="s">
        <v>37</v>
      </c>
      <c r="D1683" s="9" t="s">
        <v>38</v>
      </c>
      <c r="E1683" s="9" t="s">
        <v>13</v>
      </c>
      <c r="F1683" s="9" t="str">
        <f t="shared" si="26"/>
        <v>Delivered</v>
      </c>
      <c r="G1683" s="9" t="b">
        <v>0</v>
      </c>
      <c r="H1683" s="9" t="s">
        <v>22</v>
      </c>
      <c r="I1683" s="8">
        <v>3466</v>
      </c>
      <c r="J1683" s="10">
        <v>1661.63</v>
      </c>
      <c r="L1683" s="10">
        <v>0</v>
      </c>
      <c r="M1683" s="10">
        <v>1738.49</v>
      </c>
      <c r="N1683" s="8">
        <v>13</v>
      </c>
      <c r="O1683" s="6">
        <v>3.3</v>
      </c>
    </row>
    <row r="1684" spans="1:15" x14ac:dyDescent="0.25">
      <c r="A1684" s="8">
        <v>10835</v>
      </c>
      <c r="B1684" s="9" t="s">
        <v>0</v>
      </c>
      <c r="C1684" s="9" t="s">
        <v>51</v>
      </c>
      <c r="D1684" s="9" t="s">
        <v>16</v>
      </c>
      <c r="E1684" s="9" t="s">
        <v>3</v>
      </c>
      <c r="F1684" s="9" t="str">
        <f t="shared" si="26"/>
        <v>Not Delivered</v>
      </c>
      <c r="G1684" s="9" t="b">
        <v>0</v>
      </c>
      <c r="H1684" s="9" t="s">
        <v>22</v>
      </c>
      <c r="I1684" s="8">
        <v>7718</v>
      </c>
      <c r="J1684" s="10">
        <v>1712.53</v>
      </c>
      <c r="K1684" s="10">
        <v>73.989999999999995</v>
      </c>
      <c r="L1684" s="10">
        <v>0</v>
      </c>
      <c r="M1684" s="10">
        <v>1786.52</v>
      </c>
      <c r="N1684" s="8">
        <v>10</v>
      </c>
      <c r="O1684" s="6">
        <v>4.4000000000000004</v>
      </c>
    </row>
    <row r="1685" spans="1:15" x14ac:dyDescent="0.25">
      <c r="A1685" s="8">
        <v>13133</v>
      </c>
      <c r="B1685" s="9" t="s">
        <v>41</v>
      </c>
      <c r="C1685" s="9" t="s">
        <v>42</v>
      </c>
      <c r="D1685" s="9" t="s">
        <v>30</v>
      </c>
      <c r="E1685" s="9" t="s">
        <v>8</v>
      </c>
      <c r="F1685" s="9" t="str">
        <f t="shared" si="26"/>
        <v>Not Delivered</v>
      </c>
      <c r="G1685" s="9" t="b">
        <v>1</v>
      </c>
      <c r="H1685" s="9" t="s">
        <v>4</v>
      </c>
      <c r="I1685" s="8">
        <v>4817</v>
      </c>
      <c r="J1685" s="10">
        <v>2417.0100000000002</v>
      </c>
      <c r="K1685" s="10">
        <v>0</v>
      </c>
      <c r="L1685" s="10">
        <v>112.65</v>
      </c>
      <c r="M1685" s="10">
        <v>2529.66</v>
      </c>
      <c r="N1685" s="8">
        <v>3</v>
      </c>
      <c r="O1685" s="6">
        <v>2.5</v>
      </c>
    </row>
    <row r="1686" spans="1:15" x14ac:dyDescent="0.25">
      <c r="A1686" s="8">
        <v>80981</v>
      </c>
      <c r="B1686" s="9" t="s">
        <v>41</v>
      </c>
      <c r="C1686" s="9" t="s">
        <v>61</v>
      </c>
      <c r="D1686" s="9" t="s">
        <v>35</v>
      </c>
      <c r="E1686" s="9" t="s">
        <v>32</v>
      </c>
      <c r="F1686" s="9" t="str">
        <f t="shared" si="26"/>
        <v>Not Delivered</v>
      </c>
      <c r="G1686" s="9" t="b">
        <v>0</v>
      </c>
      <c r="H1686" s="9" t="s">
        <v>14</v>
      </c>
      <c r="I1686" s="8">
        <v>6675</v>
      </c>
      <c r="J1686" s="10">
        <v>2335.64</v>
      </c>
      <c r="K1686" s="10">
        <v>141.71</v>
      </c>
      <c r="L1686" s="10">
        <v>0</v>
      </c>
      <c r="M1686" s="10">
        <v>2477.35</v>
      </c>
      <c r="N1686" s="8">
        <v>9</v>
      </c>
    </row>
    <row r="1687" spans="1:15" x14ac:dyDescent="0.25">
      <c r="A1687" s="8">
        <v>93354</v>
      </c>
      <c r="B1687" s="9" t="s">
        <v>39</v>
      </c>
      <c r="C1687" s="9" t="s">
        <v>55</v>
      </c>
      <c r="D1687" s="9" t="s">
        <v>45</v>
      </c>
      <c r="E1687" s="9" t="s">
        <v>32</v>
      </c>
      <c r="F1687" s="9" t="str">
        <f t="shared" si="26"/>
        <v>Not Delivered</v>
      </c>
      <c r="G1687" s="9" t="b">
        <v>0</v>
      </c>
      <c r="H1687" s="9" t="s">
        <v>4</v>
      </c>
      <c r="I1687" s="8">
        <v>1157</v>
      </c>
      <c r="J1687" s="10">
        <v>282.49</v>
      </c>
      <c r="K1687" s="10">
        <v>83.99</v>
      </c>
      <c r="L1687" s="10">
        <v>0</v>
      </c>
      <c r="M1687" s="10">
        <v>366.48</v>
      </c>
      <c r="N1687" s="8">
        <v>10</v>
      </c>
      <c r="O1687" s="6">
        <v>2.2000000000000002</v>
      </c>
    </row>
    <row r="1688" spans="1:15" x14ac:dyDescent="0.25">
      <c r="A1688" s="8">
        <v>53911</v>
      </c>
      <c r="B1688" s="9" t="s">
        <v>23</v>
      </c>
      <c r="C1688" s="9" t="s">
        <v>60</v>
      </c>
      <c r="D1688" s="9" t="s">
        <v>50</v>
      </c>
      <c r="E1688" s="9" t="s">
        <v>32</v>
      </c>
      <c r="F1688" s="9" t="str">
        <f t="shared" si="26"/>
        <v>Not Delivered</v>
      </c>
      <c r="G1688" s="9" t="b">
        <v>0</v>
      </c>
      <c r="H1688" s="9" t="s">
        <v>9</v>
      </c>
      <c r="I1688" s="8">
        <v>1023</v>
      </c>
      <c r="J1688" s="10">
        <v>1441.62</v>
      </c>
      <c r="K1688" s="10">
        <v>63.67</v>
      </c>
      <c r="L1688" s="10">
        <v>0</v>
      </c>
      <c r="M1688" s="10">
        <v>1505.29</v>
      </c>
      <c r="N1688" s="8">
        <v>13</v>
      </c>
      <c r="O1688" s="6">
        <v>4.9000000000000004</v>
      </c>
    </row>
    <row r="1689" spans="1:15" x14ac:dyDescent="0.25">
      <c r="A1689" s="8">
        <v>96154</v>
      </c>
      <c r="B1689" s="9" t="s">
        <v>5</v>
      </c>
      <c r="C1689" s="9" t="s">
        <v>56</v>
      </c>
      <c r="D1689" s="9" t="s">
        <v>7</v>
      </c>
      <c r="E1689" s="9" t="s">
        <v>3</v>
      </c>
      <c r="F1689" s="9" t="str">
        <f t="shared" si="26"/>
        <v>Not Delivered</v>
      </c>
      <c r="G1689" s="9" t="b">
        <v>0</v>
      </c>
      <c r="H1689" s="9" t="s">
        <v>14</v>
      </c>
      <c r="I1689" s="8">
        <v>7164</v>
      </c>
      <c r="J1689" s="10">
        <v>321.07</v>
      </c>
      <c r="K1689" s="10">
        <v>75.08</v>
      </c>
      <c r="M1689" s="10">
        <v>396.15</v>
      </c>
      <c r="N1689" s="8">
        <v>11</v>
      </c>
      <c r="O1689" s="6">
        <v>1.8</v>
      </c>
    </row>
    <row r="1690" spans="1:15" x14ac:dyDescent="0.25">
      <c r="A1690" s="8">
        <v>50306</v>
      </c>
      <c r="B1690" s="9" t="s">
        <v>5</v>
      </c>
      <c r="C1690" s="9" t="s">
        <v>56</v>
      </c>
      <c r="D1690" s="9" t="s">
        <v>12</v>
      </c>
      <c r="E1690" s="9" t="s">
        <v>8</v>
      </c>
      <c r="F1690" s="9" t="str">
        <f t="shared" si="26"/>
        <v>Not Delivered</v>
      </c>
      <c r="G1690" s="9" t="b">
        <v>1</v>
      </c>
      <c r="H1690" s="9" t="s">
        <v>4</v>
      </c>
      <c r="I1690" s="8">
        <v>2703</v>
      </c>
      <c r="J1690" s="10">
        <v>1986.53</v>
      </c>
      <c r="K1690" s="10">
        <v>71.349999999999994</v>
      </c>
      <c r="L1690" s="10">
        <v>234.99</v>
      </c>
      <c r="M1690" s="10">
        <v>2292.87</v>
      </c>
      <c r="N1690" s="8">
        <v>4</v>
      </c>
      <c r="O1690" s="6">
        <v>2.8</v>
      </c>
    </row>
    <row r="1691" spans="1:15" x14ac:dyDescent="0.25">
      <c r="A1691" s="8">
        <v>36895</v>
      </c>
      <c r="B1691" s="9" t="s">
        <v>5</v>
      </c>
      <c r="C1691" s="9" t="s">
        <v>59</v>
      </c>
      <c r="D1691" s="9" t="s">
        <v>12</v>
      </c>
      <c r="E1691" s="9" t="s">
        <v>17</v>
      </c>
      <c r="F1691" s="9" t="str">
        <f t="shared" si="26"/>
        <v>Not Delivered</v>
      </c>
      <c r="G1691" s="9" t="b">
        <v>0</v>
      </c>
      <c r="H1691" s="9" t="s">
        <v>33</v>
      </c>
      <c r="I1691" s="8">
        <v>9680</v>
      </c>
      <c r="J1691" s="10">
        <v>1684.92</v>
      </c>
      <c r="K1691" s="10">
        <v>99.57</v>
      </c>
      <c r="L1691" s="10">
        <v>0</v>
      </c>
      <c r="M1691" s="10">
        <v>1784.49</v>
      </c>
      <c r="N1691" s="8">
        <v>3</v>
      </c>
    </row>
    <row r="1692" spans="1:15" x14ac:dyDescent="0.25">
      <c r="A1692" s="8">
        <v>41217</v>
      </c>
      <c r="B1692" s="9" t="s">
        <v>0</v>
      </c>
      <c r="C1692" s="9" t="s">
        <v>43</v>
      </c>
      <c r="D1692" s="9" t="s">
        <v>27</v>
      </c>
      <c r="E1692" s="9" t="s">
        <v>13</v>
      </c>
      <c r="F1692" s="9" t="str">
        <f t="shared" si="26"/>
        <v>Delivered</v>
      </c>
      <c r="G1692" s="9" t="b">
        <v>0</v>
      </c>
      <c r="H1692" s="9" t="s">
        <v>22</v>
      </c>
      <c r="I1692" s="8">
        <v>7878</v>
      </c>
      <c r="J1692" s="10">
        <v>886.95</v>
      </c>
      <c r="K1692" s="10">
        <v>105.7</v>
      </c>
      <c r="L1692" s="10">
        <v>0</v>
      </c>
      <c r="M1692" s="10">
        <v>992.65</v>
      </c>
      <c r="N1692" s="8">
        <v>3</v>
      </c>
      <c r="O1692" s="6">
        <v>4.3</v>
      </c>
    </row>
    <row r="1693" spans="1:15" x14ac:dyDescent="0.25">
      <c r="A1693" s="8">
        <v>74491</v>
      </c>
      <c r="B1693" s="9" t="s">
        <v>23</v>
      </c>
      <c r="C1693" s="9" t="s">
        <v>54</v>
      </c>
      <c r="D1693" s="9" t="s">
        <v>45</v>
      </c>
      <c r="E1693" s="9" t="s">
        <v>17</v>
      </c>
      <c r="F1693" s="9" t="str">
        <f t="shared" si="26"/>
        <v>Not Delivered</v>
      </c>
      <c r="G1693" s="9" t="b">
        <v>0</v>
      </c>
      <c r="H1693" s="9" t="s">
        <v>4</v>
      </c>
      <c r="I1693" s="8">
        <v>1981</v>
      </c>
      <c r="J1693" s="10">
        <v>2684.16</v>
      </c>
      <c r="K1693" s="10">
        <v>96.07</v>
      </c>
      <c r="L1693" s="10">
        <v>0</v>
      </c>
      <c r="M1693" s="10">
        <v>2780.23</v>
      </c>
      <c r="N1693" s="8">
        <v>14</v>
      </c>
      <c r="O1693" s="6">
        <v>4.5999999999999996</v>
      </c>
    </row>
    <row r="1694" spans="1:15" x14ac:dyDescent="0.25">
      <c r="A1694" s="8">
        <v>28661</v>
      </c>
      <c r="B1694" s="9" t="s">
        <v>39</v>
      </c>
      <c r="C1694" s="9" t="s">
        <v>40</v>
      </c>
      <c r="D1694" s="9" t="s">
        <v>45</v>
      </c>
      <c r="E1694" s="9" t="s">
        <v>3</v>
      </c>
      <c r="F1694" s="9" t="str">
        <f t="shared" si="26"/>
        <v>Not Delivered</v>
      </c>
      <c r="G1694" s="9" t="b">
        <v>1</v>
      </c>
      <c r="H1694" s="9" t="s">
        <v>9</v>
      </c>
      <c r="I1694" s="8">
        <v>5584</v>
      </c>
      <c r="J1694" s="10">
        <v>992.8</v>
      </c>
      <c r="K1694" s="10">
        <v>0</v>
      </c>
      <c r="L1694" s="10">
        <v>269.49</v>
      </c>
      <c r="M1694" s="10">
        <v>1262.29</v>
      </c>
      <c r="N1694" s="8">
        <v>12</v>
      </c>
      <c r="O1694" s="6">
        <v>1.9</v>
      </c>
    </row>
    <row r="1695" spans="1:15" x14ac:dyDescent="0.25">
      <c r="A1695" s="8">
        <v>22193</v>
      </c>
      <c r="B1695" s="9" t="s">
        <v>23</v>
      </c>
      <c r="C1695" s="9" t="s">
        <v>34</v>
      </c>
      <c r="D1695" s="9" t="s">
        <v>25</v>
      </c>
      <c r="E1695" s="9" t="s">
        <v>8</v>
      </c>
      <c r="F1695" s="9" t="str">
        <f t="shared" si="26"/>
        <v>Not Delivered</v>
      </c>
      <c r="G1695" s="9" t="b">
        <v>1</v>
      </c>
      <c r="H1695" s="9" t="s">
        <v>22</v>
      </c>
      <c r="I1695" s="8">
        <v>1719</v>
      </c>
      <c r="J1695" s="10">
        <v>1375.43</v>
      </c>
      <c r="K1695" s="10">
        <v>90.67</v>
      </c>
      <c r="L1695" s="10">
        <v>150.51</v>
      </c>
      <c r="M1695" s="10">
        <v>1616.61</v>
      </c>
      <c r="N1695" s="8">
        <v>5</v>
      </c>
      <c r="O1695" s="6">
        <v>3.6</v>
      </c>
    </row>
    <row r="1696" spans="1:15" x14ac:dyDescent="0.25">
      <c r="A1696" s="8">
        <v>40339</v>
      </c>
      <c r="B1696" s="9" t="s">
        <v>10</v>
      </c>
      <c r="C1696" s="9" t="s">
        <v>29</v>
      </c>
      <c r="D1696" s="9" t="s">
        <v>25</v>
      </c>
      <c r="E1696" s="9" t="s">
        <v>17</v>
      </c>
      <c r="F1696" s="9" t="str">
        <f t="shared" si="26"/>
        <v>Not Delivered</v>
      </c>
      <c r="G1696" s="9" t="b">
        <v>0</v>
      </c>
      <c r="H1696" s="9" t="s">
        <v>4</v>
      </c>
      <c r="I1696" s="8">
        <v>9515</v>
      </c>
      <c r="J1696" s="10">
        <v>1645.98</v>
      </c>
      <c r="K1696" s="10">
        <v>56.29</v>
      </c>
      <c r="L1696" s="10">
        <v>0</v>
      </c>
      <c r="M1696" s="10">
        <v>1702.27</v>
      </c>
      <c r="N1696" s="8">
        <v>6</v>
      </c>
      <c r="O1696" s="6">
        <v>3.6</v>
      </c>
    </row>
    <row r="1697" spans="1:15" x14ac:dyDescent="0.25">
      <c r="A1697" s="8">
        <v>64140</v>
      </c>
      <c r="B1697" s="9" t="s">
        <v>23</v>
      </c>
      <c r="C1697" s="9" t="s">
        <v>54</v>
      </c>
      <c r="D1697" s="9" t="s">
        <v>19</v>
      </c>
      <c r="E1697" s="9" t="s">
        <v>17</v>
      </c>
      <c r="F1697" s="9" t="str">
        <f t="shared" si="26"/>
        <v>Not Delivered</v>
      </c>
      <c r="G1697" s="9" t="b">
        <v>1</v>
      </c>
      <c r="H1697" s="9" t="s">
        <v>9</v>
      </c>
      <c r="I1697" s="8">
        <v>7102</v>
      </c>
      <c r="J1697" s="10">
        <v>2590.5500000000002</v>
      </c>
      <c r="K1697" s="10">
        <v>0</v>
      </c>
      <c r="L1697" s="10">
        <v>32.729999999999997</v>
      </c>
      <c r="M1697" s="10">
        <v>2623.28</v>
      </c>
      <c r="N1697" s="8">
        <v>6</v>
      </c>
      <c r="O1697" s="6">
        <v>4.4000000000000004</v>
      </c>
    </row>
    <row r="1698" spans="1:15" x14ac:dyDescent="0.25">
      <c r="A1698" s="8">
        <v>70091</v>
      </c>
      <c r="B1698" s="9" t="s">
        <v>5</v>
      </c>
      <c r="C1698" s="9" t="s">
        <v>59</v>
      </c>
      <c r="E1698" s="9" t="s">
        <v>32</v>
      </c>
      <c r="F1698" s="9" t="str">
        <f t="shared" si="26"/>
        <v>Not Delivered</v>
      </c>
      <c r="G1698" s="9" t="b">
        <v>1</v>
      </c>
      <c r="H1698" s="9" t="s">
        <v>4</v>
      </c>
      <c r="I1698" s="8">
        <v>2391</v>
      </c>
      <c r="J1698" s="10">
        <v>892.59</v>
      </c>
      <c r="K1698" s="10">
        <v>119.23</v>
      </c>
      <c r="L1698" s="10">
        <v>88.15</v>
      </c>
      <c r="M1698" s="10">
        <v>1099.97</v>
      </c>
      <c r="N1698" s="8">
        <v>9</v>
      </c>
      <c r="O1698" s="6">
        <v>3.8</v>
      </c>
    </row>
    <row r="1699" spans="1:15" x14ac:dyDescent="0.25">
      <c r="A1699" s="8">
        <v>86122</v>
      </c>
      <c r="B1699" s="9" t="s">
        <v>23</v>
      </c>
      <c r="C1699" s="9" t="s">
        <v>60</v>
      </c>
      <c r="D1699" s="9" t="s">
        <v>27</v>
      </c>
      <c r="E1699" s="9" t="s">
        <v>32</v>
      </c>
      <c r="F1699" s="9" t="str">
        <f t="shared" si="26"/>
        <v>Not Delivered</v>
      </c>
      <c r="G1699" s="9" t="b">
        <v>1</v>
      </c>
      <c r="H1699" s="9" t="s">
        <v>18</v>
      </c>
      <c r="I1699" s="8">
        <v>2565</v>
      </c>
      <c r="J1699" s="10">
        <v>714.63</v>
      </c>
      <c r="K1699" s="10">
        <v>85.11</v>
      </c>
      <c r="L1699" s="10">
        <v>176.4</v>
      </c>
      <c r="M1699" s="10">
        <v>976.14</v>
      </c>
      <c r="N1699" s="8">
        <v>12</v>
      </c>
    </row>
    <row r="1700" spans="1:15" x14ac:dyDescent="0.25">
      <c r="A1700" s="8">
        <v>76247</v>
      </c>
      <c r="B1700" s="9" t="s">
        <v>0</v>
      </c>
      <c r="C1700" s="9" t="s">
        <v>37</v>
      </c>
      <c r="D1700" s="9" t="s">
        <v>19</v>
      </c>
      <c r="E1700" s="9" t="s">
        <v>32</v>
      </c>
      <c r="F1700" s="9" t="str">
        <f t="shared" si="26"/>
        <v>Not Delivered</v>
      </c>
      <c r="G1700" s="9" t="b">
        <v>0</v>
      </c>
      <c r="H1700" s="9" t="s">
        <v>28</v>
      </c>
      <c r="I1700" s="8">
        <v>3187</v>
      </c>
      <c r="J1700" s="10">
        <v>1443.75</v>
      </c>
      <c r="K1700" s="10">
        <v>121.91</v>
      </c>
      <c r="L1700" s="10">
        <v>0</v>
      </c>
      <c r="M1700" s="10">
        <v>1565.66</v>
      </c>
      <c r="N1700" s="8">
        <v>14</v>
      </c>
      <c r="O1700" s="6">
        <v>3.6</v>
      </c>
    </row>
    <row r="1701" spans="1:15" x14ac:dyDescent="0.25">
      <c r="A1701" s="8">
        <v>93521</v>
      </c>
      <c r="B1701" s="9" t="s">
        <v>23</v>
      </c>
      <c r="C1701" s="9" t="s">
        <v>24</v>
      </c>
      <c r="D1701" s="9" t="s">
        <v>19</v>
      </c>
      <c r="E1701" s="9" t="s">
        <v>13</v>
      </c>
      <c r="F1701" s="9" t="str">
        <f t="shared" si="26"/>
        <v>Delivered</v>
      </c>
      <c r="G1701" s="9" t="b">
        <v>1</v>
      </c>
      <c r="H1701" s="9" t="s">
        <v>28</v>
      </c>
      <c r="I1701" s="8">
        <v>7461</v>
      </c>
      <c r="J1701" s="10">
        <v>1973.82</v>
      </c>
      <c r="K1701" s="10">
        <v>94.27</v>
      </c>
      <c r="L1701" s="10">
        <v>50.07</v>
      </c>
      <c r="M1701" s="10">
        <v>2118.16</v>
      </c>
      <c r="N1701" s="8">
        <v>6</v>
      </c>
      <c r="O1701" s="6">
        <v>3.8</v>
      </c>
    </row>
    <row r="1702" spans="1:15" x14ac:dyDescent="0.25">
      <c r="A1702" s="8">
        <v>19808</v>
      </c>
      <c r="B1702" s="9" t="s">
        <v>23</v>
      </c>
      <c r="C1702" s="9" t="s">
        <v>24</v>
      </c>
      <c r="D1702" s="9" t="s">
        <v>25</v>
      </c>
      <c r="E1702" s="9" t="s">
        <v>21</v>
      </c>
      <c r="F1702" s="9" t="str">
        <f t="shared" si="26"/>
        <v>Not Delivered</v>
      </c>
      <c r="G1702" s="9" t="b">
        <v>0</v>
      </c>
      <c r="H1702" s="9" t="s">
        <v>9</v>
      </c>
      <c r="I1702" s="8">
        <v>2020</v>
      </c>
      <c r="J1702" s="10">
        <v>1356.2</v>
      </c>
      <c r="K1702" s="10">
        <v>0</v>
      </c>
      <c r="L1702" s="10">
        <v>0</v>
      </c>
      <c r="M1702" s="10">
        <v>1356.2</v>
      </c>
      <c r="N1702" s="8">
        <v>1</v>
      </c>
      <c r="O1702" s="6">
        <v>1.4</v>
      </c>
    </row>
    <row r="1703" spans="1:15" x14ac:dyDescent="0.25">
      <c r="A1703" s="8">
        <v>67014</v>
      </c>
      <c r="B1703" s="9" t="s">
        <v>5</v>
      </c>
      <c r="C1703" s="9" t="s">
        <v>59</v>
      </c>
      <c r="D1703" s="9" t="s">
        <v>45</v>
      </c>
      <c r="E1703" s="9" t="s">
        <v>17</v>
      </c>
      <c r="F1703" s="9" t="str">
        <f t="shared" si="26"/>
        <v>Not Delivered</v>
      </c>
      <c r="G1703" s="9" t="b">
        <v>1</v>
      </c>
      <c r="H1703" s="9" t="s">
        <v>28</v>
      </c>
      <c r="I1703" s="8">
        <v>3141</v>
      </c>
      <c r="J1703" s="10">
        <v>631.11</v>
      </c>
      <c r="K1703" s="10">
        <v>128.79</v>
      </c>
      <c r="L1703" s="10">
        <v>91.49</v>
      </c>
      <c r="M1703" s="10">
        <v>851.39</v>
      </c>
      <c r="N1703" s="8">
        <v>4</v>
      </c>
      <c r="O1703" s="6">
        <v>1.4</v>
      </c>
    </row>
    <row r="1704" spans="1:15" x14ac:dyDescent="0.25">
      <c r="A1704" s="8">
        <v>41034</v>
      </c>
      <c r="B1704" s="9" t="s">
        <v>39</v>
      </c>
      <c r="C1704" s="9" t="s">
        <v>57</v>
      </c>
      <c r="D1704" s="9" t="s">
        <v>27</v>
      </c>
      <c r="E1704" s="9" t="s">
        <v>3</v>
      </c>
      <c r="F1704" s="9" t="str">
        <f t="shared" si="26"/>
        <v>Not Delivered</v>
      </c>
      <c r="G1704" s="9" t="b">
        <v>1</v>
      </c>
      <c r="H1704" s="9" t="s">
        <v>22</v>
      </c>
      <c r="I1704" s="8">
        <v>5778</v>
      </c>
      <c r="J1704" s="10">
        <v>582.99</v>
      </c>
      <c r="K1704" s="10">
        <v>132.36000000000001</v>
      </c>
      <c r="L1704" s="10">
        <v>85.3</v>
      </c>
      <c r="M1704" s="10">
        <v>800.65</v>
      </c>
      <c r="N1704" s="8">
        <v>14</v>
      </c>
      <c r="O1704" s="6">
        <v>4.2</v>
      </c>
    </row>
    <row r="1705" spans="1:15" x14ac:dyDescent="0.25">
      <c r="A1705" s="8">
        <v>44208</v>
      </c>
      <c r="B1705" s="9" t="s">
        <v>10</v>
      </c>
      <c r="C1705" s="9" t="s">
        <v>15</v>
      </c>
      <c r="D1705" s="9" t="s">
        <v>19</v>
      </c>
      <c r="E1705" s="9" t="s">
        <v>32</v>
      </c>
      <c r="F1705" s="9" t="str">
        <f t="shared" si="26"/>
        <v>Not Delivered</v>
      </c>
      <c r="G1705" s="9" t="b">
        <v>0</v>
      </c>
      <c r="H1705" s="9" t="s">
        <v>22</v>
      </c>
      <c r="I1705" s="8">
        <v>6161</v>
      </c>
      <c r="J1705" s="10">
        <v>1733.11</v>
      </c>
      <c r="L1705" s="10">
        <v>0</v>
      </c>
      <c r="M1705" s="10">
        <v>1830.96</v>
      </c>
      <c r="N1705" s="8">
        <v>8</v>
      </c>
      <c r="O1705" s="6">
        <v>1.5</v>
      </c>
    </row>
    <row r="1706" spans="1:15" x14ac:dyDescent="0.25">
      <c r="A1706" s="8">
        <v>61505</v>
      </c>
      <c r="B1706" s="9" t="s">
        <v>23</v>
      </c>
      <c r="C1706" s="9" t="s">
        <v>24</v>
      </c>
      <c r="D1706" s="9" t="s">
        <v>38</v>
      </c>
      <c r="E1706" s="9" t="s">
        <v>21</v>
      </c>
      <c r="F1706" s="9" t="str">
        <f t="shared" si="26"/>
        <v>Not Delivered</v>
      </c>
      <c r="G1706" s="9" t="b">
        <v>1</v>
      </c>
      <c r="H1706" s="9" t="s">
        <v>28</v>
      </c>
      <c r="I1706" s="8">
        <v>6345</v>
      </c>
      <c r="J1706" s="10">
        <v>2864.01</v>
      </c>
      <c r="K1706" s="10">
        <v>100.84</v>
      </c>
      <c r="L1706" s="10">
        <v>125.38</v>
      </c>
      <c r="M1706" s="10">
        <v>3090.23</v>
      </c>
      <c r="N1706" s="8">
        <v>3</v>
      </c>
      <c r="O1706" s="6">
        <v>5</v>
      </c>
    </row>
    <row r="1707" spans="1:15" x14ac:dyDescent="0.25">
      <c r="A1707" s="8">
        <v>51688</v>
      </c>
      <c r="B1707" s="9" t="s">
        <v>0</v>
      </c>
      <c r="C1707" s="9" t="s">
        <v>53</v>
      </c>
      <c r="D1707" s="9" t="s">
        <v>2</v>
      </c>
      <c r="E1707" s="9" t="s">
        <v>13</v>
      </c>
      <c r="F1707" s="9" t="str">
        <f t="shared" si="26"/>
        <v>Delivered</v>
      </c>
      <c r="G1707" s="9" t="b">
        <v>0</v>
      </c>
      <c r="H1707" s="9" t="s">
        <v>28</v>
      </c>
      <c r="I1707" s="8">
        <v>8417</v>
      </c>
      <c r="J1707" s="10">
        <v>444.75</v>
      </c>
      <c r="K1707" s="10">
        <v>96.88</v>
      </c>
      <c r="L1707" s="10">
        <v>0</v>
      </c>
      <c r="M1707" s="10">
        <v>541.63</v>
      </c>
      <c r="N1707" s="8">
        <v>1</v>
      </c>
      <c r="O1707" s="6">
        <v>4.3</v>
      </c>
    </row>
    <row r="1708" spans="1:15" x14ac:dyDescent="0.25">
      <c r="A1708" s="8">
        <v>45645</v>
      </c>
      <c r="B1708" s="9" t="s">
        <v>10</v>
      </c>
      <c r="C1708" s="9" t="s">
        <v>26</v>
      </c>
      <c r="D1708" s="9" t="s">
        <v>27</v>
      </c>
      <c r="E1708" s="9" t="s">
        <v>17</v>
      </c>
      <c r="F1708" s="9" t="str">
        <f t="shared" si="26"/>
        <v>Not Delivered</v>
      </c>
      <c r="G1708" s="9" t="b">
        <v>0</v>
      </c>
      <c r="H1708" s="9" t="s">
        <v>18</v>
      </c>
      <c r="I1708" s="8">
        <v>4827</v>
      </c>
      <c r="J1708" s="10">
        <v>1810.41</v>
      </c>
      <c r="K1708" s="10">
        <v>0</v>
      </c>
      <c r="L1708" s="10">
        <v>0</v>
      </c>
      <c r="M1708" s="10">
        <v>1810.41</v>
      </c>
      <c r="N1708" s="8">
        <v>14</v>
      </c>
      <c r="O1708" s="6">
        <v>1.3</v>
      </c>
    </row>
    <row r="1709" spans="1:15" x14ac:dyDescent="0.25">
      <c r="A1709" s="8">
        <v>19789</v>
      </c>
      <c r="B1709" s="9" t="s">
        <v>5</v>
      </c>
      <c r="C1709" s="9" t="s">
        <v>56</v>
      </c>
      <c r="D1709" s="9" t="s">
        <v>50</v>
      </c>
      <c r="E1709" s="9" t="s">
        <v>17</v>
      </c>
      <c r="F1709" s="9" t="str">
        <f t="shared" si="26"/>
        <v>Not Delivered</v>
      </c>
      <c r="G1709" s="9" t="b">
        <v>1</v>
      </c>
      <c r="H1709" s="9" t="s">
        <v>22</v>
      </c>
      <c r="I1709" s="8">
        <v>4321</v>
      </c>
      <c r="J1709" s="10">
        <v>1112.69</v>
      </c>
      <c r="K1709" s="10">
        <v>77.58</v>
      </c>
      <c r="L1709" s="10">
        <v>37.14</v>
      </c>
      <c r="M1709" s="10">
        <v>1227.4100000000001</v>
      </c>
      <c r="N1709" s="8">
        <v>6</v>
      </c>
      <c r="O1709" s="6">
        <v>3.2</v>
      </c>
    </row>
    <row r="1710" spans="1:15" x14ac:dyDescent="0.25">
      <c r="A1710" s="8">
        <v>27840</v>
      </c>
      <c r="B1710" s="9" t="s">
        <v>41</v>
      </c>
      <c r="C1710" s="9" t="s">
        <v>61</v>
      </c>
      <c r="D1710" s="9" t="s">
        <v>50</v>
      </c>
      <c r="E1710" s="9" t="s">
        <v>8</v>
      </c>
      <c r="F1710" s="9" t="str">
        <f t="shared" si="26"/>
        <v>Not Delivered</v>
      </c>
      <c r="G1710" s="9" t="b">
        <v>0</v>
      </c>
      <c r="H1710" s="9" t="s">
        <v>9</v>
      </c>
      <c r="I1710" s="8">
        <v>2785</v>
      </c>
      <c r="J1710" s="10">
        <v>626.69000000000005</v>
      </c>
      <c r="K1710" s="10">
        <v>57.17</v>
      </c>
      <c r="L1710" s="10">
        <v>0</v>
      </c>
      <c r="M1710" s="10">
        <v>683.86</v>
      </c>
      <c r="N1710" s="8">
        <v>3</v>
      </c>
      <c r="O1710" s="6">
        <v>1.2</v>
      </c>
    </row>
    <row r="1711" spans="1:15" x14ac:dyDescent="0.25">
      <c r="A1711" s="8">
        <v>30369</v>
      </c>
      <c r="B1711" s="9" t="s">
        <v>23</v>
      </c>
      <c r="C1711" s="9" t="s">
        <v>34</v>
      </c>
      <c r="D1711" s="9" t="s">
        <v>50</v>
      </c>
      <c r="E1711" s="9" t="s">
        <v>21</v>
      </c>
      <c r="F1711" s="9" t="str">
        <f t="shared" si="26"/>
        <v>Not Delivered</v>
      </c>
      <c r="G1711" s="9" t="b">
        <v>1</v>
      </c>
      <c r="H1711" s="9" t="s">
        <v>4</v>
      </c>
      <c r="I1711" s="8">
        <v>2731</v>
      </c>
      <c r="J1711" s="10">
        <v>2510.29</v>
      </c>
      <c r="K1711" s="10">
        <v>86.54</v>
      </c>
      <c r="L1711" s="10">
        <v>173.05</v>
      </c>
      <c r="M1711" s="10">
        <v>2769.88</v>
      </c>
      <c r="N1711" s="8">
        <v>13</v>
      </c>
      <c r="O1711" s="6">
        <v>2.4</v>
      </c>
    </row>
    <row r="1712" spans="1:15" x14ac:dyDescent="0.25">
      <c r="A1712" s="8">
        <v>31544</v>
      </c>
      <c r="B1712" s="9" t="s">
        <v>23</v>
      </c>
      <c r="C1712" s="9" t="s">
        <v>48</v>
      </c>
      <c r="D1712" s="9" t="s">
        <v>27</v>
      </c>
      <c r="E1712" s="9" t="s">
        <v>13</v>
      </c>
      <c r="F1712" s="9" t="str">
        <f t="shared" si="26"/>
        <v>Delivered</v>
      </c>
      <c r="G1712" s="9" t="b">
        <v>0</v>
      </c>
      <c r="H1712" s="9" t="s">
        <v>33</v>
      </c>
      <c r="I1712" s="8">
        <v>8365</v>
      </c>
      <c r="J1712" s="10">
        <v>2030.11</v>
      </c>
      <c r="K1712" s="10">
        <v>92.81</v>
      </c>
      <c r="L1712" s="10">
        <v>0</v>
      </c>
      <c r="M1712" s="10">
        <v>2122.92</v>
      </c>
      <c r="N1712" s="8">
        <v>2</v>
      </c>
    </row>
    <row r="1713" spans="1:15" x14ac:dyDescent="0.25">
      <c r="A1713" s="8">
        <v>71086</v>
      </c>
      <c r="B1713" s="9" t="s">
        <v>39</v>
      </c>
      <c r="C1713" s="9" t="s">
        <v>52</v>
      </c>
      <c r="D1713" s="9" t="s">
        <v>45</v>
      </c>
      <c r="E1713" s="9" t="s">
        <v>13</v>
      </c>
      <c r="F1713" s="9" t="str">
        <f t="shared" si="26"/>
        <v>Delivered</v>
      </c>
      <c r="G1713" s="9" t="b">
        <v>1</v>
      </c>
      <c r="H1713" s="9" t="s">
        <v>14</v>
      </c>
      <c r="I1713" s="8">
        <v>6145</v>
      </c>
      <c r="J1713" s="10">
        <v>104.01</v>
      </c>
      <c r="K1713" s="10">
        <v>95</v>
      </c>
      <c r="L1713" s="10">
        <v>238.86</v>
      </c>
      <c r="M1713" s="10">
        <v>437.87</v>
      </c>
      <c r="N1713" s="8">
        <v>4</v>
      </c>
      <c r="O1713" s="6">
        <v>2.8</v>
      </c>
    </row>
    <row r="1714" spans="1:15" x14ac:dyDescent="0.25">
      <c r="A1714" s="8">
        <v>63282</v>
      </c>
      <c r="B1714" s="9" t="s">
        <v>23</v>
      </c>
      <c r="C1714" s="9" t="s">
        <v>60</v>
      </c>
      <c r="D1714" s="9" t="s">
        <v>12</v>
      </c>
      <c r="E1714" s="9" t="s">
        <v>21</v>
      </c>
      <c r="F1714" s="9" t="str">
        <f t="shared" si="26"/>
        <v>Not Delivered</v>
      </c>
      <c r="G1714" s="9" t="b">
        <v>1</v>
      </c>
      <c r="H1714" s="9" t="s">
        <v>14</v>
      </c>
      <c r="I1714" s="8">
        <v>2978</v>
      </c>
      <c r="J1714" s="10">
        <v>1509.91</v>
      </c>
      <c r="K1714" s="10">
        <v>0</v>
      </c>
      <c r="L1714" s="10">
        <v>31.34</v>
      </c>
      <c r="M1714" s="10">
        <v>1541.25</v>
      </c>
      <c r="N1714" s="8">
        <v>7</v>
      </c>
      <c r="O1714" s="6">
        <v>3.7</v>
      </c>
    </row>
    <row r="1715" spans="1:15" x14ac:dyDescent="0.25">
      <c r="A1715" s="8">
        <v>80244</v>
      </c>
      <c r="B1715" s="9" t="s">
        <v>0</v>
      </c>
      <c r="C1715" s="9" t="s">
        <v>37</v>
      </c>
      <c r="D1715" s="9" t="s">
        <v>16</v>
      </c>
      <c r="E1715" s="9" t="s">
        <v>21</v>
      </c>
      <c r="F1715" s="9" t="str">
        <f t="shared" si="26"/>
        <v>Not Delivered</v>
      </c>
      <c r="G1715" s="9" t="b">
        <v>1</v>
      </c>
      <c r="H1715" s="9" t="s">
        <v>9</v>
      </c>
      <c r="I1715" s="8">
        <v>6870</v>
      </c>
      <c r="J1715" s="10">
        <v>308.56</v>
      </c>
      <c r="K1715" s="10">
        <v>79.67</v>
      </c>
      <c r="L1715" s="10">
        <v>65.37</v>
      </c>
      <c r="M1715" s="10">
        <v>453.6</v>
      </c>
      <c r="N1715" s="8">
        <v>4</v>
      </c>
      <c r="O1715" s="6">
        <v>4</v>
      </c>
    </row>
    <row r="1716" spans="1:15" x14ac:dyDescent="0.25">
      <c r="A1716" s="8">
        <v>37215</v>
      </c>
      <c r="B1716" s="9" t="s">
        <v>39</v>
      </c>
      <c r="C1716" s="9" t="s">
        <v>55</v>
      </c>
      <c r="D1716" s="9" t="s">
        <v>16</v>
      </c>
      <c r="E1716" s="9" t="s">
        <v>3</v>
      </c>
      <c r="F1716" s="9" t="str">
        <f t="shared" si="26"/>
        <v>Not Delivered</v>
      </c>
      <c r="G1716" s="9" t="b">
        <v>0</v>
      </c>
      <c r="H1716" s="9" t="s">
        <v>9</v>
      </c>
      <c r="I1716" s="8">
        <v>8404</v>
      </c>
      <c r="J1716" s="10">
        <v>884.47</v>
      </c>
      <c r="K1716" s="10">
        <v>53.63</v>
      </c>
      <c r="L1716" s="10">
        <v>0</v>
      </c>
      <c r="M1716" s="10">
        <v>938.1</v>
      </c>
      <c r="N1716" s="8">
        <v>4</v>
      </c>
    </row>
    <row r="1717" spans="1:15" x14ac:dyDescent="0.25">
      <c r="A1717" s="8">
        <v>50410</v>
      </c>
      <c r="B1717" s="9" t="s">
        <v>23</v>
      </c>
      <c r="C1717" s="9" t="s">
        <v>60</v>
      </c>
      <c r="D1717" s="9" t="s">
        <v>45</v>
      </c>
      <c r="E1717" s="9" t="s">
        <v>13</v>
      </c>
      <c r="F1717" s="9" t="str">
        <f t="shared" si="26"/>
        <v>Delivered</v>
      </c>
      <c r="G1717" s="9" t="b">
        <v>0</v>
      </c>
      <c r="H1717" s="9" t="s">
        <v>22</v>
      </c>
      <c r="I1717" s="8">
        <v>8591</v>
      </c>
      <c r="J1717" s="10">
        <v>2423.9899999999998</v>
      </c>
      <c r="K1717" s="10">
        <v>68.540000000000006</v>
      </c>
      <c r="L1717" s="10">
        <v>0</v>
      </c>
      <c r="M1717" s="10">
        <v>2492.5300000000002</v>
      </c>
      <c r="N1717" s="8">
        <v>11</v>
      </c>
      <c r="O1717" s="6">
        <v>4.0999999999999996</v>
      </c>
    </row>
    <row r="1718" spans="1:15" x14ac:dyDescent="0.25">
      <c r="A1718" s="8">
        <v>44735</v>
      </c>
      <c r="B1718" s="9" t="s">
        <v>41</v>
      </c>
      <c r="C1718" s="9" t="s">
        <v>42</v>
      </c>
      <c r="D1718" s="9" t="s">
        <v>16</v>
      </c>
      <c r="E1718" s="9" t="s">
        <v>13</v>
      </c>
      <c r="F1718" s="9" t="str">
        <f t="shared" si="26"/>
        <v>Delivered</v>
      </c>
      <c r="G1718" s="9" t="b">
        <v>1</v>
      </c>
      <c r="H1718" s="9" t="s">
        <v>33</v>
      </c>
      <c r="I1718" s="8">
        <v>2964</v>
      </c>
      <c r="J1718" s="10">
        <v>1727.25</v>
      </c>
      <c r="K1718" s="10">
        <v>73.72</v>
      </c>
      <c r="L1718" s="10">
        <v>120.3</v>
      </c>
      <c r="M1718" s="10">
        <v>1921.27</v>
      </c>
      <c r="N1718" s="8">
        <v>10</v>
      </c>
    </row>
    <row r="1719" spans="1:15" x14ac:dyDescent="0.25">
      <c r="A1719" s="8">
        <v>21851</v>
      </c>
      <c r="B1719" s="9" t="s">
        <v>23</v>
      </c>
      <c r="C1719" s="9" t="s">
        <v>60</v>
      </c>
      <c r="D1719" s="9" t="s">
        <v>7</v>
      </c>
      <c r="E1719" s="9" t="s">
        <v>17</v>
      </c>
      <c r="F1719" s="9" t="str">
        <f t="shared" si="26"/>
        <v>Not Delivered</v>
      </c>
      <c r="G1719" s="9" t="b">
        <v>0</v>
      </c>
      <c r="H1719" s="9" t="s">
        <v>18</v>
      </c>
      <c r="I1719" s="8">
        <v>3582</v>
      </c>
      <c r="J1719" s="10">
        <v>2868.37</v>
      </c>
      <c r="K1719" s="10">
        <v>128.56</v>
      </c>
      <c r="L1719" s="10">
        <v>0</v>
      </c>
      <c r="M1719" s="10">
        <v>2996.93</v>
      </c>
      <c r="N1719" s="8">
        <v>3</v>
      </c>
      <c r="O1719" s="6">
        <v>1.6</v>
      </c>
    </row>
    <row r="1720" spans="1:15" x14ac:dyDescent="0.25">
      <c r="A1720" s="8">
        <v>99922</v>
      </c>
      <c r="B1720" s="9" t="s">
        <v>5</v>
      </c>
      <c r="C1720" s="9" t="s">
        <v>56</v>
      </c>
      <c r="D1720" s="9" t="s">
        <v>45</v>
      </c>
      <c r="E1720" s="9" t="s">
        <v>13</v>
      </c>
      <c r="F1720" s="9" t="str">
        <f t="shared" si="26"/>
        <v>Delivered</v>
      </c>
      <c r="G1720" s="9" t="b">
        <v>0</v>
      </c>
      <c r="H1720" s="9" t="s">
        <v>9</v>
      </c>
      <c r="I1720" s="8">
        <v>5984</v>
      </c>
      <c r="J1720" s="10">
        <v>2136.98</v>
      </c>
      <c r="K1720" s="10">
        <v>98.63</v>
      </c>
      <c r="L1720" s="10">
        <v>0</v>
      </c>
      <c r="M1720" s="10">
        <v>2235.61</v>
      </c>
      <c r="N1720" s="8">
        <v>5</v>
      </c>
      <c r="O1720" s="6">
        <v>3.3</v>
      </c>
    </row>
    <row r="1721" spans="1:15" x14ac:dyDescent="0.25">
      <c r="A1721" s="8">
        <v>89076</v>
      </c>
      <c r="B1721" s="9" t="s">
        <v>5</v>
      </c>
      <c r="C1721" s="9" t="s">
        <v>31</v>
      </c>
      <c r="D1721" s="9" t="s">
        <v>16</v>
      </c>
      <c r="E1721" s="9" t="s">
        <v>3</v>
      </c>
      <c r="F1721" s="9" t="str">
        <f t="shared" si="26"/>
        <v>Not Delivered</v>
      </c>
      <c r="G1721" s="9" t="b">
        <v>0</v>
      </c>
      <c r="H1721" s="9" t="s">
        <v>9</v>
      </c>
      <c r="I1721" s="8">
        <v>1660</v>
      </c>
      <c r="J1721" s="10">
        <v>314.87</v>
      </c>
      <c r="K1721" s="10">
        <v>35.520000000000003</v>
      </c>
      <c r="L1721" s="10">
        <v>0</v>
      </c>
      <c r="M1721" s="10">
        <v>350.39</v>
      </c>
      <c r="N1721" s="8">
        <v>7</v>
      </c>
      <c r="O1721" s="6">
        <v>3.2</v>
      </c>
    </row>
    <row r="1722" spans="1:15" x14ac:dyDescent="0.25">
      <c r="A1722" s="8">
        <v>38183</v>
      </c>
      <c r="B1722" s="9" t="s">
        <v>10</v>
      </c>
      <c r="C1722" s="9" t="s">
        <v>15</v>
      </c>
      <c r="D1722" s="9" t="s">
        <v>25</v>
      </c>
      <c r="E1722" s="9" t="s">
        <v>13</v>
      </c>
      <c r="F1722" s="9" t="str">
        <f t="shared" si="26"/>
        <v>Delivered</v>
      </c>
      <c r="G1722" s="9" t="b">
        <v>1</v>
      </c>
      <c r="H1722" s="9" t="s">
        <v>14</v>
      </c>
      <c r="I1722" s="8">
        <v>6370</v>
      </c>
      <c r="J1722" s="10">
        <v>950.87</v>
      </c>
      <c r="K1722" s="10">
        <v>80.95</v>
      </c>
      <c r="L1722" s="10">
        <v>272.43</v>
      </c>
      <c r="M1722" s="10">
        <v>1304.25</v>
      </c>
      <c r="N1722" s="8">
        <v>7</v>
      </c>
      <c r="O1722" s="6">
        <v>2.7</v>
      </c>
    </row>
    <row r="1723" spans="1:15" x14ac:dyDescent="0.25">
      <c r="A1723" s="8">
        <v>29441</v>
      </c>
      <c r="B1723" s="9" t="s">
        <v>10</v>
      </c>
      <c r="C1723" s="9" t="s">
        <v>26</v>
      </c>
      <c r="D1723" s="9" t="s">
        <v>2</v>
      </c>
      <c r="E1723" s="9" t="s">
        <v>8</v>
      </c>
      <c r="F1723" s="9" t="str">
        <f t="shared" si="26"/>
        <v>Not Delivered</v>
      </c>
      <c r="G1723" s="9" t="b">
        <v>0</v>
      </c>
      <c r="H1723" s="9" t="s">
        <v>9</v>
      </c>
      <c r="I1723" s="8">
        <v>2494</v>
      </c>
      <c r="J1723" s="10">
        <v>143.80000000000001</v>
      </c>
      <c r="K1723" s="10">
        <v>43.32</v>
      </c>
      <c r="L1723" s="10">
        <v>0</v>
      </c>
      <c r="M1723" s="10">
        <v>187.12</v>
      </c>
      <c r="N1723" s="8">
        <v>12</v>
      </c>
      <c r="O1723" s="6">
        <v>1.8</v>
      </c>
    </row>
    <row r="1724" spans="1:15" x14ac:dyDescent="0.25">
      <c r="A1724" s="8">
        <v>42534</v>
      </c>
      <c r="B1724" s="9" t="s">
        <v>10</v>
      </c>
      <c r="C1724" s="9" t="s">
        <v>15</v>
      </c>
      <c r="D1724" s="9" t="s">
        <v>27</v>
      </c>
      <c r="E1724" s="9" t="s">
        <v>21</v>
      </c>
      <c r="F1724" s="9" t="str">
        <f t="shared" si="26"/>
        <v>Not Delivered</v>
      </c>
      <c r="G1724" s="9" t="b">
        <v>0</v>
      </c>
      <c r="H1724" s="9" t="s">
        <v>22</v>
      </c>
      <c r="I1724" s="8">
        <v>6828</v>
      </c>
      <c r="J1724" s="10">
        <v>910.59</v>
      </c>
      <c r="K1724" s="10">
        <v>0</v>
      </c>
      <c r="L1724" s="10">
        <v>0</v>
      </c>
      <c r="M1724" s="10">
        <v>910.59</v>
      </c>
      <c r="N1724" s="8">
        <v>8</v>
      </c>
    </row>
    <row r="1725" spans="1:15" x14ac:dyDescent="0.25">
      <c r="A1725" s="8">
        <v>61936</v>
      </c>
      <c r="B1725" s="9" t="s">
        <v>10</v>
      </c>
      <c r="C1725" s="9" t="s">
        <v>29</v>
      </c>
      <c r="D1725" s="9" t="s">
        <v>35</v>
      </c>
      <c r="E1725" s="9" t="s">
        <v>13</v>
      </c>
      <c r="F1725" s="9" t="str">
        <f t="shared" si="26"/>
        <v>Delivered</v>
      </c>
      <c r="G1725" s="9" t="b">
        <v>1</v>
      </c>
      <c r="H1725" s="9" t="s">
        <v>4</v>
      </c>
      <c r="I1725" s="8">
        <v>9412</v>
      </c>
      <c r="J1725" s="10">
        <v>1181.69</v>
      </c>
      <c r="K1725" s="10">
        <v>82.11</v>
      </c>
      <c r="L1725" s="10">
        <v>159.36000000000001</v>
      </c>
      <c r="M1725" s="10">
        <v>1423.16</v>
      </c>
      <c r="N1725" s="8">
        <v>12</v>
      </c>
    </row>
    <row r="1726" spans="1:15" x14ac:dyDescent="0.25">
      <c r="A1726" s="8">
        <v>16416</v>
      </c>
      <c r="B1726" s="9" t="s">
        <v>23</v>
      </c>
      <c r="C1726" s="9" t="s">
        <v>34</v>
      </c>
      <c r="D1726" s="9" t="s">
        <v>2</v>
      </c>
      <c r="E1726" s="9" t="s">
        <v>13</v>
      </c>
      <c r="F1726" s="9" t="str">
        <f t="shared" si="26"/>
        <v>Delivered</v>
      </c>
      <c r="G1726" s="9" t="b">
        <v>0</v>
      </c>
      <c r="H1726" s="9" t="s">
        <v>18</v>
      </c>
      <c r="I1726" s="8">
        <v>5896</v>
      </c>
      <c r="J1726" s="10">
        <v>609.14</v>
      </c>
      <c r="K1726" s="10">
        <v>70.64</v>
      </c>
      <c r="L1726" s="10">
        <v>0</v>
      </c>
      <c r="M1726" s="10">
        <v>679.78</v>
      </c>
      <c r="N1726" s="8">
        <v>4</v>
      </c>
      <c r="O1726" s="6">
        <v>4.4000000000000004</v>
      </c>
    </row>
    <row r="1727" spans="1:15" x14ac:dyDescent="0.25">
      <c r="A1727" s="8">
        <v>44100</v>
      </c>
      <c r="B1727" s="9" t="s">
        <v>41</v>
      </c>
      <c r="C1727" s="9" t="s">
        <v>61</v>
      </c>
      <c r="D1727" s="9" t="s">
        <v>50</v>
      </c>
      <c r="E1727" s="9" t="s">
        <v>13</v>
      </c>
      <c r="F1727" s="9" t="str">
        <f t="shared" si="26"/>
        <v>Delivered</v>
      </c>
      <c r="G1727" s="9" t="b">
        <v>0</v>
      </c>
      <c r="H1727" s="9" t="s">
        <v>22</v>
      </c>
      <c r="I1727" s="8">
        <v>3848</v>
      </c>
      <c r="J1727" s="10">
        <v>1645.79</v>
      </c>
      <c r="K1727" s="10">
        <v>78.17</v>
      </c>
      <c r="L1727" s="10">
        <v>0</v>
      </c>
      <c r="M1727" s="10">
        <v>1723.96</v>
      </c>
      <c r="N1727" s="8">
        <v>4</v>
      </c>
      <c r="O1727" s="6">
        <v>2.2999999999999998</v>
      </c>
    </row>
    <row r="1728" spans="1:15" x14ac:dyDescent="0.25">
      <c r="A1728" s="8">
        <v>14073</v>
      </c>
      <c r="B1728" s="9" t="s">
        <v>23</v>
      </c>
      <c r="C1728" s="9" t="s">
        <v>49</v>
      </c>
      <c r="D1728" s="9" t="s">
        <v>2</v>
      </c>
      <c r="E1728" s="9" t="s">
        <v>21</v>
      </c>
      <c r="F1728" s="9" t="str">
        <f t="shared" si="26"/>
        <v>Not Delivered</v>
      </c>
      <c r="G1728" s="9" t="b">
        <v>0</v>
      </c>
      <c r="H1728" s="9" t="s">
        <v>18</v>
      </c>
      <c r="I1728" s="8">
        <v>7625</v>
      </c>
      <c r="J1728" s="10">
        <v>2170.75</v>
      </c>
      <c r="K1728" s="10">
        <v>129.16999999999999</v>
      </c>
      <c r="L1728" s="10">
        <v>0</v>
      </c>
      <c r="M1728" s="10">
        <v>2299.92</v>
      </c>
      <c r="N1728" s="8">
        <v>10</v>
      </c>
    </row>
    <row r="1729" spans="1:15" x14ac:dyDescent="0.25">
      <c r="A1729" s="8">
        <v>69270</v>
      </c>
      <c r="B1729" s="9" t="s">
        <v>23</v>
      </c>
      <c r="C1729" s="9" t="s">
        <v>34</v>
      </c>
      <c r="D1729" s="9" t="s">
        <v>50</v>
      </c>
      <c r="E1729" s="9" t="s">
        <v>3</v>
      </c>
      <c r="F1729" s="9" t="str">
        <f t="shared" si="26"/>
        <v>Not Delivered</v>
      </c>
      <c r="G1729" s="9" t="b">
        <v>0</v>
      </c>
      <c r="H1729" s="9" t="s">
        <v>33</v>
      </c>
      <c r="I1729" s="8">
        <v>5093</v>
      </c>
      <c r="J1729" s="10">
        <v>841.01</v>
      </c>
      <c r="L1729" s="10">
        <v>0</v>
      </c>
      <c r="M1729" s="10">
        <v>976.78</v>
      </c>
      <c r="N1729" s="8">
        <v>10</v>
      </c>
      <c r="O1729" s="6">
        <v>1.9</v>
      </c>
    </row>
    <row r="1730" spans="1:15" x14ac:dyDescent="0.25">
      <c r="A1730" s="8">
        <v>22415</v>
      </c>
      <c r="B1730" s="9" t="s">
        <v>5</v>
      </c>
      <c r="C1730" s="9" t="s">
        <v>59</v>
      </c>
      <c r="D1730" s="9" t="s">
        <v>2</v>
      </c>
      <c r="E1730" s="9" t="s">
        <v>8</v>
      </c>
      <c r="F1730" s="9" t="str">
        <f t="shared" si="26"/>
        <v>Not Delivered</v>
      </c>
      <c r="G1730" s="9" t="b">
        <v>1</v>
      </c>
      <c r="H1730" s="9" t="s">
        <v>9</v>
      </c>
      <c r="I1730" s="8">
        <v>8570</v>
      </c>
      <c r="J1730" s="10">
        <v>1945.86</v>
      </c>
      <c r="K1730" s="10">
        <v>119.96</v>
      </c>
      <c r="L1730" s="10">
        <v>61.23</v>
      </c>
      <c r="M1730" s="10">
        <v>2127.0500000000002</v>
      </c>
      <c r="N1730" s="8">
        <v>10</v>
      </c>
      <c r="O1730" s="6">
        <v>2.7</v>
      </c>
    </row>
    <row r="1731" spans="1:15" x14ac:dyDescent="0.25">
      <c r="A1731" s="8">
        <v>23357</v>
      </c>
      <c r="B1731" s="9" t="s">
        <v>0</v>
      </c>
      <c r="C1731" s="9" t="s">
        <v>53</v>
      </c>
      <c r="D1731" s="9" t="s">
        <v>25</v>
      </c>
      <c r="E1731" s="9" t="s">
        <v>21</v>
      </c>
      <c r="F1731" s="9" t="str">
        <f t="shared" ref="F1731:F1794" si="27">IF(OR(
E1731="Failed Delivery",
E1731="Cancelled",
E1731="Pending",
E1731="Rescheduled",
E1731="In Transit"
),"Not Delivered","Delivered")</f>
        <v>Not Delivered</v>
      </c>
      <c r="G1731" s="9" t="b">
        <v>0</v>
      </c>
      <c r="H1731" s="9" t="s">
        <v>9</v>
      </c>
      <c r="I1731" s="8">
        <v>3290</v>
      </c>
      <c r="J1731" s="10">
        <v>1780.74</v>
      </c>
      <c r="K1731" s="10">
        <v>103.32</v>
      </c>
      <c r="L1731" s="10">
        <v>0</v>
      </c>
      <c r="M1731" s="10">
        <v>1884.06</v>
      </c>
      <c r="N1731" s="8">
        <v>2</v>
      </c>
      <c r="O1731" s="6">
        <v>1.4</v>
      </c>
    </row>
    <row r="1732" spans="1:15" x14ac:dyDescent="0.25">
      <c r="A1732" s="8">
        <v>25919</v>
      </c>
      <c r="B1732" s="9" t="s">
        <v>23</v>
      </c>
      <c r="C1732" s="9" t="s">
        <v>60</v>
      </c>
      <c r="D1732" s="9" t="s">
        <v>35</v>
      </c>
      <c r="E1732" s="9" t="s">
        <v>13</v>
      </c>
      <c r="F1732" s="9" t="str">
        <f t="shared" si="27"/>
        <v>Delivered</v>
      </c>
      <c r="G1732" s="9" t="b">
        <v>0</v>
      </c>
      <c r="H1732" s="9" t="s">
        <v>14</v>
      </c>
      <c r="I1732" s="8">
        <v>1195</v>
      </c>
      <c r="J1732" s="10">
        <v>2120.13</v>
      </c>
      <c r="K1732" s="10">
        <v>0</v>
      </c>
      <c r="L1732" s="10">
        <v>0</v>
      </c>
      <c r="M1732" s="10">
        <v>2120.13</v>
      </c>
      <c r="N1732" s="8">
        <v>13</v>
      </c>
    </row>
    <row r="1733" spans="1:15" x14ac:dyDescent="0.25">
      <c r="A1733" s="8">
        <v>18083</v>
      </c>
      <c r="B1733" s="9" t="s">
        <v>41</v>
      </c>
      <c r="C1733" s="9" t="s">
        <v>61</v>
      </c>
      <c r="D1733" s="9" t="s">
        <v>7</v>
      </c>
      <c r="E1733" s="9" t="s">
        <v>17</v>
      </c>
      <c r="F1733" s="9" t="str">
        <f t="shared" si="27"/>
        <v>Not Delivered</v>
      </c>
      <c r="G1733" s="9" t="b">
        <v>0</v>
      </c>
      <c r="H1733" s="9" t="s">
        <v>28</v>
      </c>
      <c r="I1733" s="8">
        <v>4641</v>
      </c>
      <c r="J1733" s="10">
        <v>723.98</v>
      </c>
      <c r="K1733" s="10">
        <v>128.44</v>
      </c>
      <c r="L1733" s="10">
        <v>0</v>
      </c>
      <c r="M1733" s="10">
        <v>852.42</v>
      </c>
      <c r="N1733" s="8">
        <v>6</v>
      </c>
      <c r="O1733" s="6">
        <v>3.3</v>
      </c>
    </row>
    <row r="1734" spans="1:15" x14ac:dyDescent="0.25">
      <c r="A1734" s="8">
        <v>27133</v>
      </c>
      <c r="B1734" s="9" t="s">
        <v>5</v>
      </c>
      <c r="C1734" s="9" t="s">
        <v>6</v>
      </c>
      <c r="D1734" s="9" t="s">
        <v>2</v>
      </c>
      <c r="E1734" s="9" t="s">
        <v>32</v>
      </c>
      <c r="F1734" s="9" t="str">
        <f t="shared" si="27"/>
        <v>Not Delivered</v>
      </c>
      <c r="G1734" s="9" t="b">
        <v>0</v>
      </c>
      <c r="H1734" s="9" t="s">
        <v>18</v>
      </c>
      <c r="I1734" s="8">
        <v>4246</v>
      </c>
      <c r="J1734" s="10">
        <v>894.07</v>
      </c>
      <c r="K1734" s="10">
        <v>134.83000000000001</v>
      </c>
      <c r="L1734" s="10">
        <v>0</v>
      </c>
      <c r="M1734" s="10">
        <v>1028.9000000000001</v>
      </c>
      <c r="N1734" s="8">
        <v>2</v>
      </c>
    </row>
    <row r="1735" spans="1:15" x14ac:dyDescent="0.25">
      <c r="A1735" s="8">
        <v>62505</v>
      </c>
      <c r="B1735" s="9" t="s">
        <v>5</v>
      </c>
      <c r="C1735" s="9" t="s">
        <v>6</v>
      </c>
      <c r="D1735" s="9" t="s">
        <v>35</v>
      </c>
      <c r="E1735" s="9" t="s">
        <v>21</v>
      </c>
      <c r="F1735" s="9" t="str">
        <f t="shared" si="27"/>
        <v>Not Delivered</v>
      </c>
      <c r="G1735" s="9" t="b">
        <v>1</v>
      </c>
      <c r="H1735" s="9" t="s">
        <v>22</v>
      </c>
      <c r="I1735" s="8">
        <v>7098</v>
      </c>
      <c r="J1735" s="10">
        <v>525.29999999999995</v>
      </c>
      <c r="K1735" s="10">
        <v>85.58</v>
      </c>
      <c r="L1735" s="10">
        <v>30.1</v>
      </c>
      <c r="M1735" s="10">
        <v>640.98</v>
      </c>
      <c r="N1735" s="8">
        <v>14</v>
      </c>
      <c r="O1735" s="6">
        <v>4.4000000000000004</v>
      </c>
    </row>
    <row r="1736" spans="1:15" x14ac:dyDescent="0.25">
      <c r="A1736" s="8">
        <v>99952</v>
      </c>
      <c r="B1736" s="9" t="s">
        <v>41</v>
      </c>
      <c r="C1736" s="9" t="s">
        <v>42</v>
      </c>
      <c r="D1736" s="9" t="s">
        <v>12</v>
      </c>
      <c r="E1736" s="9" t="s">
        <v>21</v>
      </c>
      <c r="F1736" s="9" t="str">
        <f t="shared" si="27"/>
        <v>Not Delivered</v>
      </c>
      <c r="G1736" s="9" t="b">
        <v>0</v>
      </c>
      <c r="H1736" s="9" t="s">
        <v>18</v>
      </c>
      <c r="I1736" s="8">
        <v>2376</v>
      </c>
      <c r="J1736" s="10">
        <v>718.69</v>
      </c>
      <c r="K1736" s="10">
        <v>112.8</v>
      </c>
      <c r="L1736" s="10">
        <v>0</v>
      </c>
      <c r="M1736" s="10">
        <v>831.49</v>
      </c>
      <c r="N1736" s="8">
        <v>1</v>
      </c>
      <c r="O1736" s="6">
        <v>2.7</v>
      </c>
    </row>
    <row r="1737" spans="1:15" x14ac:dyDescent="0.25">
      <c r="A1737" s="8">
        <v>86326</v>
      </c>
      <c r="B1737" s="9" t="s">
        <v>23</v>
      </c>
      <c r="C1737" s="9" t="s">
        <v>60</v>
      </c>
      <c r="D1737" s="9" t="s">
        <v>12</v>
      </c>
      <c r="E1737" s="9" t="s">
        <v>17</v>
      </c>
      <c r="F1737" s="9" t="str">
        <f t="shared" si="27"/>
        <v>Not Delivered</v>
      </c>
      <c r="G1737" s="9" t="b">
        <v>0</v>
      </c>
      <c r="H1737" s="9" t="s">
        <v>28</v>
      </c>
      <c r="I1737" s="8">
        <v>5240</v>
      </c>
      <c r="J1737" s="10">
        <v>894.11</v>
      </c>
      <c r="K1737" s="10">
        <v>79.83</v>
      </c>
      <c r="L1737" s="10">
        <v>0</v>
      </c>
      <c r="M1737" s="10">
        <v>973.94</v>
      </c>
      <c r="N1737" s="8">
        <v>12</v>
      </c>
      <c r="O1737" s="6">
        <v>2.6</v>
      </c>
    </row>
    <row r="1738" spans="1:15" x14ac:dyDescent="0.25">
      <c r="A1738" s="8">
        <v>19828</v>
      </c>
      <c r="B1738" s="9" t="s">
        <v>41</v>
      </c>
      <c r="C1738" s="9" t="s">
        <v>61</v>
      </c>
      <c r="D1738" s="9" t="s">
        <v>25</v>
      </c>
      <c r="E1738" s="9" t="s">
        <v>32</v>
      </c>
      <c r="F1738" s="9" t="str">
        <f t="shared" si="27"/>
        <v>Not Delivered</v>
      </c>
      <c r="G1738" s="9" t="b">
        <v>1</v>
      </c>
      <c r="H1738" s="9" t="s">
        <v>28</v>
      </c>
      <c r="I1738" s="8">
        <v>1357</v>
      </c>
      <c r="J1738" s="10">
        <v>405.73</v>
      </c>
      <c r="K1738" s="10">
        <v>40.35</v>
      </c>
      <c r="L1738" s="10">
        <v>91.44</v>
      </c>
      <c r="M1738" s="10">
        <v>537.52</v>
      </c>
      <c r="N1738" s="8">
        <v>3</v>
      </c>
      <c r="O1738" s="6">
        <v>4</v>
      </c>
    </row>
    <row r="1739" spans="1:15" x14ac:dyDescent="0.25">
      <c r="A1739" s="8">
        <v>18450</v>
      </c>
      <c r="B1739" s="9" t="s">
        <v>10</v>
      </c>
      <c r="C1739" s="9" t="s">
        <v>20</v>
      </c>
      <c r="D1739" s="9" t="s">
        <v>16</v>
      </c>
      <c r="E1739" s="9" t="s">
        <v>21</v>
      </c>
      <c r="F1739" s="9" t="str">
        <f t="shared" si="27"/>
        <v>Not Delivered</v>
      </c>
      <c r="G1739" s="9" t="b">
        <v>1</v>
      </c>
      <c r="H1739" s="9" t="s">
        <v>22</v>
      </c>
      <c r="I1739" s="8">
        <v>4239</v>
      </c>
      <c r="J1739" s="10">
        <v>656.23</v>
      </c>
      <c r="K1739" s="10">
        <v>0</v>
      </c>
      <c r="L1739" s="10">
        <v>25.47</v>
      </c>
      <c r="M1739" s="10">
        <v>681.7</v>
      </c>
      <c r="N1739" s="8">
        <v>4</v>
      </c>
      <c r="O1739" s="6">
        <v>3.9</v>
      </c>
    </row>
    <row r="1740" spans="1:15" x14ac:dyDescent="0.25">
      <c r="A1740" s="8">
        <v>94670</v>
      </c>
      <c r="B1740" s="9" t="s">
        <v>0</v>
      </c>
      <c r="C1740" s="9" t="s">
        <v>37</v>
      </c>
      <c r="D1740" s="9" t="s">
        <v>50</v>
      </c>
      <c r="E1740" s="9" t="s">
        <v>3</v>
      </c>
      <c r="F1740" s="9" t="str">
        <f t="shared" si="27"/>
        <v>Not Delivered</v>
      </c>
      <c r="G1740" s="9" t="b">
        <v>0</v>
      </c>
      <c r="H1740" s="9" t="s">
        <v>14</v>
      </c>
      <c r="I1740" s="8">
        <v>8265</v>
      </c>
      <c r="J1740" s="10">
        <v>1439.36</v>
      </c>
      <c r="K1740" s="10">
        <v>52.8</v>
      </c>
      <c r="L1740" s="10">
        <v>0</v>
      </c>
      <c r="M1740" s="10">
        <v>1492.16</v>
      </c>
      <c r="N1740" s="8">
        <v>12</v>
      </c>
      <c r="O1740" s="6">
        <v>1.6</v>
      </c>
    </row>
    <row r="1741" spans="1:15" x14ac:dyDescent="0.25">
      <c r="A1741" s="8">
        <v>26880</v>
      </c>
      <c r="B1741" s="9" t="s">
        <v>41</v>
      </c>
      <c r="C1741" s="9" t="s">
        <v>47</v>
      </c>
      <c r="D1741" s="9" t="s">
        <v>50</v>
      </c>
      <c r="E1741" s="9" t="s">
        <v>32</v>
      </c>
      <c r="F1741" s="9" t="str">
        <f t="shared" si="27"/>
        <v>Not Delivered</v>
      </c>
      <c r="G1741" s="9" t="b">
        <v>0</v>
      </c>
      <c r="H1741" s="9" t="s">
        <v>4</v>
      </c>
      <c r="I1741" s="8">
        <v>2506</v>
      </c>
      <c r="J1741" s="10">
        <v>636.58000000000004</v>
      </c>
      <c r="K1741" s="10">
        <v>58.97</v>
      </c>
      <c r="L1741" s="10">
        <v>0</v>
      </c>
      <c r="M1741" s="10">
        <v>695.55</v>
      </c>
      <c r="N1741" s="8">
        <v>8</v>
      </c>
      <c r="O1741" s="6">
        <v>1.3</v>
      </c>
    </row>
    <row r="1742" spans="1:15" x14ac:dyDescent="0.25">
      <c r="A1742" s="8">
        <v>53456</v>
      </c>
      <c r="B1742" s="9" t="s">
        <v>10</v>
      </c>
      <c r="C1742" s="9" t="s">
        <v>29</v>
      </c>
      <c r="D1742" s="9" t="s">
        <v>50</v>
      </c>
      <c r="E1742" s="9" t="s">
        <v>3</v>
      </c>
      <c r="F1742" s="9" t="str">
        <f t="shared" si="27"/>
        <v>Not Delivered</v>
      </c>
      <c r="G1742" s="9" t="b">
        <v>1</v>
      </c>
      <c r="H1742" s="9" t="s">
        <v>9</v>
      </c>
      <c r="I1742" s="8">
        <v>3007</v>
      </c>
      <c r="J1742" s="10">
        <v>1698.8</v>
      </c>
      <c r="K1742" s="10">
        <v>0</v>
      </c>
      <c r="L1742" s="10">
        <v>194.72</v>
      </c>
      <c r="M1742" s="10">
        <v>1893.52</v>
      </c>
      <c r="N1742" s="8">
        <v>3</v>
      </c>
      <c r="O1742" s="6">
        <v>3.2</v>
      </c>
    </row>
    <row r="1743" spans="1:15" x14ac:dyDescent="0.25">
      <c r="A1743" s="8">
        <v>15596</v>
      </c>
      <c r="B1743" s="9" t="s">
        <v>10</v>
      </c>
      <c r="C1743" s="9" t="s">
        <v>29</v>
      </c>
      <c r="D1743" s="9" t="s">
        <v>19</v>
      </c>
      <c r="E1743" s="9" t="s">
        <v>17</v>
      </c>
      <c r="F1743" s="9" t="str">
        <f t="shared" si="27"/>
        <v>Not Delivered</v>
      </c>
      <c r="G1743" s="9" t="b">
        <v>1</v>
      </c>
      <c r="H1743" s="9" t="s">
        <v>28</v>
      </c>
      <c r="I1743" s="8">
        <v>8552</v>
      </c>
      <c r="J1743" s="10">
        <v>952.07</v>
      </c>
      <c r="K1743" s="10">
        <v>137.21</v>
      </c>
      <c r="L1743" s="10">
        <v>60.05</v>
      </c>
      <c r="M1743" s="10">
        <v>1149.33</v>
      </c>
      <c r="N1743" s="8">
        <v>9</v>
      </c>
      <c r="O1743" s="6">
        <v>3.5</v>
      </c>
    </row>
    <row r="1744" spans="1:15" x14ac:dyDescent="0.25">
      <c r="A1744" s="8">
        <v>16637</v>
      </c>
      <c r="B1744" s="9" t="s">
        <v>5</v>
      </c>
      <c r="C1744" s="9" t="s">
        <v>36</v>
      </c>
      <c r="D1744" s="9" t="s">
        <v>45</v>
      </c>
      <c r="E1744" s="9" t="s">
        <v>17</v>
      </c>
      <c r="F1744" s="9" t="str">
        <f t="shared" si="27"/>
        <v>Not Delivered</v>
      </c>
      <c r="G1744" s="9" t="b">
        <v>1</v>
      </c>
      <c r="H1744" s="9" t="s">
        <v>22</v>
      </c>
      <c r="I1744" s="8">
        <v>3752</v>
      </c>
      <c r="J1744" s="10">
        <v>959.43</v>
      </c>
      <c r="K1744" s="10">
        <v>60.78</v>
      </c>
      <c r="L1744" s="10">
        <v>30.74</v>
      </c>
      <c r="M1744" s="10">
        <v>1050.95</v>
      </c>
      <c r="N1744" s="8">
        <v>4</v>
      </c>
      <c r="O1744" s="6">
        <v>2.6</v>
      </c>
    </row>
    <row r="1745" spans="1:15" x14ac:dyDescent="0.25">
      <c r="A1745" s="8">
        <v>85220</v>
      </c>
      <c r="B1745" s="9" t="s">
        <v>0</v>
      </c>
      <c r="C1745" s="9" t="s">
        <v>1</v>
      </c>
      <c r="D1745" s="9" t="s">
        <v>35</v>
      </c>
      <c r="E1745" s="9" t="s">
        <v>13</v>
      </c>
      <c r="F1745" s="9" t="str">
        <f t="shared" si="27"/>
        <v>Delivered</v>
      </c>
      <c r="G1745" s="9" t="b">
        <v>1</v>
      </c>
      <c r="H1745" s="9" t="s">
        <v>28</v>
      </c>
      <c r="I1745" s="8">
        <v>8096</v>
      </c>
      <c r="J1745" s="10">
        <v>1256.04</v>
      </c>
      <c r="K1745" s="10">
        <v>95.63</v>
      </c>
      <c r="L1745" s="10">
        <v>278.39</v>
      </c>
      <c r="M1745" s="10">
        <v>1630.06</v>
      </c>
      <c r="N1745" s="8">
        <v>3</v>
      </c>
      <c r="O1745" s="6">
        <v>3.4</v>
      </c>
    </row>
    <row r="1746" spans="1:15" x14ac:dyDescent="0.25">
      <c r="A1746" s="8">
        <v>61773</v>
      </c>
      <c r="B1746" s="9" t="s">
        <v>0</v>
      </c>
      <c r="C1746" s="9" t="s">
        <v>1</v>
      </c>
      <c r="D1746" s="9" t="s">
        <v>30</v>
      </c>
      <c r="E1746" s="9" t="s">
        <v>13</v>
      </c>
      <c r="F1746" s="9" t="str">
        <f t="shared" si="27"/>
        <v>Delivered</v>
      </c>
      <c r="G1746" s="9" t="b">
        <v>1</v>
      </c>
      <c r="H1746" s="9" t="s">
        <v>14</v>
      </c>
      <c r="I1746" s="8">
        <v>9128</v>
      </c>
      <c r="J1746" s="10">
        <v>436.38</v>
      </c>
      <c r="K1746" s="10">
        <v>73.13</v>
      </c>
      <c r="L1746" s="10">
        <v>26.96</v>
      </c>
      <c r="M1746" s="10">
        <v>536.47</v>
      </c>
      <c r="N1746" s="8">
        <v>3</v>
      </c>
      <c r="O1746" s="6">
        <v>3.9</v>
      </c>
    </row>
    <row r="1747" spans="1:15" x14ac:dyDescent="0.25">
      <c r="A1747" s="8">
        <v>13864</v>
      </c>
      <c r="B1747" s="9" t="s">
        <v>39</v>
      </c>
      <c r="C1747" s="9" t="s">
        <v>40</v>
      </c>
      <c r="D1747" s="9" t="s">
        <v>2</v>
      </c>
      <c r="E1747" s="9" t="s">
        <v>8</v>
      </c>
      <c r="F1747" s="9" t="str">
        <f t="shared" si="27"/>
        <v>Not Delivered</v>
      </c>
      <c r="G1747" s="9" t="b">
        <v>1</v>
      </c>
      <c r="H1747" s="9" t="s">
        <v>14</v>
      </c>
      <c r="I1747" s="8">
        <v>7270</v>
      </c>
      <c r="J1747" s="10">
        <v>413.68</v>
      </c>
      <c r="K1747" s="10">
        <v>41.26</v>
      </c>
      <c r="M1747" s="10">
        <v>483.12</v>
      </c>
      <c r="N1747" s="8">
        <v>5</v>
      </c>
      <c r="O1747" s="6">
        <v>4.8</v>
      </c>
    </row>
    <row r="1748" spans="1:15" x14ac:dyDescent="0.25">
      <c r="A1748" s="8">
        <v>99550</v>
      </c>
      <c r="B1748" s="9" t="s">
        <v>5</v>
      </c>
      <c r="C1748" s="9" t="s">
        <v>6</v>
      </c>
      <c r="D1748" s="9" t="s">
        <v>38</v>
      </c>
      <c r="E1748" s="9" t="s">
        <v>3</v>
      </c>
      <c r="F1748" s="9" t="str">
        <f t="shared" si="27"/>
        <v>Not Delivered</v>
      </c>
      <c r="G1748" s="9" t="b">
        <v>1</v>
      </c>
      <c r="H1748" s="9" t="s">
        <v>14</v>
      </c>
      <c r="I1748" s="8">
        <v>7990</v>
      </c>
      <c r="J1748" s="10">
        <v>1244.7</v>
      </c>
      <c r="K1748" s="10">
        <v>0</v>
      </c>
      <c r="L1748" s="10">
        <v>64.63</v>
      </c>
      <c r="M1748" s="10">
        <v>1309.33</v>
      </c>
      <c r="N1748" s="8">
        <v>6</v>
      </c>
    </row>
    <row r="1749" spans="1:15" x14ac:dyDescent="0.25">
      <c r="A1749" s="8">
        <v>32650</v>
      </c>
      <c r="B1749" s="9" t="s">
        <v>10</v>
      </c>
      <c r="C1749" s="9" t="s">
        <v>15</v>
      </c>
      <c r="D1749" s="9" t="s">
        <v>50</v>
      </c>
      <c r="E1749" s="9" t="s">
        <v>3</v>
      </c>
      <c r="F1749" s="9" t="str">
        <f t="shared" si="27"/>
        <v>Not Delivered</v>
      </c>
      <c r="G1749" s="9" t="b">
        <v>0</v>
      </c>
      <c r="H1749" s="9" t="s">
        <v>4</v>
      </c>
      <c r="I1749" s="8">
        <v>6799</v>
      </c>
      <c r="J1749" s="10">
        <v>978.88</v>
      </c>
      <c r="K1749" s="10">
        <v>60.16</v>
      </c>
      <c r="L1749" s="10">
        <v>0</v>
      </c>
      <c r="M1749" s="10">
        <v>1039.04</v>
      </c>
      <c r="N1749" s="8">
        <v>11</v>
      </c>
      <c r="O1749" s="6">
        <v>3</v>
      </c>
    </row>
    <row r="1750" spans="1:15" x14ac:dyDescent="0.25">
      <c r="A1750" s="8">
        <v>38143</v>
      </c>
      <c r="B1750" s="9" t="s">
        <v>41</v>
      </c>
      <c r="C1750" s="9" t="s">
        <v>46</v>
      </c>
      <c r="D1750" s="9" t="s">
        <v>45</v>
      </c>
      <c r="E1750" s="9" t="s">
        <v>32</v>
      </c>
      <c r="F1750" s="9" t="str">
        <f t="shared" si="27"/>
        <v>Not Delivered</v>
      </c>
      <c r="G1750" s="9" t="b">
        <v>0</v>
      </c>
      <c r="H1750" s="9" t="s">
        <v>14</v>
      </c>
      <c r="I1750" s="8">
        <v>4066</v>
      </c>
      <c r="J1750" s="10">
        <v>2336.4499999999998</v>
      </c>
      <c r="K1750" s="10">
        <v>0</v>
      </c>
      <c r="L1750" s="10">
        <v>0</v>
      </c>
      <c r="M1750" s="10">
        <v>2336.4499999999998</v>
      </c>
      <c r="N1750" s="8">
        <v>11</v>
      </c>
      <c r="O1750" s="6">
        <v>3.1</v>
      </c>
    </row>
    <row r="1751" spans="1:15" x14ac:dyDescent="0.25">
      <c r="A1751" s="8">
        <v>46042</v>
      </c>
      <c r="B1751" s="9" t="s">
        <v>0</v>
      </c>
      <c r="C1751" s="9" t="s">
        <v>37</v>
      </c>
      <c r="D1751" s="9" t="s">
        <v>2</v>
      </c>
      <c r="E1751" s="9" t="s">
        <v>8</v>
      </c>
      <c r="F1751" s="9" t="str">
        <f t="shared" si="27"/>
        <v>Not Delivered</v>
      </c>
      <c r="G1751" s="9" t="b">
        <v>1</v>
      </c>
      <c r="H1751" s="9" t="s">
        <v>33</v>
      </c>
      <c r="I1751" s="8">
        <v>5585</v>
      </c>
      <c r="J1751" s="10">
        <v>1187.72</v>
      </c>
      <c r="K1751" s="10">
        <v>137.22</v>
      </c>
      <c r="L1751" s="10">
        <v>57.78</v>
      </c>
      <c r="M1751" s="10">
        <v>1382.72</v>
      </c>
      <c r="N1751" s="8">
        <v>10</v>
      </c>
    </row>
    <row r="1752" spans="1:15" x14ac:dyDescent="0.25">
      <c r="A1752" s="8">
        <v>68459</v>
      </c>
      <c r="B1752" s="9" t="s">
        <v>39</v>
      </c>
      <c r="C1752" s="9" t="s">
        <v>58</v>
      </c>
      <c r="D1752" s="9" t="s">
        <v>19</v>
      </c>
      <c r="E1752" s="9" t="s">
        <v>3</v>
      </c>
      <c r="F1752" s="9" t="str">
        <f t="shared" si="27"/>
        <v>Not Delivered</v>
      </c>
      <c r="G1752" s="9" t="b">
        <v>0</v>
      </c>
      <c r="H1752" s="9" t="s">
        <v>28</v>
      </c>
      <c r="I1752" s="8">
        <v>3435</v>
      </c>
      <c r="J1752" s="10">
        <v>1156.71</v>
      </c>
      <c r="K1752" s="10">
        <v>0</v>
      </c>
      <c r="L1752" s="10">
        <v>0</v>
      </c>
      <c r="M1752" s="10">
        <v>1156.71</v>
      </c>
      <c r="N1752" s="8">
        <v>9</v>
      </c>
      <c r="O1752" s="6">
        <v>1.6</v>
      </c>
    </row>
    <row r="1753" spans="1:15" x14ac:dyDescent="0.25">
      <c r="A1753" s="8">
        <v>14541</v>
      </c>
      <c r="B1753" s="9" t="s">
        <v>0</v>
      </c>
      <c r="C1753" s="9" t="s">
        <v>53</v>
      </c>
      <c r="D1753" s="9" t="s">
        <v>45</v>
      </c>
      <c r="E1753" s="9" t="s">
        <v>21</v>
      </c>
      <c r="F1753" s="9" t="str">
        <f t="shared" si="27"/>
        <v>Not Delivered</v>
      </c>
      <c r="G1753" s="9" t="b">
        <v>1</v>
      </c>
      <c r="H1753" s="9" t="s">
        <v>4</v>
      </c>
      <c r="I1753" s="8">
        <v>5026</v>
      </c>
      <c r="J1753" s="10">
        <v>894.76</v>
      </c>
      <c r="K1753" s="10">
        <v>57.63</v>
      </c>
      <c r="L1753" s="10">
        <v>28.25</v>
      </c>
      <c r="M1753" s="10">
        <v>980.64</v>
      </c>
      <c r="N1753" s="8">
        <v>2</v>
      </c>
      <c r="O1753" s="6">
        <v>1.5</v>
      </c>
    </row>
    <row r="1754" spans="1:15" x14ac:dyDescent="0.25">
      <c r="A1754" s="8">
        <v>94840</v>
      </c>
      <c r="B1754" s="9" t="s">
        <v>23</v>
      </c>
      <c r="C1754" s="9" t="s">
        <v>48</v>
      </c>
      <c r="D1754" s="9" t="s">
        <v>38</v>
      </c>
      <c r="E1754" s="9" t="s">
        <v>17</v>
      </c>
      <c r="F1754" s="9" t="str">
        <f t="shared" si="27"/>
        <v>Not Delivered</v>
      </c>
      <c r="G1754" s="9" t="b">
        <v>1</v>
      </c>
      <c r="H1754" s="9" t="s">
        <v>14</v>
      </c>
      <c r="I1754" s="8">
        <v>5835</v>
      </c>
      <c r="J1754" s="10">
        <v>1137.97</v>
      </c>
      <c r="K1754" s="10">
        <v>91.59</v>
      </c>
      <c r="L1754" s="10">
        <v>36.36</v>
      </c>
      <c r="M1754" s="10">
        <v>1265.92</v>
      </c>
      <c r="N1754" s="8">
        <v>1</v>
      </c>
      <c r="O1754" s="6">
        <v>2.9</v>
      </c>
    </row>
    <row r="1755" spans="1:15" x14ac:dyDescent="0.25">
      <c r="A1755" s="8">
        <v>75390</v>
      </c>
      <c r="B1755" s="9" t="s">
        <v>0</v>
      </c>
      <c r="C1755" s="9" t="s">
        <v>53</v>
      </c>
      <c r="D1755" s="9" t="s">
        <v>38</v>
      </c>
      <c r="E1755" s="9" t="s">
        <v>17</v>
      </c>
      <c r="F1755" s="9" t="str">
        <f t="shared" si="27"/>
        <v>Not Delivered</v>
      </c>
      <c r="G1755" s="9" t="b">
        <v>0</v>
      </c>
      <c r="H1755" s="9" t="s">
        <v>9</v>
      </c>
      <c r="I1755" s="8">
        <v>7750</v>
      </c>
      <c r="J1755" s="10">
        <v>1137.1400000000001</v>
      </c>
      <c r="K1755" s="10">
        <v>108.78</v>
      </c>
      <c r="L1755" s="10">
        <v>0</v>
      </c>
      <c r="M1755" s="10">
        <v>1245.92</v>
      </c>
      <c r="N1755" s="8">
        <v>12</v>
      </c>
      <c r="O1755" s="6">
        <v>3.4</v>
      </c>
    </row>
    <row r="1756" spans="1:15" x14ac:dyDescent="0.25">
      <c r="A1756" s="8">
        <v>82179</v>
      </c>
      <c r="B1756" s="9" t="s">
        <v>5</v>
      </c>
      <c r="C1756" s="9" t="s">
        <v>36</v>
      </c>
      <c r="E1756" s="9" t="s">
        <v>17</v>
      </c>
      <c r="F1756" s="9" t="str">
        <f t="shared" si="27"/>
        <v>Not Delivered</v>
      </c>
      <c r="G1756" s="9" t="b">
        <v>0</v>
      </c>
      <c r="H1756" s="9" t="s">
        <v>33</v>
      </c>
      <c r="I1756" s="8">
        <v>8848</v>
      </c>
      <c r="J1756" s="10">
        <v>603.66</v>
      </c>
      <c r="K1756" s="10">
        <v>144.53</v>
      </c>
      <c r="L1756" s="10">
        <v>0</v>
      </c>
      <c r="M1756" s="10">
        <v>748.19</v>
      </c>
      <c r="N1756" s="8">
        <v>4</v>
      </c>
      <c r="O1756" s="6">
        <v>2.8</v>
      </c>
    </row>
    <row r="1757" spans="1:15" x14ac:dyDescent="0.25">
      <c r="A1757" s="8">
        <v>17992</v>
      </c>
      <c r="B1757" s="9" t="s">
        <v>10</v>
      </c>
      <c r="C1757" s="9" t="s">
        <v>29</v>
      </c>
      <c r="D1757" s="9" t="s">
        <v>2</v>
      </c>
      <c r="E1757" s="9" t="s">
        <v>8</v>
      </c>
      <c r="F1757" s="9" t="str">
        <f t="shared" si="27"/>
        <v>Not Delivered</v>
      </c>
      <c r="G1757" s="9" t="b">
        <v>0</v>
      </c>
      <c r="H1757" s="9" t="s">
        <v>9</v>
      </c>
      <c r="I1757" s="8">
        <v>2437</v>
      </c>
      <c r="J1757" s="10">
        <v>374.25</v>
      </c>
      <c r="K1757" s="10">
        <v>53.18</v>
      </c>
      <c r="L1757" s="10">
        <v>0</v>
      </c>
      <c r="M1757" s="10">
        <v>427.43</v>
      </c>
      <c r="N1757" s="8">
        <v>11</v>
      </c>
      <c r="O1757" s="6">
        <v>4.2</v>
      </c>
    </row>
    <row r="1758" spans="1:15" x14ac:dyDescent="0.25">
      <c r="A1758" s="8">
        <v>46670</v>
      </c>
      <c r="B1758" s="9" t="s">
        <v>23</v>
      </c>
      <c r="C1758" s="9" t="s">
        <v>24</v>
      </c>
      <c r="D1758" s="9" t="s">
        <v>25</v>
      </c>
      <c r="E1758" s="9" t="s">
        <v>13</v>
      </c>
      <c r="F1758" s="9" t="str">
        <f t="shared" si="27"/>
        <v>Delivered</v>
      </c>
      <c r="G1758" s="9" t="b">
        <v>1</v>
      </c>
      <c r="H1758" s="9" t="s">
        <v>18</v>
      </c>
      <c r="I1758" s="8">
        <v>7275</v>
      </c>
      <c r="J1758" s="10">
        <v>2259.11</v>
      </c>
      <c r="K1758" s="10">
        <v>0</v>
      </c>
      <c r="L1758" s="10">
        <v>98.81</v>
      </c>
      <c r="M1758" s="10">
        <v>2357.92</v>
      </c>
      <c r="N1758" s="8">
        <v>5</v>
      </c>
      <c r="O1758" s="6">
        <v>4.5</v>
      </c>
    </row>
    <row r="1759" spans="1:15" x14ac:dyDescent="0.25">
      <c r="A1759" s="8">
        <v>27987</v>
      </c>
      <c r="B1759" s="9" t="s">
        <v>41</v>
      </c>
      <c r="C1759" s="9" t="s">
        <v>42</v>
      </c>
      <c r="E1759" s="9" t="s">
        <v>17</v>
      </c>
      <c r="F1759" s="9" t="str">
        <f t="shared" si="27"/>
        <v>Not Delivered</v>
      </c>
      <c r="G1759" s="9" t="b">
        <v>0</v>
      </c>
      <c r="H1759" s="9" t="s">
        <v>14</v>
      </c>
      <c r="I1759" s="8">
        <v>7868</v>
      </c>
      <c r="J1759" s="10">
        <v>1418.86</v>
      </c>
      <c r="K1759" s="10">
        <v>83.06</v>
      </c>
      <c r="L1759" s="10">
        <v>0</v>
      </c>
      <c r="M1759" s="10">
        <v>1501.92</v>
      </c>
      <c r="N1759" s="8">
        <v>8</v>
      </c>
    </row>
    <row r="1760" spans="1:15" x14ac:dyDescent="0.25">
      <c r="A1760" s="8">
        <v>36143</v>
      </c>
      <c r="B1760" s="9" t="s">
        <v>10</v>
      </c>
      <c r="C1760" s="9" t="s">
        <v>15</v>
      </c>
      <c r="D1760" s="9" t="s">
        <v>38</v>
      </c>
      <c r="E1760" s="9" t="s">
        <v>32</v>
      </c>
      <c r="F1760" s="9" t="str">
        <f t="shared" si="27"/>
        <v>Not Delivered</v>
      </c>
      <c r="G1760" s="9" t="b">
        <v>1</v>
      </c>
      <c r="H1760" s="9" t="s">
        <v>9</v>
      </c>
      <c r="I1760" s="8">
        <v>9614</v>
      </c>
      <c r="J1760" s="10">
        <v>1397.92</v>
      </c>
      <c r="K1760" s="10">
        <v>118.44</v>
      </c>
      <c r="L1760" s="10">
        <v>118.95</v>
      </c>
      <c r="M1760" s="10">
        <v>1635.31</v>
      </c>
      <c r="N1760" s="8">
        <v>11</v>
      </c>
      <c r="O1760" s="6">
        <v>2</v>
      </c>
    </row>
    <row r="1761" spans="1:15" x14ac:dyDescent="0.25">
      <c r="A1761" s="8">
        <v>42656</v>
      </c>
      <c r="B1761" s="9" t="s">
        <v>39</v>
      </c>
      <c r="C1761" s="9" t="s">
        <v>40</v>
      </c>
      <c r="D1761" s="9" t="s">
        <v>45</v>
      </c>
      <c r="E1761" s="9" t="s">
        <v>3</v>
      </c>
      <c r="F1761" s="9" t="str">
        <f t="shared" si="27"/>
        <v>Not Delivered</v>
      </c>
      <c r="G1761" s="9" t="b">
        <v>0</v>
      </c>
      <c r="H1761" s="9" t="s">
        <v>33</v>
      </c>
      <c r="I1761" s="8">
        <v>9907</v>
      </c>
      <c r="J1761" s="10">
        <v>307.14</v>
      </c>
      <c r="K1761" s="10">
        <v>90.82</v>
      </c>
      <c r="L1761" s="10">
        <v>0</v>
      </c>
      <c r="M1761" s="10">
        <v>397.96</v>
      </c>
      <c r="N1761" s="8">
        <v>7</v>
      </c>
      <c r="O1761" s="6">
        <v>1.7</v>
      </c>
    </row>
    <row r="1762" spans="1:15" x14ac:dyDescent="0.25">
      <c r="A1762" s="8">
        <v>12559</v>
      </c>
      <c r="B1762" s="9" t="s">
        <v>23</v>
      </c>
      <c r="C1762" s="9" t="s">
        <v>24</v>
      </c>
      <c r="D1762" s="9" t="s">
        <v>2</v>
      </c>
      <c r="E1762" s="9" t="s">
        <v>32</v>
      </c>
      <c r="F1762" s="9" t="str">
        <f t="shared" si="27"/>
        <v>Not Delivered</v>
      </c>
      <c r="G1762" s="9" t="b">
        <v>1</v>
      </c>
      <c r="H1762" s="9" t="s">
        <v>4</v>
      </c>
      <c r="I1762" s="8">
        <v>7266</v>
      </c>
      <c r="J1762" s="10">
        <v>2749.34</v>
      </c>
      <c r="K1762" s="10">
        <v>51.75</v>
      </c>
      <c r="L1762" s="10">
        <v>202.39</v>
      </c>
      <c r="M1762" s="10">
        <v>3003.48</v>
      </c>
      <c r="N1762" s="8">
        <v>2</v>
      </c>
    </row>
    <row r="1763" spans="1:15" x14ac:dyDescent="0.25">
      <c r="A1763" s="8">
        <v>57069</v>
      </c>
      <c r="B1763" s="9" t="s">
        <v>0</v>
      </c>
      <c r="C1763" s="9" t="s">
        <v>51</v>
      </c>
      <c r="D1763" s="9" t="s">
        <v>16</v>
      </c>
      <c r="E1763" s="9" t="s">
        <v>32</v>
      </c>
      <c r="F1763" s="9" t="str">
        <f t="shared" si="27"/>
        <v>Not Delivered</v>
      </c>
      <c r="G1763" s="9" t="b">
        <v>0</v>
      </c>
      <c r="H1763" s="9" t="s">
        <v>4</v>
      </c>
      <c r="I1763" s="8">
        <v>8859</v>
      </c>
      <c r="J1763" s="10">
        <v>1094.96</v>
      </c>
      <c r="K1763" s="10">
        <v>65.09</v>
      </c>
      <c r="L1763" s="10">
        <v>0</v>
      </c>
      <c r="M1763" s="10">
        <v>1160.05</v>
      </c>
      <c r="N1763" s="8">
        <v>2</v>
      </c>
    </row>
    <row r="1764" spans="1:15" x14ac:dyDescent="0.25">
      <c r="A1764" s="8">
        <v>81371</v>
      </c>
      <c r="B1764" s="9" t="s">
        <v>23</v>
      </c>
      <c r="C1764" s="9" t="s">
        <v>34</v>
      </c>
      <c r="D1764" s="9" t="s">
        <v>38</v>
      </c>
      <c r="E1764" s="9" t="s">
        <v>32</v>
      </c>
      <c r="F1764" s="9" t="str">
        <f t="shared" si="27"/>
        <v>Not Delivered</v>
      </c>
      <c r="G1764" s="9" t="b">
        <v>0</v>
      </c>
      <c r="H1764" s="9" t="s">
        <v>22</v>
      </c>
      <c r="I1764" s="8">
        <v>8940</v>
      </c>
      <c r="J1764" s="10">
        <v>1055.58</v>
      </c>
      <c r="L1764" s="10">
        <v>0</v>
      </c>
      <c r="M1764" s="10">
        <v>1175.69</v>
      </c>
      <c r="N1764" s="8">
        <v>4</v>
      </c>
      <c r="O1764" s="6">
        <v>2.9</v>
      </c>
    </row>
    <row r="1765" spans="1:15" x14ac:dyDescent="0.25">
      <c r="A1765" s="8">
        <v>55093</v>
      </c>
      <c r="B1765" s="9" t="s">
        <v>39</v>
      </c>
      <c r="C1765" s="9" t="s">
        <v>40</v>
      </c>
      <c r="D1765" s="9" t="s">
        <v>30</v>
      </c>
      <c r="E1765" s="9" t="s">
        <v>17</v>
      </c>
      <c r="F1765" s="9" t="str">
        <f t="shared" si="27"/>
        <v>Not Delivered</v>
      </c>
      <c r="G1765" s="9" t="b">
        <v>1</v>
      </c>
      <c r="H1765" s="9" t="s">
        <v>22</v>
      </c>
      <c r="I1765" s="8">
        <v>9231</v>
      </c>
      <c r="J1765" s="10">
        <v>1253.8699999999999</v>
      </c>
      <c r="K1765" s="10">
        <v>116.41</v>
      </c>
      <c r="L1765" s="10">
        <v>35.79</v>
      </c>
      <c r="M1765" s="10">
        <v>1406.07</v>
      </c>
      <c r="N1765" s="8">
        <v>2</v>
      </c>
      <c r="O1765" s="6">
        <v>2</v>
      </c>
    </row>
    <row r="1766" spans="1:15" x14ac:dyDescent="0.25">
      <c r="A1766" s="8">
        <v>52153</v>
      </c>
      <c r="B1766" s="9" t="s">
        <v>0</v>
      </c>
      <c r="C1766" s="9" t="s">
        <v>43</v>
      </c>
      <c r="D1766" s="9" t="s">
        <v>2</v>
      </c>
      <c r="E1766" s="9" t="s">
        <v>21</v>
      </c>
      <c r="F1766" s="9" t="str">
        <f t="shared" si="27"/>
        <v>Not Delivered</v>
      </c>
      <c r="G1766" s="9" t="b">
        <v>1</v>
      </c>
      <c r="H1766" s="9" t="s">
        <v>14</v>
      </c>
      <c r="I1766" s="8">
        <v>7363</v>
      </c>
      <c r="J1766" s="10">
        <v>710.41</v>
      </c>
      <c r="K1766" s="10">
        <v>0</v>
      </c>
      <c r="L1766" s="10">
        <v>82.74</v>
      </c>
      <c r="M1766" s="10">
        <v>793.15</v>
      </c>
      <c r="N1766" s="8">
        <v>13</v>
      </c>
      <c r="O1766" s="6">
        <v>1.2</v>
      </c>
    </row>
    <row r="1767" spans="1:15" x14ac:dyDescent="0.25">
      <c r="A1767" s="8">
        <v>45446</v>
      </c>
      <c r="B1767" s="9" t="s">
        <v>23</v>
      </c>
      <c r="C1767" s="9" t="s">
        <v>48</v>
      </c>
      <c r="D1767" s="9" t="s">
        <v>12</v>
      </c>
      <c r="E1767" s="9" t="s">
        <v>13</v>
      </c>
      <c r="F1767" s="9" t="str">
        <f t="shared" si="27"/>
        <v>Delivered</v>
      </c>
      <c r="G1767" s="9" t="b">
        <v>1</v>
      </c>
      <c r="H1767" s="9" t="s">
        <v>22</v>
      </c>
      <c r="I1767" s="8">
        <v>3946</v>
      </c>
      <c r="J1767" s="10">
        <v>2588.29</v>
      </c>
      <c r="K1767" s="10">
        <v>0</v>
      </c>
      <c r="L1767" s="10">
        <v>92.53</v>
      </c>
      <c r="M1767" s="10">
        <v>2680.82</v>
      </c>
      <c r="N1767" s="8">
        <v>2</v>
      </c>
      <c r="O1767" s="6">
        <v>1.7</v>
      </c>
    </row>
    <row r="1768" spans="1:15" x14ac:dyDescent="0.25">
      <c r="A1768" s="8">
        <v>13416</v>
      </c>
      <c r="B1768" s="9" t="s">
        <v>10</v>
      </c>
      <c r="C1768" s="9" t="s">
        <v>15</v>
      </c>
      <c r="D1768" s="9" t="s">
        <v>25</v>
      </c>
      <c r="E1768" s="9" t="s">
        <v>17</v>
      </c>
      <c r="F1768" s="9" t="str">
        <f t="shared" si="27"/>
        <v>Not Delivered</v>
      </c>
      <c r="G1768" s="9" t="b">
        <v>1</v>
      </c>
      <c r="H1768" s="9" t="s">
        <v>14</v>
      </c>
      <c r="I1768" s="8">
        <v>6224</v>
      </c>
      <c r="J1768" s="10">
        <v>1359.22</v>
      </c>
      <c r="K1768" s="10">
        <v>121.12</v>
      </c>
      <c r="L1768" s="10">
        <v>231.52</v>
      </c>
      <c r="M1768" s="10">
        <v>1711.86</v>
      </c>
      <c r="N1768" s="8">
        <v>9</v>
      </c>
      <c r="O1768" s="6">
        <v>2.6</v>
      </c>
    </row>
    <row r="1769" spans="1:15" x14ac:dyDescent="0.25">
      <c r="A1769" s="8">
        <v>88265</v>
      </c>
      <c r="B1769" s="9" t="s">
        <v>41</v>
      </c>
      <c r="C1769" s="9" t="s">
        <v>47</v>
      </c>
      <c r="D1769" s="9" t="s">
        <v>27</v>
      </c>
      <c r="E1769" s="9" t="s">
        <v>17</v>
      </c>
      <c r="F1769" s="9" t="str">
        <f t="shared" si="27"/>
        <v>Not Delivered</v>
      </c>
      <c r="G1769" s="9" t="b">
        <v>1</v>
      </c>
      <c r="H1769" s="9" t="s">
        <v>4</v>
      </c>
      <c r="I1769" s="8">
        <v>4588</v>
      </c>
      <c r="J1769" s="10">
        <v>1467.84</v>
      </c>
      <c r="K1769" s="10">
        <v>0</v>
      </c>
      <c r="L1769" s="10">
        <v>196.4</v>
      </c>
      <c r="M1769" s="10">
        <v>1664.24</v>
      </c>
      <c r="N1769" s="8">
        <v>5</v>
      </c>
      <c r="O1769" s="6">
        <v>4.3</v>
      </c>
    </row>
    <row r="1770" spans="1:15" x14ac:dyDescent="0.25">
      <c r="A1770" s="8">
        <v>13840</v>
      </c>
      <c r="B1770" s="9" t="s">
        <v>39</v>
      </c>
      <c r="C1770" s="9" t="s">
        <v>40</v>
      </c>
      <c r="D1770" s="9" t="s">
        <v>35</v>
      </c>
      <c r="E1770" s="9" t="s">
        <v>21</v>
      </c>
      <c r="F1770" s="9" t="str">
        <f t="shared" si="27"/>
        <v>Not Delivered</v>
      </c>
      <c r="G1770" s="9" t="b">
        <v>0</v>
      </c>
      <c r="H1770" s="9" t="s">
        <v>33</v>
      </c>
      <c r="I1770" s="8">
        <v>5602</v>
      </c>
      <c r="J1770" s="10">
        <v>889.42</v>
      </c>
      <c r="K1770" s="10">
        <v>143.24</v>
      </c>
      <c r="L1770" s="10">
        <v>0</v>
      </c>
      <c r="M1770" s="10">
        <v>1032.6600000000001</v>
      </c>
      <c r="N1770" s="8">
        <v>11</v>
      </c>
      <c r="O1770" s="6">
        <v>2</v>
      </c>
    </row>
    <row r="1771" spans="1:15" x14ac:dyDescent="0.25">
      <c r="A1771" s="8">
        <v>17679</v>
      </c>
      <c r="B1771" s="9" t="s">
        <v>0</v>
      </c>
      <c r="C1771" s="9" t="s">
        <v>37</v>
      </c>
      <c r="D1771" s="9" t="s">
        <v>2</v>
      </c>
      <c r="E1771" s="9" t="s">
        <v>3</v>
      </c>
      <c r="F1771" s="9" t="str">
        <f t="shared" si="27"/>
        <v>Not Delivered</v>
      </c>
      <c r="G1771" s="9" t="b">
        <v>0</v>
      </c>
      <c r="H1771" s="9" t="s">
        <v>22</v>
      </c>
      <c r="I1771" s="8">
        <v>8728</v>
      </c>
      <c r="J1771" s="10">
        <v>1202.3800000000001</v>
      </c>
      <c r="K1771" s="10">
        <v>0</v>
      </c>
      <c r="L1771" s="10">
        <v>0</v>
      </c>
      <c r="M1771" s="10">
        <v>1202.3800000000001</v>
      </c>
      <c r="N1771" s="8">
        <v>12</v>
      </c>
      <c r="O1771" s="6">
        <v>4</v>
      </c>
    </row>
    <row r="1772" spans="1:15" x14ac:dyDescent="0.25">
      <c r="A1772" s="8">
        <v>79393</v>
      </c>
      <c r="B1772" s="9" t="s">
        <v>23</v>
      </c>
      <c r="C1772" s="9" t="s">
        <v>24</v>
      </c>
      <c r="D1772" s="9" t="s">
        <v>7</v>
      </c>
      <c r="E1772" s="9" t="s">
        <v>17</v>
      </c>
      <c r="F1772" s="9" t="str">
        <f t="shared" si="27"/>
        <v>Not Delivered</v>
      </c>
      <c r="G1772" s="9" t="b">
        <v>1</v>
      </c>
      <c r="H1772" s="9" t="s">
        <v>33</v>
      </c>
      <c r="I1772" s="8">
        <v>6856</v>
      </c>
      <c r="J1772" s="10">
        <v>994.15</v>
      </c>
      <c r="K1772" s="10">
        <v>0</v>
      </c>
      <c r="L1772" s="10">
        <v>271.3</v>
      </c>
      <c r="M1772" s="10">
        <v>1265.45</v>
      </c>
      <c r="N1772" s="8">
        <v>3</v>
      </c>
    </row>
    <row r="1773" spans="1:15" x14ac:dyDescent="0.25">
      <c r="A1773" s="8">
        <v>86544</v>
      </c>
      <c r="B1773" s="9" t="s">
        <v>0</v>
      </c>
      <c r="C1773" s="9" t="s">
        <v>1</v>
      </c>
      <c r="D1773" s="9" t="s">
        <v>50</v>
      </c>
      <c r="E1773" s="9" t="s">
        <v>8</v>
      </c>
      <c r="F1773" s="9" t="str">
        <f t="shared" si="27"/>
        <v>Not Delivered</v>
      </c>
      <c r="G1773" s="9" t="b">
        <v>0</v>
      </c>
      <c r="H1773" s="9" t="s">
        <v>9</v>
      </c>
      <c r="I1773" s="8">
        <v>4813</v>
      </c>
      <c r="J1773" s="10">
        <v>225.03</v>
      </c>
      <c r="K1773" s="10">
        <v>37.229999999999997</v>
      </c>
      <c r="L1773" s="10">
        <v>0</v>
      </c>
      <c r="M1773" s="10">
        <v>262.26</v>
      </c>
      <c r="N1773" s="8">
        <v>9</v>
      </c>
      <c r="O1773" s="6">
        <v>4.9000000000000004</v>
      </c>
    </row>
    <row r="1774" spans="1:15" x14ac:dyDescent="0.25">
      <c r="A1774" s="8">
        <v>30922</v>
      </c>
      <c r="B1774" s="9" t="s">
        <v>41</v>
      </c>
      <c r="C1774" s="9" t="s">
        <v>47</v>
      </c>
      <c r="D1774" s="9" t="s">
        <v>2</v>
      </c>
      <c r="E1774" s="9" t="s">
        <v>21</v>
      </c>
      <c r="F1774" s="9" t="str">
        <f t="shared" si="27"/>
        <v>Not Delivered</v>
      </c>
      <c r="G1774" s="9" t="b">
        <v>0</v>
      </c>
      <c r="H1774" s="9" t="s">
        <v>18</v>
      </c>
      <c r="I1774" s="8">
        <v>2640</v>
      </c>
      <c r="J1774" s="10">
        <v>498.1</v>
      </c>
      <c r="K1774" s="10">
        <v>89.7</v>
      </c>
      <c r="L1774" s="10">
        <v>0</v>
      </c>
      <c r="M1774" s="10">
        <v>587.79999999999995</v>
      </c>
      <c r="N1774" s="8">
        <v>3</v>
      </c>
      <c r="O1774" s="6">
        <v>2.6</v>
      </c>
    </row>
    <row r="1775" spans="1:15" x14ac:dyDescent="0.25">
      <c r="A1775" s="8">
        <v>42487</v>
      </c>
      <c r="B1775" s="9" t="s">
        <v>10</v>
      </c>
      <c r="C1775" s="9" t="s">
        <v>15</v>
      </c>
      <c r="D1775" s="9" t="s">
        <v>19</v>
      </c>
      <c r="E1775" s="9" t="s">
        <v>3</v>
      </c>
      <c r="F1775" s="9" t="str">
        <f t="shared" si="27"/>
        <v>Not Delivered</v>
      </c>
      <c r="G1775" s="9" t="b">
        <v>1</v>
      </c>
      <c r="H1775" s="9" t="s">
        <v>9</v>
      </c>
      <c r="I1775" s="8">
        <v>4951</v>
      </c>
      <c r="J1775" s="10">
        <v>1412.24</v>
      </c>
      <c r="K1775" s="10">
        <v>0</v>
      </c>
      <c r="L1775" s="10">
        <v>55.54</v>
      </c>
      <c r="M1775" s="10">
        <v>1467.78</v>
      </c>
      <c r="N1775" s="8">
        <v>9</v>
      </c>
    </row>
    <row r="1776" spans="1:15" x14ac:dyDescent="0.25">
      <c r="A1776" s="8">
        <v>44934</v>
      </c>
      <c r="B1776" s="9" t="s">
        <v>39</v>
      </c>
      <c r="C1776" s="9" t="s">
        <v>57</v>
      </c>
      <c r="D1776" s="9" t="s">
        <v>19</v>
      </c>
      <c r="E1776" s="9" t="s">
        <v>21</v>
      </c>
      <c r="F1776" s="9" t="str">
        <f t="shared" si="27"/>
        <v>Not Delivered</v>
      </c>
      <c r="G1776" s="9" t="b">
        <v>1</v>
      </c>
      <c r="H1776" s="9" t="s">
        <v>9</v>
      </c>
      <c r="I1776" s="8">
        <v>9743</v>
      </c>
      <c r="J1776" s="10">
        <v>1127.25</v>
      </c>
      <c r="K1776" s="10">
        <v>120.62</v>
      </c>
      <c r="L1776" s="10">
        <v>33.700000000000003</v>
      </c>
      <c r="M1776" s="10">
        <v>1281.57</v>
      </c>
      <c r="N1776" s="8">
        <v>4</v>
      </c>
      <c r="O1776" s="6">
        <v>3.2</v>
      </c>
    </row>
    <row r="1777" spans="1:15" x14ac:dyDescent="0.25">
      <c r="A1777" s="8">
        <v>17328</v>
      </c>
      <c r="B1777" s="9" t="s">
        <v>23</v>
      </c>
      <c r="C1777" s="9" t="s">
        <v>60</v>
      </c>
      <c r="D1777" s="9" t="s">
        <v>30</v>
      </c>
      <c r="E1777" s="9" t="s">
        <v>32</v>
      </c>
      <c r="F1777" s="9" t="str">
        <f t="shared" si="27"/>
        <v>Not Delivered</v>
      </c>
      <c r="G1777" s="9" t="b">
        <v>0</v>
      </c>
      <c r="H1777" s="9" t="s">
        <v>18</v>
      </c>
      <c r="I1777" s="8">
        <v>4594</v>
      </c>
      <c r="J1777" s="10">
        <v>160.97</v>
      </c>
      <c r="K1777" s="10">
        <v>72.39</v>
      </c>
      <c r="L1777" s="10">
        <v>0</v>
      </c>
      <c r="M1777" s="10">
        <v>233.36</v>
      </c>
      <c r="N1777" s="8">
        <v>13</v>
      </c>
      <c r="O1777" s="6">
        <v>2</v>
      </c>
    </row>
    <row r="1778" spans="1:15" x14ac:dyDescent="0.25">
      <c r="A1778" s="8">
        <v>85457</v>
      </c>
      <c r="B1778" s="9" t="s">
        <v>0</v>
      </c>
      <c r="C1778" s="9" t="s">
        <v>1</v>
      </c>
      <c r="D1778" s="9" t="s">
        <v>2</v>
      </c>
      <c r="E1778" s="9" t="s">
        <v>21</v>
      </c>
      <c r="F1778" s="9" t="str">
        <f t="shared" si="27"/>
        <v>Not Delivered</v>
      </c>
      <c r="G1778" s="9" t="b">
        <v>0</v>
      </c>
      <c r="H1778" s="9" t="s">
        <v>4</v>
      </c>
      <c r="I1778" s="8">
        <v>7363</v>
      </c>
      <c r="J1778" s="10">
        <v>1693.27</v>
      </c>
      <c r="K1778" s="10">
        <v>66.180000000000007</v>
      </c>
      <c r="L1778" s="10">
        <v>0</v>
      </c>
      <c r="M1778" s="10">
        <v>1759.45</v>
      </c>
      <c r="N1778" s="8">
        <v>14</v>
      </c>
      <c r="O1778" s="6">
        <v>1.7</v>
      </c>
    </row>
    <row r="1779" spans="1:15" x14ac:dyDescent="0.25">
      <c r="A1779" s="8">
        <v>56504</v>
      </c>
      <c r="B1779" s="9" t="s">
        <v>5</v>
      </c>
      <c r="C1779" s="9" t="s">
        <v>44</v>
      </c>
      <c r="D1779" s="9" t="s">
        <v>19</v>
      </c>
      <c r="E1779" s="9" t="s">
        <v>32</v>
      </c>
      <c r="F1779" s="9" t="str">
        <f t="shared" si="27"/>
        <v>Not Delivered</v>
      </c>
      <c r="G1779" s="9" t="b">
        <v>0</v>
      </c>
      <c r="H1779" s="9" t="s">
        <v>14</v>
      </c>
      <c r="I1779" s="8">
        <v>3846</v>
      </c>
      <c r="J1779" s="10">
        <v>1115.6500000000001</v>
      </c>
      <c r="K1779" s="10">
        <v>66.400000000000006</v>
      </c>
      <c r="L1779" s="10">
        <v>0</v>
      </c>
      <c r="M1779" s="10">
        <v>1182.05</v>
      </c>
      <c r="N1779" s="8">
        <v>13</v>
      </c>
      <c r="O1779" s="6">
        <v>2</v>
      </c>
    </row>
    <row r="1780" spans="1:15" x14ac:dyDescent="0.25">
      <c r="A1780" s="8">
        <v>33081</v>
      </c>
      <c r="B1780" s="9" t="s">
        <v>41</v>
      </c>
      <c r="C1780" s="9" t="s">
        <v>46</v>
      </c>
      <c r="D1780" s="9" t="s">
        <v>35</v>
      </c>
      <c r="E1780" s="9" t="s">
        <v>8</v>
      </c>
      <c r="F1780" s="9" t="str">
        <f t="shared" si="27"/>
        <v>Not Delivered</v>
      </c>
      <c r="G1780" s="9" t="b">
        <v>1</v>
      </c>
      <c r="H1780" s="9" t="s">
        <v>4</v>
      </c>
      <c r="I1780" s="8">
        <v>4875</v>
      </c>
      <c r="J1780" s="10">
        <v>2240.4299999999998</v>
      </c>
      <c r="K1780" s="10">
        <v>139.30000000000001</v>
      </c>
      <c r="L1780" s="10">
        <v>90.73</v>
      </c>
      <c r="M1780" s="10">
        <v>2470.46</v>
      </c>
      <c r="N1780" s="8">
        <v>7</v>
      </c>
      <c r="O1780" s="6">
        <v>1.3</v>
      </c>
    </row>
    <row r="1781" spans="1:15" x14ac:dyDescent="0.25">
      <c r="A1781" s="8">
        <v>87662</v>
      </c>
      <c r="B1781" s="9" t="s">
        <v>0</v>
      </c>
      <c r="C1781" s="9" t="s">
        <v>43</v>
      </c>
      <c r="D1781" s="9" t="s">
        <v>12</v>
      </c>
      <c r="E1781" s="9" t="s">
        <v>17</v>
      </c>
      <c r="F1781" s="9" t="str">
        <f t="shared" si="27"/>
        <v>Not Delivered</v>
      </c>
      <c r="G1781" s="9" t="b">
        <v>1</v>
      </c>
      <c r="H1781" s="9" t="s">
        <v>4</v>
      </c>
      <c r="I1781" s="8">
        <v>6210</v>
      </c>
      <c r="J1781" s="10">
        <v>1656.53</v>
      </c>
      <c r="K1781" s="10">
        <v>126.8</v>
      </c>
      <c r="L1781" s="10">
        <v>218.23</v>
      </c>
      <c r="M1781" s="10">
        <v>2001.56</v>
      </c>
      <c r="N1781" s="8">
        <v>4</v>
      </c>
      <c r="O1781" s="6">
        <v>2.2000000000000002</v>
      </c>
    </row>
    <row r="1782" spans="1:15" x14ac:dyDescent="0.25">
      <c r="A1782" s="8">
        <v>57026</v>
      </c>
      <c r="B1782" s="9" t="s">
        <v>23</v>
      </c>
      <c r="C1782" s="9" t="s">
        <v>24</v>
      </c>
      <c r="D1782" s="9" t="s">
        <v>19</v>
      </c>
      <c r="E1782" s="9" t="s">
        <v>13</v>
      </c>
      <c r="F1782" s="9" t="str">
        <f t="shared" si="27"/>
        <v>Delivered</v>
      </c>
      <c r="G1782" s="9" t="b">
        <v>1</v>
      </c>
      <c r="H1782" s="9" t="s">
        <v>28</v>
      </c>
      <c r="I1782" s="8">
        <v>1462</v>
      </c>
      <c r="J1782" s="10">
        <v>2041.9</v>
      </c>
      <c r="K1782" s="10">
        <v>70.11</v>
      </c>
      <c r="L1782" s="10">
        <v>54.96</v>
      </c>
      <c r="M1782" s="10">
        <v>2166.9699999999998</v>
      </c>
      <c r="N1782" s="8">
        <v>9</v>
      </c>
      <c r="O1782" s="6">
        <v>3.9</v>
      </c>
    </row>
    <row r="1783" spans="1:15" x14ac:dyDescent="0.25">
      <c r="A1783" s="8">
        <v>56095</v>
      </c>
      <c r="B1783" s="9" t="s">
        <v>39</v>
      </c>
      <c r="C1783" s="9" t="s">
        <v>55</v>
      </c>
      <c r="D1783" s="9" t="s">
        <v>38</v>
      </c>
      <c r="E1783" s="9" t="s">
        <v>17</v>
      </c>
      <c r="F1783" s="9" t="str">
        <f t="shared" si="27"/>
        <v>Not Delivered</v>
      </c>
      <c r="G1783" s="9" t="b">
        <v>0</v>
      </c>
      <c r="H1783" s="9" t="s">
        <v>9</v>
      </c>
      <c r="I1783" s="8">
        <v>3328</v>
      </c>
      <c r="J1783" s="10">
        <v>1114.22</v>
      </c>
      <c r="K1783" s="10">
        <v>0</v>
      </c>
      <c r="L1783" s="10">
        <v>0</v>
      </c>
      <c r="M1783" s="10">
        <v>1114.22</v>
      </c>
      <c r="N1783" s="8">
        <v>6</v>
      </c>
      <c r="O1783" s="6">
        <v>4.0999999999999996</v>
      </c>
    </row>
    <row r="1784" spans="1:15" x14ac:dyDescent="0.25">
      <c r="A1784" s="8">
        <v>83807</v>
      </c>
      <c r="B1784" s="9" t="s">
        <v>39</v>
      </c>
      <c r="C1784" s="9" t="s">
        <v>58</v>
      </c>
      <c r="D1784" s="9" t="s">
        <v>30</v>
      </c>
      <c r="E1784" s="9" t="s">
        <v>21</v>
      </c>
      <c r="F1784" s="9" t="str">
        <f t="shared" si="27"/>
        <v>Not Delivered</v>
      </c>
      <c r="G1784" s="9" t="b">
        <v>0</v>
      </c>
      <c r="H1784" s="9" t="s">
        <v>4</v>
      </c>
      <c r="I1784" s="8">
        <v>4084</v>
      </c>
      <c r="J1784" s="10">
        <v>627.61</v>
      </c>
      <c r="K1784" s="10">
        <v>92.25</v>
      </c>
      <c r="L1784" s="10">
        <v>0</v>
      </c>
      <c r="M1784" s="10">
        <v>719.86</v>
      </c>
      <c r="N1784" s="8">
        <v>14</v>
      </c>
      <c r="O1784" s="6">
        <v>1</v>
      </c>
    </row>
    <row r="1785" spans="1:15" x14ac:dyDescent="0.25">
      <c r="A1785" s="8">
        <v>74517</v>
      </c>
      <c r="B1785" s="9" t="s">
        <v>0</v>
      </c>
      <c r="C1785" s="9" t="s">
        <v>51</v>
      </c>
      <c r="D1785" s="9" t="s">
        <v>30</v>
      </c>
      <c r="E1785" s="9" t="s">
        <v>8</v>
      </c>
      <c r="F1785" s="9" t="str">
        <f t="shared" si="27"/>
        <v>Not Delivered</v>
      </c>
      <c r="G1785" s="9" t="b">
        <v>1</v>
      </c>
      <c r="H1785" s="9" t="s">
        <v>4</v>
      </c>
      <c r="I1785" s="8">
        <v>9882</v>
      </c>
      <c r="J1785" s="10">
        <v>558.15</v>
      </c>
      <c r="K1785" s="10">
        <v>0</v>
      </c>
      <c r="L1785" s="10">
        <v>241</v>
      </c>
      <c r="M1785" s="10">
        <v>799.15</v>
      </c>
      <c r="N1785" s="8">
        <v>7</v>
      </c>
    </row>
    <row r="1786" spans="1:15" x14ac:dyDescent="0.25">
      <c r="A1786" s="8">
        <v>50508</v>
      </c>
      <c r="B1786" s="9" t="s">
        <v>10</v>
      </c>
      <c r="C1786" s="9" t="s">
        <v>15</v>
      </c>
      <c r="D1786" s="9" t="s">
        <v>27</v>
      </c>
      <c r="E1786" s="9" t="s">
        <v>17</v>
      </c>
      <c r="F1786" s="9" t="str">
        <f t="shared" si="27"/>
        <v>Not Delivered</v>
      </c>
      <c r="G1786" s="9" t="b">
        <v>0</v>
      </c>
      <c r="H1786" s="9" t="s">
        <v>22</v>
      </c>
      <c r="I1786" s="8">
        <v>3876</v>
      </c>
      <c r="J1786" s="10">
        <v>896.1</v>
      </c>
      <c r="K1786" s="10">
        <v>114.33</v>
      </c>
      <c r="L1786" s="10">
        <v>0</v>
      </c>
      <c r="M1786" s="10">
        <v>1010.43</v>
      </c>
      <c r="N1786" s="8">
        <v>6</v>
      </c>
      <c r="O1786" s="6">
        <v>1.7</v>
      </c>
    </row>
    <row r="1787" spans="1:15" x14ac:dyDescent="0.25">
      <c r="A1787" s="8">
        <v>74282</v>
      </c>
      <c r="B1787" s="9" t="s">
        <v>0</v>
      </c>
      <c r="C1787" s="9" t="s">
        <v>53</v>
      </c>
      <c r="D1787" s="9" t="s">
        <v>35</v>
      </c>
      <c r="E1787" s="9" t="s">
        <v>21</v>
      </c>
      <c r="F1787" s="9" t="str">
        <f t="shared" si="27"/>
        <v>Not Delivered</v>
      </c>
      <c r="G1787" s="9" t="b">
        <v>0</v>
      </c>
      <c r="H1787" s="9" t="s">
        <v>14</v>
      </c>
      <c r="I1787" s="8">
        <v>1621</v>
      </c>
      <c r="J1787" s="10">
        <v>1307.47</v>
      </c>
      <c r="K1787" s="10">
        <v>119.59</v>
      </c>
      <c r="L1787" s="10">
        <v>0</v>
      </c>
      <c r="M1787" s="10">
        <v>1427.06</v>
      </c>
      <c r="N1787" s="8">
        <v>9</v>
      </c>
      <c r="O1787" s="6">
        <v>1.7</v>
      </c>
    </row>
    <row r="1788" spans="1:15" x14ac:dyDescent="0.25">
      <c r="A1788" s="8">
        <v>21830</v>
      </c>
      <c r="B1788" s="9" t="s">
        <v>5</v>
      </c>
      <c r="C1788" s="9" t="s">
        <v>36</v>
      </c>
      <c r="D1788" s="9" t="s">
        <v>27</v>
      </c>
      <c r="E1788" s="9" t="s">
        <v>17</v>
      </c>
      <c r="F1788" s="9" t="str">
        <f t="shared" si="27"/>
        <v>Not Delivered</v>
      </c>
      <c r="G1788" s="9" t="b">
        <v>1</v>
      </c>
      <c r="H1788" s="9" t="s">
        <v>14</v>
      </c>
      <c r="I1788" s="8">
        <v>1920</v>
      </c>
      <c r="J1788" s="10">
        <v>944.45</v>
      </c>
      <c r="K1788" s="10">
        <v>0</v>
      </c>
      <c r="L1788" s="10">
        <v>132.62</v>
      </c>
      <c r="M1788" s="10">
        <v>1077.07</v>
      </c>
      <c r="N1788" s="8">
        <v>10</v>
      </c>
      <c r="O1788" s="6">
        <v>2.7</v>
      </c>
    </row>
    <row r="1789" spans="1:15" x14ac:dyDescent="0.25">
      <c r="A1789" s="8">
        <v>40490</v>
      </c>
      <c r="B1789" s="9" t="s">
        <v>39</v>
      </c>
      <c r="C1789" s="9" t="s">
        <v>52</v>
      </c>
      <c r="D1789" s="9" t="s">
        <v>2</v>
      </c>
      <c r="E1789" s="9" t="s">
        <v>3</v>
      </c>
      <c r="F1789" s="9" t="str">
        <f t="shared" si="27"/>
        <v>Not Delivered</v>
      </c>
      <c r="G1789" s="9" t="b">
        <v>0</v>
      </c>
      <c r="H1789" s="9" t="s">
        <v>9</v>
      </c>
      <c r="I1789" s="8">
        <v>4584</v>
      </c>
      <c r="J1789" s="10">
        <v>1338.96</v>
      </c>
      <c r="K1789" s="10">
        <v>110.78</v>
      </c>
      <c r="L1789" s="10">
        <v>0</v>
      </c>
      <c r="M1789" s="10">
        <v>1449.74</v>
      </c>
      <c r="N1789" s="8">
        <v>5</v>
      </c>
      <c r="O1789" s="6">
        <v>1.6</v>
      </c>
    </row>
    <row r="1790" spans="1:15" x14ac:dyDescent="0.25">
      <c r="A1790" s="8">
        <v>12612</v>
      </c>
      <c r="B1790" s="9" t="s">
        <v>41</v>
      </c>
      <c r="C1790" s="9" t="s">
        <v>61</v>
      </c>
      <c r="D1790" s="9" t="s">
        <v>25</v>
      </c>
      <c r="E1790" s="9" t="s">
        <v>21</v>
      </c>
      <c r="F1790" s="9" t="str">
        <f t="shared" si="27"/>
        <v>Not Delivered</v>
      </c>
      <c r="G1790" s="9" t="b">
        <v>0</v>
      </c>
      <c r="H1790" s="9" t="s">
        <v>14</v>
      </c>
      <c r="I1790" s="8">
        <v>9625</v>
      </c>
      <c r="J1790" s="10">
        <v>438.44</v>
      </c>
      <c r="L1790" s="10">
        <v>0</v>
      </c>
      <c r="M1790" s="10">
        <v>496.28</v>
      </c>
      <c r="N1790" s="8">
        <v>8</v>
      </c>
    </row>
    <row r="1791" spans="1:15" x14ac:dyDescent="0.25">
      <c r="A1791" s="8">
        <v>72650</v>
      </c>
      <c r="B1791" s="9" t="s">
        <v>41</v>
      </c>
      <c r="C1791" s="9" t="s">
        <v>42</v>
      </c>
      <c r="D1791" s="9" t="s">
        <v>16</v>
      </c>
      <c r="E1791" s="9" t="s">
        <v>13</v>
      </c>
      <c r="F1791" s="9" t="str">
        <f t="shared" si="27"/>
        <v>Delivered</v>
      </c>
      <c r="G1791" s="9" t="b">
        <v>0</v>
      </c>
      <c r="H1791" s="9" t="s">
        <v>4</v>
      </c>
      <c r="I1791" s="8">
        <v>1011</v>
      </c>
      <c r="J1791" s="10">
        <v>975.39</v>
      </c>
      <c r="K1791" s="10">
        <v>75.489999999999995</v>
      </c>
      <c r="L1791" s="10">
        <v>0</v>
      </c>
      <c r="M1791" s="10">
        <v>1050.8800000000001</v>
      </c>
      <c r="N1791" s="8">
        <v>11</v>
      </c>
      <c r="O1791" s="6">
        <v>3.3</v>
      </c>
    </row>
    <row r="1792" spans="1:15" x14ac:dyDescent="0.25">
      <c r="A1792" s="8">
        <v>53481</v>
      </c>
      <c r="B1792" s="9" t="s">
        <v>41</v>
      </c>
      <c r="C1792" s="9" t="s">
        <v>46</v>
      </c>
      <c r="E1792" s="9" t="s">
        <v>13</v>
      </c>
      <c r="F1792" s="9" t="str">
        <f t="shared" si="27"/>
        <v>Delivered</v>
      </c>
      <c r="G1792" s="9" t="b">
        <v>1</v>
      </c>
      <c r="H1792" s="9" t="s">
        <v>28</v>
      </c>
      <c r="I1792" s="8">
        <v>4300</v>
      </c>
      <c r="J1792" s="10">
        <v>2066</v>
      </c>
      <c r="K1792" s="10">
        <v>134.69999999999999</v>
      </c>
      <c r="L1792" s="10">
        <v>219.31</v>
      </c>
      <c r="M1792" s="10">
        <v>2420.0100000000002</v>
      </c>
      <c r="N1792" s="8">
        <v>5</v>
      </c>
      <c r="O1792" s="6">
        <v>3.1</v>
      </c>
    </row>
    <row r="1793" spans="1:15" x14ac:dyDescent="0.25">
      <c r="A1793" s="8">
        <v>27103</v>
      </c>
      <c r="B1793" s="9" t="s">
        <v>39</v>
      </c>
      <c r="C1793" s="9" t="s">
        <v>55</v>
      </c>
      <c r="D1793" s="9" t="s">
        <v>50</v>
      </c>
      <c r="E1793" s="9" t="s">
        <v>13</v>
      </c>
      <c r="F1793" s="9" t="str">
        <f t="shared" si="27"/>
        <v>Delivered</v>
      </c>
      <c r="G1793" s="9" t="b">
        <v>0</v>
      </c>
      <c r="H1793" s="9" t="s">
        <v>4</v>
      </c>
      <c r="I1793" s="8">
        <v>6582</v>
      </c>
      <c r="J1793" s="10">
        <v>841.74</v>
      </c>
      <c r="K1793" s="10">
        <v>149.72</v>
      </c>
      <c r="L1793" s="10">
        <v>0</v>
      </c>
      <c r="M1793" s="10">
        <v>991.46</v>
      </c>
      <c r="N1793" s="8">
        <v>13</v>
      </c>
      <c r="O1793" s="6">
        <v>1.1000000000000001</v>
      </c>
    </row>
    <row r="1794" spans="1:15" x14ac:dyDescent="0.25">
      <c r="A1794" s="8">
        <v>33260</v>
      </c>
      <c r="B1794" s="9" t="s">
        <v>41</v>
      </c>
      <c r="C1794" s="9" t="s">
        <v>46</v>
      </c>
      <c r="D1794" s="9" t="s">
        <v>7</v>
      </c>
      <c r="E1794" s="9" t="s">
        <v>3</v>
      </c>
      <c r="F1794" s="9" t="str">
        <f t="shared" si="27"/>
        <v>Not Delivered</v>
      </c>
      <c r="G1794" s="9" t="b">
        <v>1</v>
      </c>
      <c r="H1794" s="9" t="s">
        <v>28</v>
      </c>
      <c r="I1794" s="8">
        <v>6301</v>
      </c>
      <c r="J1794" s="10">
        <v>1758.34</v>
      </c>
      <c r="K1794" s="10">
        <v>89.45</v>
      </c>
      <c r="L1794" s="10">
        <v>196.49</v>
      </c>
      <c r="M1794" s="10">
        <v>2044.28</v>
      </c>
      <c r="N1794" s="8">
        <v>2</v>
      </c>
      <c r="O1794" s="6">
        <v>4.9000000000000004</v>
      </c>
    </row>
    <row r="1795" spans="1:15" x14ac:dyDescent="0.25">
      <c r="A1795" s="8">
        <v>17806</v>
      </c>
      <c r="B1795" s="9" t="s">
        <v>39</v>
      </c>
      <c r="C1795" s="9" t="s">
        <v>57</v>
      </c>
      <c r="E1795" s="9" t="s">
        <v>21</v>
      </c>
      <c r="F1795" s="9" t="str">
        <f t="shared" ref="F1795:F1858" si="28">IF(OR(
E1795="Failed Delivery",
E1795="Cancelled",
E1795="Pending",
E1795="Rescheduled",
E1795="In Transit"
),"Not Delivered","Delivered")</f>
        <v>Not Delivered</v>
      </c>
      <c r="G1795" s="9" t="b">
        <v>1</v>
      </c>
      <c r="H1795" s="9" t="s">
        <v>4</v>
      </c>
      <c r="I1795" s="8">
        <v>1359</v>
      </c>
      <c r="J1795" s="10">
        <v>643.32000000000005</v>
      </c>
      <c r="K1795" s="10">
        <v>0</v>
      </c>
      <c r="L1795" s="10">
        <v>46</v>
      </c>
      <c r="M1795" s="10">
        <v>689.32</v>
      </c>
      <c r="N1795" s="8">
        <v>3</v>
      </c>
      <c r="O1795" s="6">
        <v>4.3</v>
      </c>
    </row>
    <row r="1796" spans="1:15" x14ac:dyDescent="0.25">
      <c r="A1796" s="8">
        <v>29360</v>
      </c>
      <c r="B1796" s="9" t="s">
        <v>23</v>
      </c>
      <c r="C1796" s="9" t="s">
        <v>60</v>
      </c>
      <c r="D1796" s="9" t="s">
        <v>2</v>
      </c>
      <c r="E1796" s="9" t="s">
        <v>21</v>
      </c>
      <c r="F1796" s="9" t="str">
        <f t="shared" si="28"/>
        <v>Not Delivered</v>
      </c>
      <c r="G1796" s="9" t="b">
        <v>1</v>
      </c>
      <c r="H1796" s="9" t="s">
        <v>22</v>
      </c>
      <c r="I1796" s="8">
        <v>3320</v>
      </c>
      <c r="J1796" s="10">
        <v>1735.4</v>
      </c>
      <c r="K1796" s="10">
        <v>105.55</v>
      </c>
      <c r="L1796" s="10">
        <v>148.25</v>
      </c>
      <c r="M1796" s="10">
        <v>1989.2</v>
      </c>
      <c r="N1796" s="8">
        <v>11</v>
      </c>
      <c r="O1796" s="6">
        <v>3.2</v>
      </c>
    </row>
    <row r="1797" spans="1:15" x14ac:dyDescent="0.25">
      <c r="A1797" s="8">
        <v>24538</v>
      </c>
      <c r="B1797" s="9" t="s">
        <v>39</v>
      </c>
      <c r="C1797" s="9" t="s">
        <v>52</v>
      </c>
      <c r="D1797" s="9" t="s">
        <v>7</v>
      </c>
      <c r="E1797" s="9" t="s">
        <v>3</v>
      </c>
      <c r="F1797" s="9" t="str">
        <f t="shared" si="28"/>
        <v>Not Delivered</v>
      </c>
      <c r="G1797" s="9" t="b">
        <v>0</v>
      </c>
      <c r="H1797" s="9" t="s">
        <v>14</v>
      </c>
      <c r="I1797" s="8">
        <v>9622</v>
      </c>
      <c r="J1797" s="10">
        <v>1263.44</v>
      </c>
      <c r="K1797" s="10">
        <v>60.6</v>
      </c>
      <c r="L1797" s="10">
        <v>0</v>
      </c>
      <c r="M1797" s="10">
        <v>1324.04</v>
      </c>
      <c r="N1797" s="8">
        <v>7</v>
      </c>
      <c r="O1797" s="6">
        <v>1.9</v>
      </c>
    </row>
    <row r="1798" spans="1:15" x14ac:dyDescent="0.25">
      <c r="A1798" s="8">
        <v>57826</v>
      </c>
      <c r="B1798" s="9" t="s">
        <v>10</v>
      </c>
      <c r="C1798" s="9" t="s">
        <v>26</v>
      </c>
      <c r="D1798" s="9" t="s">
        <v>12</v>
      </c>
      <c r="E1798" s="9" t="s">
        <v>21</v>
      </c>
      <c r="F1798" s="9" t="str">
        <f t="shared" si="28"/>
        <v>Not Delivered</v>
      </c>
      <c r="G1798" s="9" t="b">
        <v>0</v>
      </c>
      <c r="H1798" s="9" t="s">
        <v>14</v>
      </c>
      <c r="I1798" s="8">
        <v>2188</v>
      </c>
      <c r="J1798" s="10">
        <v>189.76</v>
      </c>
      <c r="K1798" s="10">
        <v>40.96</v>
      </c>
      <c r="L1798" s="10">
        <v>0</v>
      </c>
      <c r="M1798" s="10">
        <v>230.72</v>
      </c>
      <c r="N1798" s="8">
        <v>12</v>
      </c>
      <c r="O1798" s="6">
        <v>3.7</v>
      </c>
    </row>
    <row r="1799" spans="1:15" x14ac:dyDescent="0.25">
      <c r="A1799" s="8">
        <v>58967</v>
      </c>
      <c r="B1799" s="9" t="s">
        <v>41</v>
      </c>
      <c r="C1799" s="9" t="s">
        <v>61</v>
      </c>
      <c r="D1799" s="9" t="s">
        <v>2</v>
      </c>
      <c r="E1799" s="9" t="s">
        <v>32</v>
      </c>
      <c r="F1799" s="9" t="str">
        <f t="shared" si="28"/>
        <v>Not Delivered</v>
      </c>
      <c r="G1799" s="9" t="b">
        <v>0</v>
      </c>
      <c r="H1799" s="9" t="s">
        <v>14</v>
      </c>
      <c r="I1799" s="8">
        <v>7481</v>
      </c>
      <c r="J1799" s="10">
        <v>1719.11</v>
      </c>
      <c r="K1799" s="10">
        <v>0</v>
      </c>
      <c r="L1799" s="10">
        <v>0</v>
      </c>
      <c r="M1799" s="10">
        <v>1719.11</v>
      </c>
      <c r="N1799" s="8">
        <v>7</v>
      </c>
      <c r="O1799" s="6">
        <v>3.2</v>
      </c>
    </row>
    <row r="1800" spans="1:15" x14ac:dyDescent="0.25">
      <c r="A1800" s="8">
        <v>86810</v>
      </c>
      <c r="B1800" s="9" t="s">
        <v>39</v>
      </c>
      <c r="C1800" s="9" t="s">
        <v>55</v>
      </c>
      <c r="D1800" s="9" t="s">
        <v>45</v>
      </c>
      <c r="E1800" s="9" t="s">
        <v>8</v>
      </c>
      <c r="F1800" s="9" t="str">
        <f t="shared" si="28"/>
        <v>Not Delivered</v>
      </c>
      <c r="G1800" s="9" t="b">
        <v>0</v>
      </c>
      <c r="H1800" s="9" t="s">
        <v>4</v>
      </c>
      <c r="I1800" s="8">
        <v>2655</v>
      </c>
      <c r="J1800" s="10">
        <v>1024.25</v>
      </c>
      <c r="K1800" s="10">
        <v>79.42</v>
      </c>
      <c r="L1800" s="10">
        <v>0</v>
      </c>
      <c r="M1800" s="10">
        <v>1103.67</v>
      </c>
      <c r="N1800" s="8">
        <v>10</v>
      </c>
    </row>
    <row r="1801" spans="1:15" x14ac:dyDescent="0.25">
      <c r="A1801" s="8">
        <v>54113</v>
      </c>
      <c r="B1801" s="9" t="s">
        <v>0</v>
      </c>
      <c r="C1801" s="9" t="s">
        <v>1</v>
      </c>
      <c r="D1801" s="9" t="s">
        <v>38</v>
      </c>
      <c r="E1801" s="9" t="s">
        <v>17</v>
      </c>
      <c r="F1801" s="9" t="str">
        <f t="shared" si="28"/>
        <v>Not Delivered</v>
      </c>
      <c r="G1801" s="9" t="b">
        <v>1</v>
      </c>
      <c r="H1801" s="9" t="s">
        <v>4</v>
      </c>
      <c r="I1801" s="8">
        <v>5944</v>
      </c>
      <c r="J1801" s="10">
        <v>1025.8499999999999</v>
      </c>
      <c r="K1801" s="10">
        <v>0</v>
      </c>
      <c r="L1801" s="10">
        <v>27.82</v>
      </c>
      <c r="M1801" s="10">
        <v>1053.67</v>
      </c>
      <c r="N1801" s="8">
        <v>13</v>
      </c>
      <c r="O1801" s="6">
        <v>2.5</v>
      </c>
    </row>
    <row r="1802" spans="1:15" x14ac:dyDescent="0.25">
      <c r="A1802" s="8">
        <v>52284</v>
      </c>
      <c r="B1802" s="9" t="s">
        <v>23</v>
      </c>
      <c r="C1802" s="9" t="s">
        <v>49</v>
      </c>
      <c r="D1802" s="9" t="s">
        <v>30</v>
      </c>
      <c r="E1802" s="9" t="s">
        <v>3</v>
      </c>
      <c r="F1802" s="9" t="str">
        <f t="shared" si="28"/>
        <v>Not Delivered</v>
      </c>
      <c r="G1802" s="9" t="b">
        <v>1</v>
      </c>
      <c r="H1802" s="9" t="s">
        <v>14</v>
      </c>
      <c r="I1802" s="8">
        <v>3235</v>
      </c>
      <c r="J1802" s="10">
        <v>2768.96</v>
      </c>
      <c r="K1802" s="10">
        <v>146.88999999999999</v>
      </c>
      <c r="L1802" s="10">
        <v>34.83</v>
      </c>
      <c r="M1802" s="10">
        <v>2950.68</v>
      </c>
      <c r="N1802" s="8">
        <v>5</v>
      </c>
      <c r="O1802" s="6">
        <v>4.8</v>
      </c>
    </row>
    <row r="1803" spans="1:15" x14ac:dyDescent="0.25">
      <c r="A1803" s="8">
        <v>30644</v>
      </c>
      <c r="B1803" s="9" t="s">
        <v>10</v>
      </c>
      <c r="C1803" s="9" t="s">
        <v>29</v>
      </c>
      <c r="D1803" s="9" t="s">
        <v>45</v>
      </c>
      <c r="E1803" s="9" t="s">
        <v>32</v>
      </c>
      <c r="F1803" s="9" t="str">
        <f t="shared" si="28"/>
        <v>Not Delivered</v>
      </c>
      <c r="G1803" s="9" t="b">
        <v>1</v>
      </c>
      <c r="H1803" s="9" t="s">
        <v>33</v>
      </c>
      <c r="I1803" s="8">
        <v>8157</v>
      </c>
      <c r="J1803" s="10">
        <v>671.68</v>
      </c>
      <c r="K1803" s="10">
        <v>0</v>
      </c>
      <c r="L1803" s="10">
        <v>55.84</v>
      </c>
      <c r="M1803" s="10">
        <v>727.52</v>
      </c>
      <c r="N1803" s="8">
        <v>6</v>
      </c>
      <c r="O1803" s="6">
        <v>2.7</v>
      </c>
    </row>
    <row r="1804" spans="1:15" x14ac:dyDescent="0.25">
      <c r="A1804" s="8">
        <v>93789</v>
      </c>
      <c r="B1804" s="9" t="s">
        <v>39</v>
      </c>
      <c r="C1804" s="9" t="s">
        <v>40</v>
      </c>
      <c r="D1804" s="9" t="s">
        <v>50</v>
      </c>
      <c r="E1804" s="9" t="s">
        <v>3</v>
      </c>
      <c r="F1804" s="9" t="str">
        <f t="shared" si="28"/>
        <v>Not Delivered</v>
      </c>
      <c r="G1804" s="9" t="b">
        <v>1</v>
      </c>
      <c r="H1804" s="9" t="s">
        <v>14</v>
      </c>
      <c r="I1804" s="8">
        <v>8982</v>
      </c>
      <c r="J1804" s="10">
        <v>341.62</v>
      </c>
      <c r="K1804" s="10">
        <v>89.13</v>
      </c>
      <c r="L1804" s="10">
        <v>33.29</v>
      </c>
      <c r="M1804" s="10">
        <v>464.04</v>
      </c>
      <c r="N1804" s="8">
        <v>4</v>
      </c>
      <c r="O1804" s="6">
        <v>3.6</v>
      </c>
    </row>
    <row r="1805" spans="1:15" x14ac:dyDescent="0.25">
      <c r="A1805" s="8">
        <v>95089</v>
      </c>
      <c r="B1805" s="9" t="s">
        <v>5</v>
      </c>
      <c r="C1805" s="9" t="s">
        <v>56</v>
      </c>
      <c r="D1805" s="9" t="s">
        <v>19</v>
      </c>
      <c r="E1805" s="9" t="s">
        <v>21</v>
      </c>
      <c r="F1805" s="9" t="str">
        <f t="shared" si="28"/>
        <v>Not Delivered</v>
      </c>
      <c r="G1805" s="9" t="b">
        <v>0</v>
      </c>
      <c r="H1805" s="9" t="s">
        <v>9</v>
      </c>
      <c r="I1805" s="8">
        <v>6198</v>
      </c>
      <c r="J1805" s="10">
        <v>1347.48</v>
      </c>
      <c r="K1805" s="10">
        <v>88.88</v>
      </c>
      <c r="L1805" s="10">
        <v>0</v>
      </c>
      <c r="M1805" s="10">
        <v>1436.36</v>
      </c>
      <c r="N1805" s="8">
        <v>11</v>
      </c>
      <c r="O1805" s="6">
        <v>2.5</v>
      </c>
    </row>
    <row r="1806" spans="1:15" x14ac:dyDescent="0.25">
      <c r="A1806" s="8">
        <v>32833</v>
      </c>
      <c r="B1806" s="9" t="s">
        <v>10</v>
      </c>
      <c r="C1806" s="9" t="s">
        <v>29</v>
      </c>
      <c r="D1806" s="9" t="s">
        <v>50</v>
      </c>
      <c r="E1806" s="9" t="s">
        <v>13</v>
      </c>
      <c r="F1806" s="9" t="str">
        <f t="shared" si="28"/>
        <v>Delivered</v>
      </c>
      <c r="G1806" s="9" t="b">
        <v>1</v>
      </c>
      <c r="H1806" s="9" t="s">
        <v>22</v>
      </c>
      <c r="I1806" s="8">
        <v>6846</v>
      </c>
      <c r="J1806" s="10">
        <v>283.14</v>
      </c>
      <c r="K1806" s="10">
        <v>86.81</v>
      </c>
      <c r="L1806" s="10">
        <v>65.63</v>
      </c>
      <c r="M1806" s="10">
        <v>435.58</v>
      </c>
      <c r="N1806" s="8">
        <v>8</v>
      </c>
      <c r="O1806" s="6">
        <v>4.9000000000000004</v>
      </c>
    </row>
    <row r="1807" spans="1:15" x14ac:dyDescent="0.25">
      <c r="A1807" s="8">
        <v>39260</v>
      </c>
      <c r="B1807" s="9" t="s">
        <v>10</v>
      </c>
      <c r="C1807" s="9" t="s">
        <v>29</v>
      </c>
      <c r="D1807" s="9" t="s">
        <v>7</v>
      </c>
      <c r="E1807" s="9" t="s">
        <v>17</v>
      </c>
      <c r="F1807" s="9" t="str">
        <f t="shared" si="28"/>
        <v>Not Delivered</v>
      </c>
      <c r="G1807" s="9" t="b">
        <v>1</v>
      </c>
      <c r="H1807" s="9" t="s">
        <v>14</v>
      </c>
      <c r="I1807" s="8">
        <v>3872</v>
      </c>
      <c r="J1807" s="10">
        <v>293.08999999999997</v>
      </c>
      <c r="K1807" s="10">
        <v>77.61</v>
      </c>
      <c r="L1807" s="10">
        <v>43.53</v>
      </c>
      <c r="M1807" s="10">
        <v>414.23</v>
      </c>
      <c r="N1807" s="8">
        <v>7</v>
      </c>
    </row>
    <row r="1808" spans="1:15" x14ac:dyDescent="0.25">
      <c r="A1808" s="8">
        <v>59595</v>
      </c>
      <c r="B1808" s="9" t="s">
        <v>5</v>
      </c>
      <c r="C1808" s="9" t="s">
        <v>31</v>
      </c>
      <c r="D1808" s="9" t="s">
        <v>30</v>
      </c>
      <c r="E1808" s="9" t="s">
        <v>8</v>
      </c>
      <c r="F1808" s="9" t="str">
        <f t="shared" si="28"/>
        <v>Not Delivered</v>
      </c>
      <c r="G1808" s="9" t="b">
        <v>1</v>
      </c>
      <c r="H1808" s="9" t="s">
        <v>28</v>
      </c>
      <c r="I1808" s="8">
        <v>6026</v>
      </c>
      <c r="J1808" s="10">
        <v>1992.01</v>
      </c>
      <c r="K1808" s="10">
        <v>0</v>
      </c>
      <c r="L1808" s="10">
        <v>224.2</v>
      </c>
      <c r="M1808" s="10">
        <v>2216.21</v>
      </c>
      <c r="N1808" s="8">
        <v>7</v>
      </c>
      <c r="O1808" s="6">
        <v>3.1</v>
      </c>
    </row>
    <row r="1809" spans="1:15" x14ac:dyDescent="0.25">
      <c r="A1809" s="8">
        <v>48602</v>
      </c>
      <c r="B1809" s="9" t="s">
        <v>41</v>
      </c>
      <c r="C1809" s="9" t="s">
        <v>61</v>
      </c>
      <c r="D1809" s="9" t="s">
        <v>7</v>
      </c>
      <c r="E1809" s="9" t="s">
        <v>8</v>
      </c>
      <c r="F1809" s="9" t="str">
        <f t="shared" si="28"/>
        <v>Not Delivered</v>
      </c>
      <c r="G1809" s="9" t="b">
        <v>0</v>
      </c>
      <c r="H1809" s="9" t="s">
        <v>14</v>
      </c>
      <c r="I1809" s="8">
        <v>3086</v>
      </c>
      <c r="J1809" s="10">
        <v>1522.51</v>
      </c>
      <c r="K1809" s="10">
        <v>82.12</v>
      </c>
      <c r="L1809" s="10">
        <v>0</v>
      </c>
      <c r="M1809" s="10">
        <v>1604.63</v>
      </c>
      <c r="N1809" s="8">
        <v>3</v>
      </c>
      <c r="O1809" s="6">
        <v>3.7</v>
      </c>
    </row>
    <row r="1810" spans="1:15" x14ac:dyDescent="0.25">
      <c r="A1810" s="8">
        <v>33292</v>
      </c>
      <c r="B1810" s="9" t="s">
        <v>10</v>
      </c>
      <c r="C1810" s="9" t="s">
        <v>29</v>
      </c>
      <c r="D1810" s="9" t="s">
        <v>12</v>
      </c>
      <c r="E1810" s="9" t="s">
        <v>17</v>
      </c>
      <c r="F1810" s="9" t="str">
        <f t="shared" si="28"/>
        <v>Not Delivered</v>
      </c>
      <c r="G1810" s="9" t="b">
        <v>0</v>
      </c>
      <c r="H1810" s="9" t="s">
        <v>33</v>
      </c>
      <c r="I1810" s="8">
        <v>1029</v>
      </c>
      <c r="J1810" s="10">
        <v>1454.33</v>
      </c>
      <c r="K1810" s="10">
        <v>90.61</v>
      </c>
      <c r="L1810" s="10">
        <v>0</v>
      </c>
      <c r="M1810" s="10">
        <v>1544.94</v>
      </c>
      <c r="N1810" s="8">
        <v>8</v>
      </c>
      <c r="O1810" s="6">
        <v>1.3</v>
      </c>
    </row>
    <row r="1811" spans="1:15" x14ac:dyDescent="0.25">
      <c r="A1811" s="8">
        <v>85082</v>
      </c>
      <c r="B1811" s="9" t="s">
        <v>5</v>
      </c>
      <c r="C1811" s="9" t="s">
        <v>59</v>
      </c>
      <c r="D1811" s="9" t="s">
        <v>45</v>
      </c>
      <c r="E1811" s="9" t="s">
        <v>3</v>
      </c>
      <c r="F1811" s="9" t="str">
        <f t="shared" si="28"/>
        <v>Not Delivered</v>
      </c>
      <c r="G1811" s="9" t="b">
        <v>0</v>
      </c>
      <c r="H1811" s="9" t="s">
        <v>33</v>
      </c>
      <c r="I1811" s="8">
        <v>7415</v>
      </c>
      <c r="J1811" s="10">
        <v>2158.86</v>
      </c>
      <c r="K1811" s="10">
        <v>0</v>
      </c>
      <c r="L1811" s="10">
        <v>0</v>
      </c>
      <c r="M1811" s="10">
        <v>2158.86</v>
      </c>
      <c r="N1811" s="8">
        <v>10</v>
      </c>
    </row>
    <row r="1812" spans="1:15" x14ac:dyDescent="0.25">
      <c r="A1812" s="8">
        <v>84381</v>
      </c>
      <c r="B1812" s="9" t="s">
        <v>10</v>
      </c>
      <c r="C1812" s="9" t="s">
        <v>20</v>
      </c>
      <c r="D1812" s="9" t="s">
        <v>50</v>
      </c>
      <c r="E1812" s="9" t="s">
        <v>17</v>
      </c>
      <c r="F1812" s="9" t="str">
        <f t="shared" si="28"/>
        <v>Not Delivered</v>
      </c>
      <c r="G1812" s="9" t="b">
        <v>1</v>
      </c>
      <c r="H1812" s="9" t="s">
        <v>14</v>
      </c>
      <c r="I1812" s="8">
        <v>1530</v>
      </c>
      <c r="J1812" s="10">
        <v>537.61</v>
      </c>
      <c r="K1812" s="10">
        <v>71.48</v>
      </c>
      <c r="L1812" s="10">
        <v>143.84</v>
      </c>
      <c r="M1812" s="10">
        <v>752.93</v>
      </c>
      <c r="N1812" s="8">
        <v>9</v>
      </c>
      <c r="O1812" s="6">
        <v>4.4000000000000004</v>
      </c>
    </row>
    <row r="1813" spans="1:15" x14ac:dyDescent="0.25">
      <c r="A1813" s="8">
        <v>33865</v>
      </c>
      <c r="B1813" s="9" t="s">
        <v>39</v>
      </c>
      <c r="C1813" s="9" t="s">
        <v>57</v>
      </c>
      <c r="D1813" s="9" t="s">
        <v>2</v>
      </c>
      <c r="E1813" s="9" t="s">
        <v>32</v>
      </c>
      <c r="F1813" s="9" t="str">
        <f t="shared" si="28"/>
        <v>Not Delivered</v>
      </c>
      <c r="G1813" s="9" t="b">
        <v>0</v>
      </c>
      <c r="H1813" s="9" t="s">
        <v>4</v>
      </c>
      <c r="I1813" s="8">
        <v>6213</v>
      </c>
      <c r="J1813" s="10">
        <v>586.1</v>
      </c>
      <c r="K1813" s="10">
        <v>130.58000000000001</v>
      </c>
      <c r="L1813" s="10">
        <v>0</v>
      </c>
      <c r="M1813" s="10">
        <v>716.68</v>
      </c>
      <c r="N1813" s="8">
        <v>4</v>
      </c>
      <c r="O1813" s="6">
        <v>4.4000000000000004</v>
      </c>
    </row>
    <row r="1814" spans="1:15" x14ac:dyDescent="0.25">
      <c r="A1814" s="8">
        <v>90134</v>
      </c>
      <c r="B1814" s="9" t="s">
        <v>10</v>
      </c>
      <c r="C1814" s="9" t="s">
        <v>29</v>
      </c>
      <c r="D1814" s="9" t="s">
        <v>19</v>
      </c>
      <c r="E1814" s="9" t="s">
        <v>8</v>
      </c>
      <c r="F1814" s="9" t="str">
        <f t="shared" si="28"/>
        <v>Not Delivered</v>
      </c>
      <c r="G1814" s="9" t="b">
        <v>1</v>
      </c>
      <c r="H1814" s="9" t="s">
        <v>18</v>
      </c>
      <c r="I1814" s="8">
        <v>4619</v>
      </c>
      <c r="J1814" s="10">
        <v>1027.83</v>
      </c>
      <c r="K1814" s="10">
        <v>72.22</v>
      </c>
      <c r="L1814" s="10">
        <v>71.06</v>
      </c>
      <c r="M1814" s="10">
        <v>1171.1099999999999</v>
      </c>
      <c r="N1814" s="8">
        <v>14</v>
      </c>
      <c r="O1814" s="6">
        <v>3.8</v>
      </c>
    </row>
    <row r="1815" spans="1:15" x14ac:dyDescent="0.25">
      <c r="A1815" s="8">
        <v>93839</v>
      </c>
      <c r="B1815" s="9" t="s">
        <v>41</v>
      </c>
      <c r="C1815" s="9" t="s">
        <v>46</v>
      </c>
      <c r="D1815" s="9" t="s">
        <v>30</v>
      </c>
      <c r="E1815" s="9" t="s">
        <v>17</v>
      </c>
      <c r="F1815" s="9" t="str">
        <f t="shared" si="28"/>
        <v>Not Delivered</v>
      </c>
      <c r="G1815" s="9" t="b">
        <v>0</v>
      </c>
      <c r="H1815" s="9" t="s">
        <v>33</v>
      </c>
      <c r="I1815" s="8">
        <v>2705</v>
      </c>
      <c r="J1815" s="10">
        <v>1239.67</v>
      </c>
      <c r="K1815" s="10">
        <v>0</v>
      </c>
      <c r="L1815" s="10">
        <v>0</v>
      </c>
      <c r="M1815" s="10">
        <v>1239.67</v>
      </c>
      <c r="N1815" s="8">
        <v>9</v>
      </c>
      <c r="O1815" s="6">
        <v>1.7</v>
      </c>
    </row>
    <row r="1816" spans="1:15" x14ac:dyDescent="0.25">
      <c r="A1816" s="8">
        <v>75035</v>
      </c>
      <c r="B1816" s="9" t="s">
        <v>23</v>
      </c>
      <c r="C1816" s="9" t="s">
        <v>54</v>
      </c>
      <c r="D1816" s="9" t="s">
        <v>27</v>
      </c>
      <c r="E1816" s="9" t="s">
        <v>17</v>
      </c>
      <c r="F1816" s="9" t="str">
        <f t="shared" si="28"/>
        <v>Not Delivered</v>
      </c>
      <c r="G1816" s="9" t="b">
        <v>0</v>
      </c>
      <c r="H1816" s="9" t="s">
        <v>33</v>
      </c>
      <c r="I1816" s="8">
        <v>3304</v>
      </c>
      <c r="J1816" s="10">
        <v>1698.42</v>
      </c>
      <c r="K1816" s="10">
        <v>0</v>
      </c>
      <c r="L1816" s="10">
        <v>0</v>
      </c>
      <c r="M1816" s="10">
        <v>1698.42</v>
      </c>
      <c r="N1816" s="8">
        <v>14</v>
      </c>
      <c r="O1816" s="6">
        <v>1.7</v>
      </c>
    </row>
    <row r="1817" spans="1:15" x14ac:dyDescent="0.25">
      <c r="A1817" s="8">
        <v>53406</v>
      </c>
      <c r="B1817" s="9" t="s">
        <v>23</v>
      </c>
      <c r="C1817" s="9" t="s">
        <v>60</v>
      </c>
      <c r="E1817" s="9" t="s">
        <v>17</v>
      </c>
      <c r="F1817" s="9" t="str">
        <f t="shared" si="28"/>
        <v>Not Delivered</v>
      </c>
      <c r="G1817" s="9" t="b">
        <v>1</v>
      </c>
      <c r="H1817" s="9" t="s">
        <v>18</v>
      </c>
      <c r="I1817" s="8">
        <v>2274</v>
      </c>
      <c r="J1817" s="10">
        <v>1418.74</v>
      </c>
      <c r="K1817" s="10">
        <v>82.67</v>
      </c>
      <c r="L1817" s="10">
        <v>172.89</v>
      </c>
      <c r="M1817" s="10">
        <v>1674.3</v>
      </c>
      <c r="N1817" s="8">
        <v>8</v>
      </c>
      <c r="O1817" s="6">
        <v>4.0999999999999996</v>
      </c>
    </row>
    <row r="1818" spans="1:15" x14ac:dyDescent="0.25">
      <c r="A1818" s="8">
        <v>41194</v>
      </c>
      <c r="B1818" s="9" t="s">
        <v>41</v>
      </c>
      <c r="C1818" s="9" t="s">
        <v>47</v>
      </c>
      <c r="D1818" s="9" t="s">
        <v>45</v>
      </c>
      <c r="E1818" s="9" t="s">
        <v>3</v>
      </c>
      <c r="F1818" s="9" t="str">
        <f t="shared" si="28"/>
        <v>Not Delivered</v>
      </c>
      <c r="G1818" s="9" t="b">
        <v>0</v>
      </c>
      <c r="H1818" s="9" t="s">
        <v>22</v>
      </c>
      <c r="I1818" s="8">
        <v>6682</v>
      </c>
      <c r="J1818" s="10">
        <v>1083.73</v>
      </c>
      <c r="K1818" s="10">
        <v>68.8</v>
      </c>
      <c r="L1818" s="10">
        <v>0</v>
      </c>
      <c r="M1818" s="10">
        <v>1152.53</v>
      </c>
      <c r="N1818" s="8">
        <v>14</v>
      </c>
      <c r="O1818" s="6">
        <v>1.4</v>
      </c>
    </row>
    <row r="1819" spans="1:15" x14ac:dyDescent="0.25">
      <c r="A1819" s="8">
        <v>51879</v>
      </c>
      <c r="B1819" s="9" t="s">
        <v>39</v>
      </c>
      <c r="C1819" s="9" t="s">
        <v>40</v>
      </c>
      <c r="D1819" s="9" t="s">
        <v>2</v>
      </c>
      <c r="E1819" s="9" t="s">
        <v>21</v>
      </c>
      <c r="F1819" s="9" t="str">
        <f t="shared" si="28"/>
        <v>Not Delivered</v>
      </c>
      <c r="G1819" s="9" t="b">
        <v>0</v>
      </c>
      <c r="H1819" s="9" t="s">
        <v>18</v>
      </c>
      <c r="I1819" s="8">
        <v>3750</v>
      </c>
      <c r="J1819" s="10">
        <v>921.34</v>
      </c>
      <c r="K1819" s="10">
        <v>143.21</v>
      </c>
      <c r="L1819" s="10">
        <v>0</v>
      </c>
      <c r="M1819" s="10">
        <v>1064.55</v>
      </c>
      <c r="N1819" s="8">
        <v>4</v>
      </c>
      <c r="O1819" s="6">
        <v>2.6</v>
      </c>
    </row>
    <row r="1820" spans="1:15" x14ac:dyDescent="0.25">
      <c r="A1820" s="8">
        <v>93386</v>
      </c>
      <c r="B1820" s="9" t="s">
        <v>10</v>
      </c>
      <c r="C1820" s="9" t="s">
        <v>20</v>
      </c>
      <c r="D1820" s="9" t="s">
        <v>25</v>
      </c>
      <c r="E1820" s="9" t="s">
        <v>8</v>
      </c>
      <c r="F1820" s="9" t="str">
        <f t="shared" si="28"/>
        <v>Not Delivered</v>
      </c>
      <c r="G1820" s="9" t="b">
        <v>0</v>
      </c>
      <c r="H1820" s="9" t="s">
        <v>4</v>
      </c>
      <c r="I1820" s="8">
        <v>2453</v>
      </c>
      <c r="J1820" s="10">
        <v>1295.3</v>
      </c>
      <c r="K1820" s="10">
        <v>147.16999999999999</v>
      </c>
      <c r="L1820" s="10">
        <v>0</v>
      </c>
      <c r="M1820" s="10">
        <v>1442.47</v>
      </c>
      <c r="N1820" s="8">
        <v>1</v>
      </c>
      <c r="O1820" s="6">
        <v>3.3</v>
      </c>
    </row>
    <row r="1821" spans="1:15" x14ac:dyDescent="0.25">
      <c r="A1821" s="8">
        <v>97821</v>
      </c>
      <c r="B1821" s="9" t="s">
        <v>5</v>
      </c>
      <c r="C1821" s="9" t="s">
        <v>6</v>
      </c>
      <c r="D1821" s="9" t="s">
        <v>38</v>
      </c>
      <c r="E1821" s="9" t="s">
        <v>17</v>
      </c>
      <c r="F1821" s="9" t="str">
        <f t="shared" si="28"/>
        <v>Not Delivered</v>
      </c>
      <c r="G1821" s="9" t="b">
        <v>1</v>
      </c>
      <c r="H1821" s="9" t="s">
        <v>18</v>
      </c>
      <c r="I1821" s="8">
        <v>6500</v>
      </c>
      <c r="J1821" s="10">
        <v>1424.21</v>
      </c>
      <c r="K1821" s="10">
        <v>97.97</v>
      </c>
      <c r="L1821" s="10">
        <v>91.63</v>
      </c>
      <c r="M1821" s="10">
        <v>1613.81</v>
      </c>
      <c r="N1821" s="8">
        <v>11</v>
      </c>
      <c r="O1821" s="6">
        <v>1.7</v>
      </c>
    </row>
    <row r="1822" spans="1:15" x14ac:dyDescent="0.25">
      <c r="A1822" s="8">
        <v>68540</v>
      </c>
      <c r="B1822" s="9" t="s">
        <v>41</v>
      </c>
      <c r="C1822" s="9" t="s">
        <v>42</v>
      </c>
      <c r="D1822" s="9" t="s">
        <v>38</v>
      </c>
      <c r="E1822" s="9" t="s">
        <v>21</v>
      </c>
      <c r="F1822" s="9" t="str">
        <f t="shared" si="28"/>
        <v>Not Delivered</v>
      </c>
      <c r="G1822" s="9" t="b">
        <v>0</v>
      </c>
      <c r="H1822" s="9" t="s">
        <v>14</v>
      </c>
      <c r="I1822" s="8">
        <v>1186</v>
      </c>
      <c r="J1822" s="10">
        <v>1759.86</v>
      </c>
      <c r="K1822" s="10">
        <v>0</v>
      </c>
      <c r="L1822" s="10">
        <v>0</v>
      </c>
      <c r="M1822" s="10">
        <v>1759.86</v>
      </c>
      <c r="N1822" s="8">
        <v>3</v>
      </c>
      <c r="O1822" s="6">
        <v>2.6</v>
      </c>
    </row>
    <row r="1823" spans="1:15" x14ac:dyDescent="0.25">
      <c r="A1823" s="8">
        <v>44761</v>
      </c>
      <c r="B1823" s="9" t="s">
        <v>41</v>
      </c>
      <c r="C1823" s="9" t="s">
        <v>61</v>
      </c>
      <c r="D1823" s="9" t="s">
        <v>35</v>
      </c>
      <c r="E1823" s="9" t="s">
        <v>3</v>
      </c>
      <c r="F1823" s="9" t="str">
        <f t="shared" si="28"/>
        <v>Not Delivered</v>
      </c>
      <c r="G1823" s="9" t="b">
        <v>0</v>
      </c>
      <c r="H1823" s="9" t="s">
        <v>33</v>
      </c>
      <c r="I1823" s="8">
        <v>4435</v>
      </c>
      <c r="J1823" s="10">
        <v>1662.36</v>
      </c>
      <c r="K1823" s="10">
        <v>133.94</v>
      </c>
      <c r="L1823" s="10">
        <v>0</v>
      </c>
      <c r="M1823" s="10">
        <v>1796.3</v>
      </c>
      <c r="N1823" s="8">
        <v>10</v>
      </c>
      <c r="O1823" s="6">
        <v>1.7</v>
      </c>
    </row>
    <row r="1824" spans="1:15" x14ac:dyDescent="0.25">
      <c r="A1824" s="8">
        <v>42707</v>
      </c>
      <c r="B1824" s="9" t="s">
        <v>0</v>
      </c>
      <c r="C1824" s="9" t="s">
        <v>43</v>
      </c>
      <c r="D1824" s="9" t="s">
        <v>38</v>
      </c>
      <c r="E1824" s="9" t="s">
        <v>21</v>
      </c>
      <c r="F1824" s="9" t="str">
        <f t="shared" si="28"/>
        <v>Not Delivered</v>
      </c>
      <c r="G1824" s="9" t="b">
        <v>1</v>
      </c>
      <c r="H1824" s="9" t="s">
        <v>18</v>
      </c>
      <c r="I1824" s="8">
        <v>2110</v>
      </c>
      <c r="J1824" s="10">
        <v>725.07</v>
      </c>
      <c r="K1824" s="10">
        <v>144.54</v>
      </c>
      <c r="L1824" s="10">
        <v>29.48</v>
      </c>
      <c r="M1824" s="10">
        <v>899.09</v>
      </c>
      <c r="N1824" s="8">
        <v>2</v>
      </c>
      <c r="O1824" s="6">
        <v>3.3</v>
      </c>
    </row>
    <row r="1825" spans="1:15" x14ac:dyDescent="0.25">
      <c r="A1825" s="8">
        <v>55938</v>
      </c>
      <c r="B1825" s="9" t="s">
        <v>0</v>
      </c>
      <c r="C1825" s="9" t="s">
        <v>1</v>
      </c>
      <c r="D1825" s="9" t="s">
        <v>35</v>
      </c>
      <c r="E1825" s="9" t="s">
        <v>21</v>
      </c>
      <c r="F1825" s="9" t="str">
        <f t="shared" si="28"/>
        <v>Not Delivered</v>
      </c>
      <c r="G1825" s="9" t="b">
        <v>1</v>
      </c>
      <c r="H1825" s="9" t="s">
        <v>18</v>
      </c>
      <c r="I1825" s="8">
        <v>5205</v>
      </c>
      <c r="J1825" s="10">
        <v>1503</v>
      </c>
      <c r="K1825" s="10">
        <v>0</v>
      </c>
      <c r="L1825" s="10">
        <v>284.81</v>
      </c>
      <c r="M1825" s="10">
        <v>1787.81</v>
      </c>
      <c r="N1825" s="8">
        <v>8</v>
      </c>
    </row>
    <row r="1826" spans="1:15" x14ac:dyDescent="0.25">
      <c r="A1826" s="8">
        <v>24160</v>
      </c>
      <c r="B1826" s="9" t="s">
        <v>10</v>
      </c>
      <c r="C1826" s="9" t="s">
        <v>11</v>
      </c>
      <c r="E1826" s="9" t="s">
        <v>17</v>
      </c>
      <c r="F1826" s="9" t="str">
        <f t="shared" si="28"/>
        <v>Not Delivered</v>
      </c>
      <c r="G1826" s="9" t="b">
        <v>1</v>
      </c>
      <c r="H1826" s="9" t="s">
        <v>4</v>
      </c>
      <c r="I1826" s="8">
        <v>1020</v>
      </c>
      <c r="J1826" s="10">
        <v>1858.34</v>
      </c>
      <c r="K1826" s="10">
        <v>128.99</v>
      </c>
      <c r="L1826" s="10">
        <v>224.45</v>
      </c>
      <c r="M1826" s="10">
        <v>2211.7800000000002</v>
      </c>
      <c r="N1826" s="8">
        <v>14</v>
      </c>
      <c r="O1826" s="6">
        <v>5</v>
      </c>
    </row>
    <row r="1827" spans="1:15" x14ac:dyDescent="0.25">
      <c r="A1827" s="8">
        <v>16310</v>
      </c>
      <c r="B1827" s="9" t="s">
        <v>23</v>
      </c>
      <c r="C1827" s="9" t="s">
        <v>48</v>
      </c>
      <c r="D1827" s="9" t="s">
        <v>12</v>
      </c>
      <c r="E1827" s="9" t="s">
        <v>21</v>
      </c>
      <c r="F1827" s="9" t="str">
        <f t="shared" si="28"/>
        <v>Not Delivered</v>
      </c>
      <c r="G1827" s="9" t="b">
        <v>0</v>
      </c>
      <c r="H1827" s="9" t="s">
        <v>28</v>
      </c>
      <c r="I1827" s="8">
        <v>7323</v>
      </c>
      <c r="J1827" s="10">
        <v>770.27</v>
      </c>
      <c r="L1827" s="10">
        <v>0</v>
      </c>
      <c r="M1827" s="10">
        <v>770.27</v>
      </c>
      <c r="N1827" s="8">
        <v>13</v>
      </c>
      <c r="O1827" s="6">
        <v>3.1</v>
      </c>
    </row>
    <row r="1828" spans="1:15" x14ac:dyDescent="0.25">
      <c r="A1828" s="8">
        <v>67438</v>
      </c>
      <c r="B1828" s="9" t="s">
        <v>41</v>
      </c>
      <c r="C1828" s="9" t="s">
        <v>42</v>
      </c>
      <c r="E1828" s="9" t="s">
        <v>8</v>
      </c>
      <c r="F1828" s="9" t="str">
        <f t="shared" si="28"/>
        <v>Not Delivered</v>
      </c>
      <c r="G1828" s="9" t="b">
        <v>0</v>
      </c>
      <c r="H1828" s="9" t="s">
        <v>14</v>
      </c>
      <c r="I1828" s="8">
        <v>7875</v>
      </c>
      <c r="J1828" s="10">
        <v>2135.44</v>
      </c>
      <c r="K1828" s="10">
        <v>0</v>
      </c>
      <c r="L1828" s="10">
        <v>0</v>
      </c>
      <c r="M1828" s="10">
        <v>2135.44</v>
      </c>
      <c r="N1828" s="8">
        <v>10</v>
      </c>
    </row>
    <row r="1829" spans="1:15" x14ac:dyDescent="0.25">
      <c r="A1829" s="8">
        <v>31802</v>
      </c>
      <c r="B1829" s="9" t="s">
        <v>41</v>
      </c>
      <c r="C1829" s="9" t="s">
        <v>46</v>
      </c>
      <c r="D1829" s="9" t="s">
        <v>16</v>
      </c>
      <c r="E1829" s="9" t="s">
        <v>3</v>
      </c>
      <c r="F1829" s="9" t="str">
        <f t="shared" si="28"/>
        <v>Not Delivered</v>
      </c>
      <c r="G1829" s="9" t="b">
        <v>0</v>
      </c>
      <c r="H1829" s="9" t="s">
        <v>18</v>
      </c>
      <c r="I1829" s="8">
        <v>7783</v>
      </c>
      <c r="J1829" s="10">
        <v>2133.4699999999998</v>
      </c>
      <c r="K1829" s="10">
        <v>107.71</v>
      </c>
      <c r="L1829" s="10">
        <v>0</v>
      </c>
      <c r="M1829" s="10">
        <v>2241.1799999999998</v>
      </c>
      <c r="N1829" s="8">
        <v>6</v>
      </c>
    </row>
    <row r="1830" spans="1:15" x14ac:dyDescent="0.25">
      <c r="A1830" s="8">
        <v>74629</v>
      </c>
      <c r="B1830" s="9" t="s">
        <v>23</v>
      </c>
      <c r="C1830" s="9" t="s">
        <v>24</v>
      </c>
      <c r="D1830" s="9" t="s">
        <v>38</v>
      </c>
      <c r="E1830" s="9" t="s">
        <v>3</v>
      </c>
      <c r="F1830" s="9" t="str">
        <f t="shared" si="28"/>
        <v>Not Delivered</v>
      </c>
      <c r="G1830" s="9" t="b">
        <v>0</v>
      </c>
      <c r="H1830" s="9" t="s">
        <v>22</v>
      </c>
      <c r="I1830" s="8">
        <v>7204</v>
      </c>
      <c r="J1830" s="10">
        <v>2495.87</v>
      </c>
      <c r="K1830" s="10">
        <v>112.8</v>
      </c>
      <c r="L1830" s="10">
        <v>0</v>
      </c>
      <c r="M1830" s="10">
        <v>2608.67</v>
      </c>
      <c r="N1830" s="8">
        <v>12</v>
      </c>
      <c r="O1830" s="6">
        <v>4</v>
      </c>
    </row>
    <row r="1831" spans="1:15" x14ac:dyDescent="0.25">
      <c r="A1831" s="8">
        <v>56036</v>
      </c>
      <c r="B1831" s="9" t="s">
        <v>5</v>
      </c>
      <c r="C1831" s="9" t="s">
        <v>31</v>
      </c>
      <c r="D1831" s="9" t="s">
        <v>2</v>
      </c>
      <c r="E1831" s="9" t="s">
        <v>32</v>
      </c>
      <c r="F1831" s="9" t="str">
        <f t="shared" si="28"/>
        <v>Not Delivered</v>
      </c>
      <c r="G1831" s="9" t="b">
        <v>0</v>
      </c>
      <c r="H1831" s="9" t="s">
        <v>14</v>
      </c>
      <c r="I1831" s="8">
        <v>9946</v>
      </c>
      <c r="J1831" s="10">
        <v>932.36</v>
      </c>
      <c r="K1831" s="10">
        <v>0</v>
      </c>
      <c r="L1831" s="10">
        <v>0</v>
      </c>
      <c r="M1831" s="10">
        <v>932.36</v>
      </c>
      <c r="N1831" s="8">
        <v>1</v>
      </c>
      <c r="O1831" s="6">
        <v>1.5</v>
      </c>
    </row>
    <row r="1832" spans="1:15" x14ac:dyDescent="0.25">
      <c r="A1832" s="8">
        <v>59197</v>
      </c>
      <c r="B1832" s="9" t="s">
        <v>41</v>
      </c>
      <c r="C1832" s="9" t="s">
        <v>47</v>
      </c>
      <c r="D1832" s="9" t="s">
        <v>19</v>
      </c>
      <c r="E1832" s="9" t="s">
        <v>8</v>
      </c>
      <c r="F1832" s="9" t="str">
        <f t="shared" si="28"/>
        <v>Not Delivered</v>
      </c>
      <c r="G1832" s="9" t="b">
        <v>1</v>
      </c>
      <c r="H1832" s="9" t="s">
        <v>9</v>
      </c>
      <c r="I1832" s="8">
        <v>2661</v>
      </c>
      <c r="J1832" s="10">
        <v>322.95999999999998</v>
      </c>
      <c r="K1832" s="10">
        <v>96.89</v>
      </c>
      <c r="L1832" s="10">
        <v>196.11</v>
      </c>
      <c r="M1832" s="10">
        <v>615.96</v>
      </c>
      <c r="N1832" s="8">
        <v>11</v>
      </c>
      <c r="O1832" s="6">
        <v>2.4</v>
      </c>
    </row>
    <row r="1833" spans="1:15" x14ac:dyDescent="0.25">
      <c r="A1833" s="8">
        <v>72847</v>
      </c>
      <c r="B1833" s="9" t="s">
        <v>5</v>
      </c>
      <c r="C1833" s="9" t="s">
        <v>59</v>
      </c>
      <c r="D1833" s="9" t="s">
        <v>7</v>
      </c>
      <c r="E1833" s="9" t="s">
        <v>13</v>
      </c>
      <c r="F1833" s="9" t="str">
        <f t="shared" si="28"/>
        <v>Delivered</v>
      </c>
      <c r="G1833" s="9" t="b">
        <v>1</v>
      </c>
      <c r="H1833" s="9" t="s">
        <v>28</v>
      </c>
      <c r="I1833" s="8">
        <v>4695</v>
      </c>
      <c r="J1833" s="10">
        <v>335.86</v>
      </c>
      <c r="K1833" s="10">
        <v>64.83</v>
      </c>
      <c r="L1833" s="10">
        <v>26.07</v>
      </c>
      <c r="M1833" s="10">
        <v>426.76</v>
      </c>
      <c r="N1833" s="8">
        <v>6</v>
      </c>
    </row>
    <row r="1834" spans="1:15" x14ac:dyDescent="0.25">
      <c r="A1834" s="8">
        <v>31319</v>
      </c>
      <c r="B1834" s="9" t="s">
        <v>0</v>
      </c>
      <c r="C1834" s="9" t="s">
        <v>37</v>
      </c>
      <c r="D1834" s="9" t="s">
        <v>19</v>
      </c>
      <c r="E1834" s="9" t="s">
        <v>3</v>
      </c>
      <c r="F1834" s="9" t="str">
        <f t="shared" si="28"/>
        <v>Not Delivered</v>
      </c>
      <c r="G1834" s="9" t="b">
        <v>0</v>
      </c>
      <c r="H1834" s="9" t="s">
        <v>14</v>
      </c>
      <c r="I1834" s="8">
        <v>8393</v>
      </c>
      <c r="J1834" s="10">
        <v>490.86</v>
      </c>
      <c r="K1834" s="10">
        <v>30.23</v>
      </c>
      <c r="L1834" s="10">
        <v>0</v>
      </c>
      <c r="M1834" s="10">
        <v>521.09</v>
      </c>
      <c r="N1834" s="8">
        <v>12</v>
      </c>
      <c r="O1834" s="6">
        <v>3.1</v>
      </c>
    </row>
    <row r="1835" spans="1:15" x14ac:dyDescent="0.25">
      <c r="A1835" s="8">
        <v>19661</v>
      </c>
      <c r="B1835" s="9" t="s">
        <v>39</v>
      </c>
      <c r="C1835" s="9" t="s">
        <v>40</v>
      </c>
      <c r="D1835" s="9" t="s">
        <v>19</v>
      </c>
      <c r="E1835" s="9" t="s">
        <v>32</v>
      </c>
      <c r="F1835" s="9" t="str">
        <f t="shared" si="28"/>
        <v>Not Delivered</v>
      </c>
      <c r="G1835" s="9" t="b">
        <v>0</v>
      </c>
      <c r="H1835" s="9" t="s">
        <v>33</v>
      </c>
      <c r="I1835" s="8">
        <v>1547</v>
      </c>
      <c r="J1835" s="10">
        <v>1379.32</v>
      </c>
      <c r="K1835" s="10">
        <v>0</v>
      </c>
      <c r="L1835" s="10">
        <v>0</v>
      </c>
      <c r="M1835" s="10">
        <v>1379.32</v>
      </c>
      <c r="N1835" s="8">
        <v>9</v>
      </c>
      <c r="O1835" s="6">
        <v>2.6</v>
      </c>
    </row>
    <row r="1836" spans="1:15" x14ac:dyDescent="0.25">
      <c r="A1836" s="8">
        <v>48654</v>
      </c>
      <c r="B1836" s="9" t="s">
        <v>23</v>
      </c>
      <c r="C1836" s="9" t="s">
        <v>34</v>
      </c>
      <c r="D1836" s="9" t="s">
        <v>16</v>
      </c>
      <c r="E1836" s="9" t="s">
        <v>17</v>
      </c>
      <c r="F1836" s="9" t="str">
        <f t="shared" si="28"/>
        <v>Not Delivered</v>
      </c>
      <c r="G1836" s="9" t="b">
        <v>0</v>
      </c>
      <c r="H1836" s="9" t="s">
        <v>33</v>
      </c>
      <c r="I1836" s="8">
        <v>1328</v>
      </c>
      <c r="J1836" s="10">
        <v>322.01</v>
      </c>
      <c r="K1836" s="10">
        <v>25.53</v>
      </c>
      <c r="L1836" s="10">
        <v>0</v>
      </c>
      <c r="M1836" s="10">
        <v>347.54</v>
      </c>
      <c r="N1836" s="8">
        <v>9</v>
      </c>
      <c r="O1836" s="6">
        <v>4.5</v>
      </c>
    </row>
    <row r="1837" spans="1:15" x14ac:dyDescent="0.25">
      <c r="A1837" s="8">
        <v>51774</v>
      </c>
      <c r="B1837" s="9" t="s">
        <v>0</v>
      </c>
      <c r="C1837" s="9" t="s">
        <v>51</v>
      </c>
      <c r="D1837" s="9" t="s">
        <v>2</v>
      </c>
      <c r="E1837" s="9" t="s">
        <v>3</v>
      </c>
      <c r="F1837" s="9" t="str">
        <f t="shared" si="28"/>
        <v>Not Delivered</v>
      </c>
      <c r="G1837" s="9" t="b">
        <v>0</v>
      </c>
      <c r="H1837" s="9" t="s">
        <v>18</v>
      </c>
      <c r="I1837" s="8">
        <v>5278</v>
      </c>
      <c r="J1837" s="10">
        <v>893.1</v>
      </c>
      <c r="K1837" s="10">
        <v>0</v>
      </c>
      <c r="L1837" s="10">
        <v>0</v>
      </c>
      <c r="M1837" s="10">
        <v>893.1</v>
      </c>
      <c r="N1837" s="8">
        <v>14</v>
      </c>
      <c r="O1837" s="6">
        <v>2.5</v>
      </c>
    </row>
    <row r="1838" spans="1:15" x14ac:dyDescent="0.25">
      <c r="A1838" s="8">
        <v>23726</v>
      </c>
      <c r="B1838" s="9" t="s">
        <v>23</v>
      </c>
      <c r="C1838" s="9" t="s">
        <v>49</v>
      </c>
      <c r="D1838" s="9" t="s">
        <v>25</v>
      </c>
      <c r="E1838" s="9" t="s">
        <v>8</v>
      </c>
      <c r="F1838" s="9" t="str">
        <f t="shared" si="28"/>
        <v>Not Delivered</v>
      </c>
      <c r="G1838" s="9" t="b">
        <v>0</v>
      </c>
      <c r="H1838" s="9" t="s">
        <v>28</v>
      </c>
      <c r="I1838" s="8">
        <v>2215</v>
      </c>
      <c r="J1838" s="10">
        <v>1138.1400000000001</v>
      </c>
      <c r="K1838" s="10">
        <v>60.13</v>
      </c>
      <c r="L1838" s="10">
        <v>0</v>
      </c>
      <c r="M1838" s="10">
        <v>1198.27</v>
      </c>
      <c r="N1838" s="8">
        <v>4</v>
      </c>
      <c r="O1838" s="6">
        <v>3.7</v>
      </c>
    </row>
    <row r="1839" spans="1:15" x14ac:dyDescent="0.25">
      <c r="A1839" s="8">
        <v>54801</v>
      </c>
      <c r="B1839" s="9" t="s">
        <v>41</v>
      </c>
      <c r="C1839" s="9" t="s">
        <v>46</v>
      </c>
      <c r="D1839" s="9" t="s">
        <v>16</v>
      </c>
      <c r="E1839" s="9" t="s">
        <v>17</v>
      </c>
      <c r="F1839" s="9" t="str">
        <f t="shared" si="28"/>
        <v>Not Delivered</v>
      </c>
      <c r="G1839" s="9" t="b">
        <v>1</v>
      </c>
      <c r="H1839" s="9" t="s">
        <v>33</v>
      </c>
      <c r="I1839" s="8">
        <v>3787</v>
      </c>
      <c r="J1839" s="10">
        <v>1337.38</v>
      </c>
      <c r="K1839" s="10">
        <v>0</v>
      </c>
      <c r="L1839" s="10">
        <v>77.239999999999995</v>
      </c>
      <c r="M1839" s="10">
        <v>1414.62</v>
      </c>
      <c r="N1839" s="8">
        <v>7</v>
      </c>
      <c r="O1839" s="6">
        <v>3.6</v>
      </c>
    </row>
    <row r="1840" spans="1:15" x14ac:dyDescent="0.25">
      <c r="A1840" s="8">
        <v>59212</v>
      </c>
      <c r="B1840" s="9" t="s">
        <v>23</v>
      </c>
      <c r="C1840" s="9" t="s">
        <v>49</v>
      </c>
      <c r="D1840" s="9" t="s">
        <v>38</v>
      </c>
      <c r="E1840" s="9" t="s">
        <v>8</v>
      </c>
      <c r="F1840" s="9" t="str">
        <f t="shared" si="28"/>
        <v>Not Delivered</v>
      </c>
      <c r="G1840" s="9" t="b">
        <v>0</v>
      </c>
      <c r="H1840" s="9" t="s">
        <v>9</v>
      </c>
      <c r="I1840" s="8">
        <v>3636</v>
      </c>
      <c r="J1840" s="10">
        <v>654.70000000000005</v>
      </c>
      <c r="K1840" s="10">
        <v>0</v>
      </c>
      <c r="L1840" s="10">
        <v>0</v>
      </c>
      <c r="M1840" s="10">
        <v>654.70000000000005</v>
      </c>
      <c r="N1840" s="8">
        <v>5</v>
      </c>
    </row>
    <row r="1841" spans="1:15" x14ac:dyDescent="0.25">
      <c r="A1841" s="8">
        <v>19830</v>
      </c>
      <c r="B1841" s="9" t="s">
        <v>5</v>
      </c>
      <c r="C1841" s="9" t="s">
        <v>6</v>
      </c>
      <c r="D1841" s="9" t="s">
        <v>27</v>
      </c>
      <c r="E1841" s="9" t="s">
        <v>13</v>
      </c>
      <c r="F1841" s="9" t="str">
        <f t="shared" si="28"/>
        <v>Delivered</v>
      </c>
      <c r="G1841" s="9" t="b">
        <v>0</v>
      </c>
      <c r="H1841" s="9" t="s">
        <v>9</v>
      </c>
      <c r="I1841" s="8">
        <v>9962</v>
      </c>
      <c r="J1841" s="10">
        <v>2254.59</v>
      </c>
      <c r="K1841" s="10">
        <v>119.66</v>
      </c>
      <c r="L1841" s="10">
        <v>0</v>
      </c>
      <c r="M1841" s="10">
        <v>2374.25</v>
      </c>
      <c r="N1841" s="8">
        <v>11</v>
      </c>
      <c r="O1841" s="6">
        <v>2.2999999999999998</v>
      </c>
    </row>
    <row r="1842" spans="1:15" x14ac:dyDescent="0.25">
      <c r="A1842" s="8">
        <v>22203</v>
      </c>
      <c r="B1842" s="9" t="s">
        <v>10</v>
      </c>
      <c r="C1842" s="9" t="s">
        <v>26</v>
      </c>
      <c r="D1842" s="9" t="s">
        <v>7</v>
      </c>
      <c r="E1842" s="9" t="s">
        <v>3</v>
      </c>
      <c r="F1842" s="9" t="str">
        <f t="shared" si="28"/>
        <v>Not Delivered</v>
      </c>
      <c r="G1842" s="9" t="b">
        <v>1</v>
      </c>
      <c r="H1842" s="9" t="s">
        <v>9</v>
      </c>
      <c r="I1842" s="8">
        <v>6536</v>
      </c>
      <c r="J1842" s="10">
        <v>1953.09</v>
      </c>
      <c r="K1842" s="10">
        <v>53.75</v>
      </c>
      <c r="L1842" s="10">
        <v>74.52</v>
      </c>
      <c r="M1842" s="10">
        <v>2081.36</v>
      </c>
      <c r="N1842" s="8">
        <v>4</v>
      </c>
    </row>
    <row r="1843" spans="1:15" x14ac:dyDescent="0.25">
      <c r="A1843" s="8">
        <v>87860</v>
      </c>
      <c r="B1843" s="9" t="s">
        <v>23</v>
      </c>
      <c r="C1843" s="9" t="s">
        <v>54</v>
      </c>
      <c r="D1843" s="9" t="s">
        <v>12</v>
      </c>
      <c r="E1843" s="9" t="s">
        <v>21</v>
      </c>
      <c r="F1843" s="9" t="str">
        <f t="shared" si="28"/>
        <v>Not Delivered</v>
      </c>
      <c r="G1843" s="9" t="b">
        <v>0</v>
      </c>
      <c r="H1843" s="9" t="s">
        <v>14</v>
      </c>
      <c r="I1843" s="8">
        <v>8909</v>
      </c>
      <c r="J1843" s="10">
        <v>532.80999999999995</v>
      </c>
      <c r="K1843" s="10">
        <v>137.24</v>
      </c>
      <c r="L1843" s="10">
        <v>0</v>
      </c>
      <c r="M1843" s="10">
        <v>670.05</v>
      </c>
      <c r="N1843" s="8">
        <v>11</v>
      </c>
      <c r="O1843" s="6">
        <v>2.1</v>
      </c>
    </row>
    <row r="1844" spans="1:15" x14ac:dyDescent="0.25">
      <c r="A1844" s="8">
        <v>14062</v>
      </c>
      <c r="B1844" s="9" t="s">
        <v>41</v>
      </c>
      <c r="C1844" s="9" t="s">
        <v>46</v>
      </c>
      <c r="D1844" s="9" t="s">
        <v>16</v>
      </c>
      <c r="E1844" s="9" t="s">
        <v>13</v>
      </c>
      <c r="F1844" s="9" t="str">
        <f t="shared" si="28"/>
        <v>Delivered</v>
      </c>
      <c r="G1844" s="9" t="b">
        <v>0</v>
      </c>
      <c r="H1844" s="9" t="s">
        <v>22</v>
      </c>
      <c r="I1844" s="8">
        <v>8066</v>
      </c>
      <c r="J1844" s="10">
        <v>1602.35</v>
      </c>
      <c r="K1844" s="10">
        <v>142.66</v>
      </c>
      <c r="L1844" s="10">
        <v>0</v>
      </c>
      <c r="M1844" s="10">
        <v>1745.01</v>
      </c>
      <c r="N1844" s="8">
        <v>10</v>
      </c>
      <c r="O1844" s="6">
        <v>2.7</v>
      </c>
    </row>
    <row r="1845" spans="1:15" x14ac:dyDescent="0.25">
      <c r="A1845" s="8">
        <v>95673</v>
      </c>
      <c r="B1845" s="9" t="s">
        <v>0</v>
      </c>
      <c r="C1845" s="9" t="s">
        <v>43</v>
      </c>
      <c r="D1845" s="9" t="s">
        <v>30</v>
      </c>
      <c r="E1845" s="9" t="s">
        <v>3</v>
      </c>
      <c r="F1845" s="9" t="str">
        <f t="shared" si="28"/>
        <v>Not Delivered</v>
      </c>
      <c r="G1845" s="9" t="b">
        <v>1</v>
      </c>
      <c r="H1845" s="9" t="s">
        <v>14</v>
      </c>
      <c r="I1845" s="8">
        <v>3703</v>
      </c>
      <c r="J1845" s="10">
        <v>1184.05</v>
      </c>
      <c r="K1845" s="10">
        <v>50.36</v>
      </c>
      <c r="L1845" s="10">
        <v>75.28</v>
      </c>
      <c r="M1845" s="10">
        <v>1309.69</v>
      </c>
      <c r="N1845" s="8">
        <v>13</v>
      </c>
      <c r="O1845" s="6">
        <v>4.8</v>
      </c>
    </row>
    <row r="1846" spans="1:15" x14ac:dyDescent="0.25">
      <c r="A1846" s="8">
        <v>89602</v>
      </c>
      <c r="B1846" s="9" t="s">
        <v>10</v>
      </c>
      <c r="C1846" s="9" t="s">
        <v>11</v>
      </c>
      <c r="D1846" s="9" t="s">
        <v>45</v>
      </c>
      <c r="E1846" s="9" t="s">
        <v>17</v>
      </c>
      <c r="F1846" s="9" t="str">
        <f t="shared" si="28"/>
        <v>Not Delivered</v>
      </c>
      <c r="G1846" s="9" t="b">
        <v>1</v>
      </c>
      <c r="H1846" s="9" t="s">
        <v>9</v>
      </c>
      <c r="I1846" s="8">
        <v>8113</v>
      </c>
      <c r="J1846" s="10">
        <v>1533.36</v>
      </c>
      <c r="K1846" s="10">
        <v>135.57</v>
      </c>
      <c r="L1846" s="10">
        <v>153.76</v>
      </c>
      <c r="M1846" s="10">
        <v>1822.69</v>
      </c>
      <c r="N1846" s="8">
        <v>8</v>
      </c>
    </row>
    <row r="1847" spans="1:15" x14ac:dyDescent="0.25">
      <c r="A1847" s="8">
        <v>30591</v>
      </c>
      <c r="B1847" s="9" t="s">
        <v>10</v>
      </c>
      <c r="C1847" s="9" t="s">
        <v>29</v>
      </c>
      <c r="D1847" s="9" t="s">
        <v>38</v>
      </c>
      <c r="E1847" s="9" t="s">
        <v>17</v>
      </c>
      <c r="F1847" s="9" t="str">
        <f t="shared" si="28"/>
        <v>Not Delivered</v>
      </c>
      <c r="G1847" s="9" t="b">
        <v>1</v>
      </c>
      <c r="H1847" s="9" t="s">
        <v>28</v>
      </c>
      <c r="I1847" s="8">
        <v>1877</v>
      </c>
      <c r="J1847" s="10">
        <v>140.41999999999999</v>
      </c>
      <c r="K1847" s="10">
        <v>97.59</v>
      </c>
      <c r="L1847" s="10">
        <v>43.94</v>
      </c>
      <c r="M1847" s="10">
        <v>281.95</v>
      </c>
      <c r="N1847" s="8">
        <v>14</v>
      </c>
      <c r="O1847" s="6">
        <v>2.1</v>
      </c>
    </row>
    <row r="1848" spans="1:15" x14ac:dyDescent="0.25">
      <c r="A1848" s="8">
        <v>23272</v>
      </c>
      <c r="B1848" s="9" t="s">
        <v>10</v>
      </c>
      <c r="C1848" s="9" t="s">
        <v>29</v>
      </c>
      <c r="D1848" s="9" t="s">
        <v>38</v>
      </c>
      <c r="E1848" s="9" t="s">
        <v>13</v>
      </c>
      <c r="F1848" s="9" t="str">
        <f t="shared" si="28"/>
        <v>Delivered</v>
      </c>
      <c r="G1848" s="9" t="b">
        <v>0</v>
      </c>
      <c r="H1848" s="9" t="s">
        <v>18</v>
      </c>
      <c r="I1848" s="8">
        <v>6424</v>
      </c>
      <c r="J1848" s="10">
        <v>1222.23</v>
      </c>
      <c r="K1848" s="10">
        <v>140.11000000000001</v>
      </c>
      <c r="L1848" s="10">
        <v>0</v>
      </c>
      <c r="M1848" s="10">
        <v>1362.34</v>
      </c>
      <c r="N1848" s="8">
        <v>4</v>
      </c>
      <c r="O1848" s="6">
        <v>2.8</v>
      </c>
    </row>
    <row r="1849" spans="1:15" x14ac:dyDescent="0.25">
      <c r="A1849" s="8">
        <v>36941</v>
      </c>
      <c r="B1849" s="9" t="s">
        <v>23</v>
      </c>
      <c r="C1849" s="9" t="s">
        <v>48</v>
      </c>
      <c r="D1849" s="9" t="s">
        <v>38</v>
      </c>
      <c r="E1849" s="9" t="s">
        <v>17</v>
      </c>
      <c r="F1849" s="9" t="str">
        <f t="shared" si="28"/>
        <v>Not Delivered</v>
      </c>
      <c r="G1849" s="9" t="b">
        <v>0</v>
      </c>
      <c r="H1849" s="9" t="s">
        <v>18</v>
      </c>
      <c r="I1849" s="8">
        <v>4112</v>
      </c>
      <c r="J1849" s="10">
        <v>817</v>
      </c>
      <c r="K1849" s="10">
        <v>126.1</v>
      </c>
      <c r="L1849" s="10">
        <v>0</v>
      </c>
      <c r="M1849" s="10">
        <v>943.1</v>
      </c>
      <c r="N1849" s="8">
        <v>1</v>
      </c>
      <c r="O1849" s="6">
        <v>1.4</v>
      </c>
    </row>
    <row r="1850" spans="1:15" x14ac:dyDescent="0.25">
      <c r="A1850" s="8">
        <v>63645</v>
      </c>
      <c r="B1850" s="9" t="s">
        <v>5</v>
      </c>
      <c r="C1850" s="9" t="s">
        <v>59</v>
      </c>
      <c r="D1850" s="9" t="s">
        <v>7</v>
      </c>
      <c r="E1850" s="9" t="s">
        <v>13</v>
      </c>
      <c r="F1850" s="9" t="str">
        <f t="shared" si="28"/>
        <v>Delivered</v>
      </c>
      <c r="G1850" s="9" t="b">
        <v>0</v>
      </c>
      <c r="H1850" s="9" t="s">
        <v>33</v>
      </c>
      <c r="I1850" s="8">
        <v>9849</v>
      </c>
      <c r="J1850" s="10">
        <v>2300.23</v>
      </c>
      <c r="K1850" s="10">
        <v>84.91</v>
      </c>
      <c r="L1850" s="10">
        <v>0</v>
      </c>
      <c r="M1850" s="10">
        <v>2385.14</v>
      </c>
      <c r="N1850" s="8">
        <v>1</v>
      </c>
      <c r="O1850" s="6">
        <v>1.5</v>
      </c>
    </row>
    <row r="1851" spans="1:15" x14ac:dyDescent="0.25">
      <c r="A1851" s="8">
        <v>44768</v>
      </c>
      <c r="B1851" s="9" t="s">
        <v>23</v>
      </c>
      <c r="C1851" s="9" t="s">
        <v>60</v>
      </c>
      <c r="D1851" s="9" t="s">
        <v>27</v>
      </c>
      <c r="E1851" s="9" t="s">
        <v>13</v>
      </c>
      <c r="F1851" s="9" t="str">
        <f t="shared" si="28"/>
        <v>Delivered</v>
      </c>
      <c r="G1851" s="9" t="b">
        <v>1</v>
      </c>
      <c r="H1851" s="9" t="s">
        <v>9</v>
      </c>
      <c r="I1851" s="8">
        <v>5612</v>
      </c>
      <c r="J1851" s="10">
        <v>2782.91</v>
      </c>
      <c r="K1851" s="10">
        <v>0</v>
      </c>
      <c r="L1851" s="10">
        <v>94.72</v>
      </c>
      <c r="M1851" s="10">
        <v>2877.63</v>
      </c>
      <c r="N1851" s="8">
        <v>10</v>
      </c>
    </row>
    <row r="1852" spans="1:15" x14ac:dyDescent="0.25">
      <c r="A1852" s="8">
        <v>48980</v>
      </c>
      <c r="B1852" s="9" t="s">
        <v>39</v>
      </c>
      <c r="C1852" s="9" t="s">
        <v>40</v>
      </c>
      <c r="D1852" s="9" t="s">
        <v>38</v>
      </c>
      <c r="E1852" s="9" t="s">
        <v>13</v>
      </c>
      <c r="F1852" s="9" t="str">
        <f t="shared" si="28"/>
        <v>Delivered</v>
      </c>
      <c r="G1852" s="9" t="b">
        <v>1</v>
      </c>
      <c r="H1852" s="9" t="s">
        <v>4</v>
      </c>
      <c r="I1852" s="8">
        <v>4891</v>
      </c>
      <c r="J1852" s="10">
        <v>90.4</v>
      </c>
      <c r="K1852" s="10">
        <v>81.849999999999994</v>
      </c>
      <c r="M1852" s="10">
        <v>198.66</v>
      </c>
      <c r="N1852" s="8">
        <v>12</v>
      </c>
      <c r="O1852" s="6">
        <v>3.4</v>
      </c>
    </row>
    <row r="1853" spans="1:15" x14ac:dyDescent="0.25">
      <c r="A1853" s="8">
        <v>22571</v>
      </c>
      <c r="B1853" s="9" t="s">
        <v>41</v>
      </c>
      <c r="C1853" s="9" t="s">
        <v>46</v>
      </c>
      <c r="D1853" s="9" t="s">
        <v>27</v>
      </c>
      <c r="E1853" s="9" t="s">
        <v>32</v>
      </c>
      <c r="F1853" s="9" t="str">
        <f t="shared" si="28"/>
        <v>Not Delivered</v>
      </c>
      <c r="G1853" s="9" t="b">
        <v>1</v>
      </c>
      <c r="H1853" s="9" t="s">
        <v>28</v>
      </c>
      <c r="I1853" s="8">
        <v>1813</v>
      </c>
      <c r="J1853" s="10">
        <v>651.03</v>
      </c>
      <c r="K1853" s="10">
        <v>128.08000000000001</v>
      </c>
      <c r="L1853" s="10">
        <v>40.53</v>
      </c>
      <c r="M1853" s="10">
        <v>819.64</v>
      </c>
      <c r="N1853" s="8">
        <v>12</v>
      </c>
      <c r="O1853" s="6">
        <v>1.4</v>
      </c>
    </row>
    <row r="1854" spans="1:15" x14ac:dyDescent="0.25">
      <c r="A1854" s="8">
        <v>61498</v>
      </c>
      <c r="B1854" s="9" t="s">
        <v>10</v>
      </c>
      <c r="C1854" s="9" t="s">
        <v>15</v>
      </c>
      <c r="D1854" s="9" t="s">
        <v>2</v>
      </c>
      <c r="E1854" s="9" t="s">
        <v>3</v>
      </c>
      <c r="F1854" s="9" t="str">
        <f t="shared" si="28"/>
        <v>Not Delivered</v>
      </c>
      <c r="G1854" s="9" t="b">
        <v>0</v>
      </c>
      <c r="H1854" s="9" t="s">
        <v>28</v>
      </c>
      <c r="I1854" s="8">
        <v>9043</v>
      </c>
      <c r="J1854" s="10">
        <v>1909.02</v>
      </c>
      <c r="K1854" s="10">
        <v>0</v>
      </c>
      <c r="L1854" s="10">
        <v>0</v>
      </c>
      <c r="M1854" s="10">
        <v>1909.02</v>
      </c>
      <c r="N1854" s="8">
        <v>3</v>
      </c>
      <c r="O1854" s="6">
        <v>4.9000000000000004</v>
      </c>
    </row>
    <row r="1855" spans="1:15" x14ac:dyDescent="0.25">
      <c r="A1855" s="8">
        <v>30131</v>
      </c>
      <c r="B1855" s="9" t="s">
        <v>23</v>
      </c>
      <c r="C1855" s="9" t="s">
        <v>24</v>
      </c>
      <c r="D1855" s="9" t="s">
        <v>27</v>
      </c>
      <c r="E1855" s="9" t="s">
        <v>32</v>
      </c>
      <c r="F1855" s="9" t="str">
        <f t="shared" si="28"/>
        <v>Not Delivered</v>
      </c>
      <c r="G1855" s="9" t="b">
        <v>1</v>
      </c>
      <c r="H1855" s="9" t="s">
        <v>28</v>
      </c>
      <c r="I1855" s="8">
        <v>1893</v>
      </c>
      <c r="J1855" s="10">
        <v>1213.5999999999999</v>
      </c>
      <c r="K1855" s="10">
        <v>134.19999999999999</v>
      </c>
      <c r="L1855" s="10">
        <v>64.48</v>
      </c>
      <c r="M1855" s="10">
        <v>1412.28</v>
      </c>
      <c r="N1855" s="8">
        <v>5</v>
      </c>
      <c r="O1855" s="6">
        <v>3.8</v>
      </c>
    </row>
    <row r="1856" spans="1:15" x14ac:dyDescent="0.25">
      <c r="A1856" s="8">
        <v>57294</v>
      </c>
      <c r="B1856" s="9" t="s">
        <v>39</v>
      </c>
      <c r="C1856" s="9" t="s">
        <v>57</v>
      </c>
      <c r="D1856" s="9" t="s">
        <v>16</v>
      </c>
      <c r="E1856" s="9" t="s">
        <v>32</v>
      </c>
      <c r="F1856" s="9" t="str">
        <f t="shared" si="28"/>
        <v>Not Delivered</v>
      </c>
      <c r="G1856" s="9" t="b">
        <v>1</v>
      </c>
      <c r="H1856" s="9" t="s">
        <v>4</v>
      </c>
      <c r="I1856" s="8">
        <v>1062</v>
      </c>
      <c r="J1856" s="10">
        <v>233.19</v>
      </c>
      <c r="K1856" s="10">
        <v>87.13</v>
      </c>
      <c r="L1856" s="10">
        <v>29.81</v>
      </c>
      <c r="M1856" s="10">
        <v>350.13</v>
      </c>
      <c r="N1856" s="8">
        <v>7</v>
      </c>
      <c r="O1856" s="6">
        <v>1.4</v>
      </c>
    </row>
    <row r="1857" spans="1:15" x14ac:dyDescent="0.25">
      <c r="A1857" s="8">
        <v>66047</v>
      </c>
      <c r="B1857" s="9" t="s">
        <v>39</v>
      </c>
      <c r="C1857" s="9" t="s">
        <v>57</v>
      </c>
      <c r="D1857" s="9" t="s">
        <v>35</v>
      </c>
      <c r="E1857" s="9" t="s">
        <v>32</v>
      </c>
      <c r="F1857" s="9" t="str">
        <f t="shared" si="28"/>
        <v>Not Delivered</v>
      </c>
      <c r="G1857" s="9" t="b">
        <v>1</v>
      </c>
      <c r="H1857" s="9" t="s">
        <v>9</v>
      </c>
      <c r="I1857" s="8">
        <v>2435</v>
      </c>
      <c r="J1857" s="10">
        <v>292.02</v>
      </c>
      <c r="K1857" s="10">
        <v>54.95</v>
      </c>
      <c r="L1857" s="10">
        <v>48.36</v>
      </c>
      <c r="M1857" s="10">
        <v>395.33</v>
      </c>
      <c r="N1857" s="8">
        <v>3</v>
      </c>
      <c r="O1857" s="6">
        <v>1.1000000000000001</v>
      </c>
    </row>
    <row r="1858" spans="1:15" x14ac:dyDescent="0.25">
      <c r="A1858" s="8">
        <v>48607</v>
      </c>
      <c r="B1858" s="9" t="s">
        <v>39</v>
      </c>
      <c r="C1858" s="9" t="s">
        <v>40</v>
      </c>
      <c r="D1858" s="9" t="s">
        <v>45</v>
      </c>
      <c r="E1858" s="9" t="s">
        <v>3</v>
      </c>
      <c r="F1858" s="9" t="str">
        <f t="shared" si="28"/>
        <v>Not Delivered</v>
      </c>
      <c r="G1858" s="9" t="b">
        <v>0</v>
      </c>
      <c r="H1858" s="9" t="s">
        <v>18</v>
      </c>
      <c r="I1858" s="8">
        <v>8869</v>
      </c>
      <c r="J1858" s="10">
        <v>179.51</v>
      </c>
      <c r="K1858" s="10">
        <v>52.03</v>
      </c>
      <c r="L1858" s="10">
        <v>0</v>
      </c>
      <c r="M1858" s="10">
        <v>231.54</v>
      </c>
      <c r="N1858" s="8">
        <v>9</v>
      </c>
      <c r="O1858" s="6">
        <v>1</v>
      </c>
    </row>
    <row r="1859" spans="1:15" x14ac:dyDescent="0.25">
      <c r="A1859" s="8">
        <v>36171</v>
      </c>
      <c r="B1859" s="9" t="s">
        <v>10</v>
      </c>
      <c r="C1859" s="9" t="s">
        <v>26</v>
      </c>
      <c r="D1859" s="9" t="s">
        <v>45</v>
      </c>
      <c r="E1859" s="9" t="s">
        <v>32</v>
      </c>
      <c r="F1859" s="9" t="str">
        <f t="shared" ref="F1859:F1922" si="29">IF(OR(
E1859="Failed Delivery",
E1859="Cancelled",
E1859="Pending",
E1859="Rescheduled",
E1859="In Transit"
),"Not Delivered","Delivered")</f>
        <v>Not Delivered</v>
      </c>
      <c r="G1859" s="9" t="b">
        <v>1</v>
      </c>
      <c r="H1859" s="9" t="s">
        <v>18</v>
      </c>
      <c r="I1859" s="8">
        <v>2589</v>
      </c>
      <c r="J1859" s="10">
        <v>213.87</v>
      </c>
      <c r="K1859" s="10">
        <v>62.12</v>
      </c>
      <c r="L1859" s="10">
        <v>195.53</v>
      </c>
      <c r="M1859" s="10">
        <v>471.52</v>
      </c>
      <c r="N1859" s="8">
        <v>10</v>
      </c>
      <c r="O1859" s="6">
        <v>1.1000000000000001</v>
      </c>
    </row>
    <row r="1860" spans="1:15" x14ac:dyDescent="0.25">
      <c r="A1860" s="8">
        <v>13373</v>
      </c>
      <c r="B1860" s="9" t="s">
        <v>39</v>
      </c>
      <c r="C1860" s="9" t="s">
        <v>57</v>
      </c>
      <c r="D1860" s="9" t="s">
        <v>30</v>
      </c>
      <c r="E1860" s="9" t="s">
        <v>3</v>
      </c>
      <c r="F1860" s="9" t="str">
        <f t="shared" si="29"/>
        <v>Not Delivered</v>
      </c>
      <c r="G1860" s="9" t="b">
        <v>0</v>
      </c>
      <c r="H1860" s="9" t="s">
        <v>18</v>
      </c>
      <c r="I1860" s="8">
        <v>4390</v>
      </c>
      <c r="J1860" s="10">
        <v>349.1</v>
      </c>
      <c r="K1860" s="10">
        <v>83.4</v>
      </c>
      <c r="L1860" s="10">
        <v>0</v>
      </c>
      <c r="M1860" s="10">
        <v>432.5</v>
      </c>
      <c r="N1860" s="8">
        <v>3</v>
      </c>
      <c r="O1860" s="6">
        <v>1.4</v>
      </c>
    </row>
    <row r="1861" spans="1:15" x14ac:dyDescent="0.25">
      <c r="A1861" s="8">
        <v>32391</v>
      </c>
      <c r="B1861" s="9" t="s">
        <v>5</v>
      </c>
      <c r="C1861" s="9" t="s">
        <v>31</v>
      </c>
      <c r="D1861" s="9" t="s">
        <v>50</v>
      </c>
      <c r="E1861" s="9" t="s">
        <v>13</v>
      </c>
      <c r="F1861" s="9" t="str">
        <f t="shared" si="29"/>
        <v>Delivered</v>
      </c>
      <c r="G1861" s="9" t="b">
        <v>0</v>
      </c>
      <c r="H1861" s="9" t="s">
        <v>14</v>
      </c>
      <c r="I1861" s="8">
        <v>5781</v>
      </c>
      <c r="J1861" s="10">
        <v>1371.43</v>
      </c>
      <c r="K1861" s="10">
        <v>115.51</v>
      </c>
      <c r="L1861" s="10">
        <v>0</v>
      </c>
      <c r="M1861" s="10">
        <v>1486.94</v>
      </c>
      <c r="N1861" s="8">
        <v>3</v>
      </c>
      <c r="O1861" s="6">
        <v>1.1000000000000001</v>
      </c>
    </row>
    <row r="1862" spans="1:15" x14ac:dyDescent="0.25">
      <c r="A1862" s="8">
        <v>20739</v>
      </c>
      <c r="B1862" s="9" t="s">
        <v>0</v>
      </c>
      <c r="C1862" s="9" t="s">
        <v>51</v>
      </c>
      <c r="D1862" s="9" t="s">
        <v>50</v>
      </c>
      <c r="E1862" s="9" t="s">
        <v>13</v>
      </c>
      <c r="F1862" s="9" t="str">
        <f t="shared" si="29"/>
        <v>Delivered</v>
      </c>
      <c r="G1862" s="9" t="b">
        <v>1</v>
      </c>
      <c r="H1862" s="9" t="s">
        <v>28</v>
      </c>
      <c r="I1862" s="8">
        <v>8758</v>
      </c>
      <c r="J1862" s="10">
        <v>1376.74</v>
      </c>
      <c r="K1862" s="10">
        <v>149.88</v>
      </c>
      <c r="L1862" s="10">
        <v>77.36</v>
      </c>
      <c r="M1862" s="10">
        <v>1603.98</v>
      </c>
      <c r="N1862" s="8">
        <v>2</v>
      </c>
      <c r="O1862" s="6">
        <v>1</v>
      </c>
    </row>
    <row r="1863" spans="1:15" x14ac:dyDescent="0.25">
      <c r="A1863" s="8">
        <v>25139</v>
      </c>
      <c r="B1863" s="9" t="s">
        <v>39</v>
      </c>
      <c r="C1863" s="9" t="s">
        <v>57</v>
      </c>
      <c r="D1863" s="9" t="s">
        <v>35</v>
      </c>
      <c r="E1863" s="9" t="s">
        <v>32</v>
      </c>
      <c r="F1863" s="9" t="str">
        <f t="shared" si="29"/>
        <v>Not Delivered</v>
      </c>
      <c r="G1863" s="9" t="b">
        <v>1</v>
      </c>
      <c r="H1863" s="9" t="s">
        <v>4</v>
      </c>
      <c r="I1863" s="8">
        <v>6052</v>
      </c>
      <c r="J1863" s="10">
        <v>1476.22</v>
      </c>
      <c r="K1863" s="10">
        <v>0</v>
      </c>
      <c r="L1863" s="10">
        <v>129.31</v>
      </c>
      <c r="M1863" s="10">
        <v>1605.53</v>
      </c>
      <c r="N1863" s="8">
        <v>13</v>
      </c>
      <c r="O1863" s="6">
        <v>1.5</v>
      </c>
    </row>
    <row r="1864" spans="1:15" x14ac:dyDescent="0.25">
      <c r="A1864" s="8">
        <v>62096</v>
      </c>
      <c r="B1864" s="9" t="s">
        <v>0</v>
      </c>
      <c r="C1864" s="9" t="s">
        <v>37</v>
      </c>
      <c r="D1864" s="9" t="s">
        <v>27</v>
      </c>
      <c r="E1864" s="9" t="s">
        <v>8</v>
      </c>
      <c r="F1864" s="9" t="str">
        <f t="shared" si="29"/>
        <v>Not Delivered</v>
      </c>
      <c r="G1864" s="9" t="b">
        <v>1</v>
      </c>
      <c r="H1864" s="9" t="s">
        <v>4</v>
      </c>
      <c r="I1864" s="8">
        <v>8715</v>
      </c>
      <c r="J1864" s="10">
        <v>175.4</v>
      </c>
      <c r="K1864" s="10">
        <v>50.67</v>
      </c>
      <c r="L1864" s="10">
        <v>175.53</v>
      </c>
      <c r="M1864" s="10">
        <v>401.6</v>
      </c>
      <c r="N1864" s="8">
        <v>3</v>
      </c>
      <c r="O1864" s="6">
        <v>4.7</v>
      </c>
    </row>
    <row r="1865" spans="1:15" x14ac:dyDescent="0.25">
      <c r="A1865" s="8">
        <v>74106</v>
      </c>
      <c r="B1865" s="9" t="s">
        <v>41</v>
      </c>
      <c r="C1865" s="9" t="s">
        <v>61</v>
      </c>
      <c r="D1865" s="9" t="s">
        <v>27</v>
      </c>
      <c r="E1865" s="9" t="s">
        <v>32</v>
      </c>
      <c r="F1865" s="9" t="str">
        <f t="shared" si="29"/>
        <v>Not Delivered</v>
      </c>
      <c r="G1865" s="9" t="b">
        <v>0</v>
      </c>
      <c r="H1865" s="9" t="s">
        <v>9</v>
      </c>
      <c r="I1865" s="8">
        <v>5341</v>
      </c>
      <c r="J1865" s="10">
        <v>971.2</v>
      </c>
      <c r="K1865" s="10">
        <v>129.78</v>
      </c>
      <c r="L1865" s="10">
        <v>0</v>
      </c>
      <c r="M1865" s="10">
        <v>1100.98</v>
      </c>
      <c r="N1865" s="8">
        <v>3</v>
      </c>
      <c r="O1865" s="6">
        <v>1.1000000000000001</v>
      </c>
    </row>
    <row r="1866" spans="1:15" x14ac:dyDescent="0.25">
      <c r="A1866" s="8">
        <v>21945</v>
      </c>
      <c r="B1866" s="9" t="s">
        <v>0</v>
      </c>
      <c r="C1866" s="9" t="s">
        <v>51</v>
      </c>
      <c r="D1866" s="9" t="s">
        <v>38</v>
      </c>
      <c r="E1866" s="9" t="s">
        <v>21</v>
      </c>
      <c r="F1866" s="9" t="str">
        <f t="shared" si="29"/>
        <v>Not Delivered</v>
      </c>
      <c r="G1866" s="9" t="b">
        <v>1</v>
      </c>
      <c r="H1866" s="9" t="s">
        <v>4</v>
      </c>
      <c r="I1866" s="8">
        <v>9914</v>
      </c>
      <c r="J1866" s="10">
        <v>671.08</v>
      </c>
      <c r="K1866" s="10">
        <v>0</v>
      </c>
      <c r="L1866" s="10">
        <v>211.35</v>
      </c>
      <c r="M1866" s="10">
        <v>882.43</v>
      </c>
      <c r="N1866" s="8">
        <v>11</v>
      </c>
      <c r="O1866" s="6">
        <v>4.3</v>
      </c>
    </row>
    <row r="1867" spans="1:15" x14ac:dyDescent="0.25">
      <c r="A1867" s="8">
        <v>60793</v>
      </c>
      <c r="B1867" s="9" t="s">
        <v>0</v>
      </c>
      <c r="C1867" s="9" t="s">
        <v>53</v>
      </c>
      <c r="E1867" s="9" t="s">
        <v>21</v>
      </c>
      <c r="F1867" s="9" t="str">
        <f t="shared" si="29"/>
        <v>Not Delivered</v>
      </c>
      <c r="G1867" s="9" t="b">
        <v>0</v>
      </c>
      <c r="H1867" s="9" t="s">
        <v>22</v>
      </c>
      <c r="I1867" s="8">
        <v>4029</v>
      </c>
      <c r="J1867" s="10">
        <v>596.07000000000005</v>
      </c>
      <c r="K1867" s="10">
        <v>119.2</v>
      </c>
      <c r="L1867" s="10">
        <v>0</v>
      </c>
      <c r="M1867" s="10">
        <v>715.27</v>
      </c>
      <c r="N1867" s="8">
        <v>2</v>
      </c>
      <c r="O1867" s="6">
        <v>1.5</v>
      </c>
    </row>
    <row r="1868" spans="1:15" x14ac:dyDescent="0.25">
      <c r="A1868" s="8">
        <v>58630</v>
      </c>
      <c r="B1868" s="9" t="s">
        <v>5</v>
      </c>
      <c r="C1868" s="9" t="s">
        <v>56</v>
      </c>
      <c r="E1868" s="9" t="s">
        <v>13</v>
      </c>
      <c r="F1868" s="9" t="str">
        <f t="shared" si="29"/>
        <v>Delivered</v>
      </c>
      <c r="G1868" s="9" t="b">
        <v>1</v>
      </c>
      <c r="H1868" s="9" t="s">
        <v>22</v>
      </c>
      <c r="I1868" s="8">
        <v>7249</v>
      </c>
      <c r="J1868" s="10">
        <v>2396.69</v>
      </c>
      <c r="K1868" s="10">
        <v>142.22</v>
      </c>
      <c r="L1868" s="10">
        <v>90.27</v>
      </c>
      <c r="M1868" s="10">
        <v>2629.18</v>
      </c>
      <c r="N1868" s="8">
        <v>9</v>
      </c>
      <c r="O1868" s="6">
        <v>5</v>
      </c>
    </row>
    <row r="1869" spans="1:15" x14ac:dyDescent="0.25">
      <c r="A1869" s="8">
        <v>58418</v>
      </c>
      <c r="B1869" s="9" t="s">
        <v>41</v>
      </c>
      <c r="C1869" s="9" t="s">
        <v>42</v>
      </c>
      <c r="D1869" s="9" t="s">
        <v>25</v>
      </c>
      <c r="E1869" s="9" t="s">
        <v>17</v>
      </c>
      <c r="F1869" s="9" t="str">
        <f t="shared" si="29"/>
        <v>Not Delivered</v>
      </c>
      <c r="G1869" s="9" t="b">
        <v>0</v>
      </c>
      <c r="H1869" s="9" t="s">
        <v>18</v>
      </c>
      <c r="I1869" s="8">
        <v>4056</v>
      </c>
      <c r="J1869" s="10">
        <v>861.66</v>
      </c>
      <c r="K1869" s="10">
        <v>129.12</v>
      </c>
      <c r="L1869" s="10">
        <v>0</v>
      </c>
      <c r="M1869" s="10">
        <v>990.78</v>
      </c>
      <c r="N1869" s="8">
        <v>3</v>
      </c>
      <c r="O1869" s="6">
        <v>2.5</v>
      </c>
    </row>
    <row r="1870" spans="1:15" x14ac:dyDescent="0.25">
      <c r="A1870" s="8">
        <v>68428</v>
      </c>
      <c r="B1870" s="9" t="s">
        <v>41</v>
      </c>
      <c r="C1870" s="9" t="s">
        <v>61</v>
      </c>
      <c r="D1870" s="9" t="s">
        <v>12</v>
      </c>
      <c r="E1870" s="9" t="s">
        <v>21</v>
      </c>
      <c r="F1870" s="9" t="str">
        <f t="shared" si="29"/>
        <v>Not Delivered</v>
      </c>
      <c r="G1870" s="9" t="b">
        <v>1</v>
      </c>
      <c r="H1870" s="9" t="s">
        <v>4</v>
      </c>
      <c r="I1870" s="8">
        <v>1731</v>
      </c>
      <c r="J1870" s="10">
        <v>986.32</v>
      </c>
      <c r="K1870" s="10">
        <v>0</v>
      </c>
      <c r="L1870" s="10">
        <v>273.13</v>
      </c>
      <c r="M1870" s="10">
        <v>1259.45</v>
      </c>
      <c r="N1870" s="8">
        <v>9</v>
      </c>
      <c r="O1870" s="6">
        <v>4.9000000000000004</v>
      </c>
    </row>
    <row r="1871" spans="1:15" x14ac:dyDescent="0.25">
      <c r="A1871" s="8">
        <v>44510</v>
      </c>
      <c r="B1871" s="9" t="s">
        <v>39</v>
      </c>
      <c r="C1871" s="9" t="s">
        <v>52</v>
      </c>
      <c r="E1871" s="9" t="s">
        <v>8</v>
      </c>
      <c r="F1871" s="9" t="str">
        <f t="shared" si="29"/>
        <v>Not Delivered</v>
      </c>
      <c r="G1871" s="9" t="b">
        <v>0</v>
      </c>
      <c r="H1871" s="9" t="s">
        <v>22</v>
      </c>
      <c r="I1871" s="8">
        <v>8204</v>
      </c>
      <c r="J1871" s="10">
        <v>959.99</v>
      </c>
      <c r="K1871" s="10">
        <v>58.58</v>
      </c>
      <c r="L1871" s="10">
        <v>0</v>
      </c>
      <c r="M1871" s="10">
        <v>1018.57</v>
      </c>
      <c r="N1871" s="8">
        <v>1</v>
      </c>
    </row>
    <row r="1872" spans="1:15" x14ac:dyDescent="0.25">
      <c r="A1872" s="8">
        <v>70956</v>
      </c>
      <c r="B1872" s="9" t="s">
        <v>41</v>
      </c>
      <c r="C1872" s="9" t="s">
        <v>46</v>
      </c>
      <c r="D1872" s="9" t="s">
        <v>50</v>
      </c>
      <c r="E1872" s="9" t="s">
        <v>3</v>
      </c>
      <c r="F1872" s="9" t="str">
        <f t="shared" si="29"/>
        <v>Not Delivered</v>
      </c>
      <c r="G1872" s="9" t="b">
        <v>1</v>
      </c>
      <c r="H1872" s="9" t="s">
        <v>4</v>
      </c>
      <c r="I1872" s="8">
        <v>5315</v>
      </c>
      <c r="J1872" s="10">
        <v>1164.68</v>
      </c>
      <c r="K1872" s="10">
        <v>112.53</v>
      </c>
      <c r="L1872" s="10">
        <v>197.96</v>
      </c>
      <c r="M1872" s="10">
        <v>1475.17</v>
      </c>
      <c r="N1872" s="8">
        <v>5</v>
      </c>
      <c r="O1872" s="6">
        <v>3</v>
      </c>
    </row>
    <row r="1873" spans="1:15" x14ac:dyDescent="0.25">
      <c r="A1873" s="8">
        <v>39654</v>
      </c>
      <c r="B1873" s="9" t="s">
        <v>41</v>
      </c>
      <c r="C1873" s="9" t="s">
        <v>46</v>
      </c>
      <c r="D1873" s="9" t="s">
        <v>25</v>
      </c>
      <c r="E1873" s="9" t="s">
        <v>32</v>
      </c>
      <c r="F1873" s="9" t="str">
        <f t="shared" si="29"/>
        <v>Not Delivered</v>
      </c>
      <c r="G1873" s="9" t="b">
        <v>0</v>
      </c>
      <c r="H1873" s="9" t="s">
        <v>4</v>
      </c>
      <c r="I1873" s="8">
        <v>5400</v>
      </c>
      <c r="J1873" s="10">
        <v>557.99</v>
      </c>
      <c r="K1873" s="10">
        <v>102.78</v>
      </c>
      <c r="L1873" s="10">
        <v>0</v>
      </c>
      <c r="M1873" s="10">
        <v>660.77</v>
      </c>
      <c r="N1873" s="8">
        <v>5</v>
      </c>
      <c r="O1873" s="6">
        <v>1.6</v>
      </c>
    </row>
    <row r="1874" spans="1:15" x14ac:dyDescent="0.25">
      <c r="A1874" s="8">
        <v>83956</v>
      </c>
      <c r="B1874" s="9" t="s">
        <v>23</v>
      </c>
      <c r="C1874" s="9" t="s">
        <v>24</v>
      </c>
      <c r="D1874" s="9" t="s">
        <v>19</v>
      </c>
      <c r="E1874" s="9" t="s">
        <v>32</v>
      </c>
      <c r="F1874" s="9" t="str">
        <f t="shared" si="29"/>
        <v>Not Delivered</v>
      </c>
      <c r="G1874" s="9" t="b">
        <v>1</v>
      </c>
      <c r="H1874" s="9" t="s">
        <v>4</v>
      </c>
      <c r="I1874" s="8">
        <v>2009</v>
      </c>
      <c r="J1874" s="10">
        <v>2268.92</v>
      </c>
      <c r="K1874" s="10">
        <v>143.88</v>
      </c>
      <c r="L1874" s="10">
        <v>33.979999999999997</v>
      </c>
      <c r="M1874" s="10">
        <v>2446.7800000000002</v>
      </c>
      <c r="N1874" s="8">
        <v>6</v>
      </c>
    </row>
    <row r="1875" spans="1:15" x14ac:dyDescent="0.25">
      <c r="A1875" s="8">
        <v>29808</v>
      </c>
      <c r="B1875" s="9" t="s">
        <v>5</v>
      </c>
      <c r="C1875" s="9" t="s">
        <v>6</v>
      </c>
      <c r="D1875" s="9" t="s">
        <v>2</v>
      </c>
      <c r="E1875" s="9" t="s">
        <v>17</v>
      </c>
      <c r="F1875" s="9" t="str">
        <f t="shared" si="29"/>
        <v>Not Delivered</v>
      </c>
      <c r="G1875" s="9" t="b">
        <v>1</v>
      </c>
      <c r="H1875" s="9" t="s">
        <v>4</v>
      </c>
      <c r="I1875" s="8">
        <v>2584</v>
      </c>
      <c r="J1875" s="10">
        <v>241.8</v>
      </c>
      <c r="K1875" s="10">
        <v>63.92</v>
      </c>
      <c r="L1875" s="10">
        <v>174.38</v>
      </c>
      <c r="M1875" s="10">
        <v>480.1</v>
      </c>
      <c r="N1875" s="8">
        <v>7</v>
      </c>
      <c r="O1875" s="6">
        <v>3.4</v>
      </c>
    </row>
    <row r="1876" spans="1:15" x14ac:dyDescent="0.25">
      <c r="A1876" s="8">
        <v>21233</v>
      </c>
      <c r="B1876" s="9" t="s">
        <v>41</v>
      </c>
      <c r="C1876" s="9" t="s">
        <v>47</v>
      </c>
      <c r="D1876" s="9" t="s">
        <v>38</v>
      </c>
      <c r="E1876" s="9" t="s">
        <v>8</v>
      </c>
      <c r="F1876" s="9" t="str">
        <f t="shared" si="29"/>
        <v>Not Delivered</v>
      </c>
      <c r="G1876" s="9" t="b">
        <v>1</v>
      </c>
      <c r="H1876" s="9" t="s">
        <v>28</v>
      </c>
      <c r="I1876" s="8">
        <v>6632</v>
      </c>
      <c r="J1876" s="10">
        <v>566.9</v>
      </c>
      <c r="K1876" s="10">
        <v>0</v>
      </c>
      <c r="L1876" s="10">
        <v>39.49</v>
      </c>
      <c r="M1876" s="10">
        <v>606.39</v>
      </c>
      <c r="N1876" s="8">
        <v>14</v>
      </c>
      <c r="O1876" s="6">
        <v>2.5</v>
      </c>
    </row>
    <row r="1877" spans="1:15" x14ac:dyDescent="0.25">
      <c r="A1877" s="8">
        <v>80968</v>
      </c>
      <c r="B1877" s="9" t="s">
        <v>23</v>
      </c>
      <c r="C1877" s="9" t="s">
        <v>24</v>
      </c>
      <c r="D1877" s="9" t="s">
        <v>2</v>
      </c>
      <c r="E1877" s="9" t="s">
        <v>8</v>
      </c>
      <c r="F1877" s="9" t="str">
        <f t="shared" si="29"/>
        <v>Not Delivered</v>
      </c>
      <c r="G1877" s="9" t="b">
        <v>0</v>
      </c>
      <c r="H1877" s="9" t="s">
        <v>9</v>
      </c>
      <c r="I1877" s="8">
        <v>7782</v>
      </c>
      <c r="J1877" s="10">
        <v>2103.71</v>
      </c>
      <c r="L1877" s="10">
        <v>0</v>
      </c>
      <c r="M1877" s="10">
        <v>2103.71</v>
      </c>
      <c r="N1877" s="8">
        <v>12</v>
      </c>
      <c r="O1877" s="6">
        <v>3.7</v>
      </c>
    </row>
    <row r="1878" spans="1:15" x14ac:dyDescent="0.25">
      <c r="A1878" s="8">
        <v>87296</v>
      </c>
      <c r="B1878" s="9" t="s">
        <v>0</v>
      </c>
      <c r="C1878" s="9" t="s">
        <v>43</v>
      </c>
      <c r="D1878" s="9" t="s">
        <v>12</v>
      </c>
      <c r="E1878" s="9" t="s">
        <v>21</v>
      </c>
      <c r="F1878" s="9" t="str">
        <f t="shared" si="29"/>
        <v>Not Delivered</v>
      </c>
      <c r="G1878" s="9" t="b">
        <v>0</v>
      </c>
      <c r="H1878" s="9" t="s">
        <v>9</v>
      </c>
      <c r="I1878" s="8">
        <v>4727</v>
      </c>
      <c r="J1878" s="10">
        <v>223.8</v>
      </c>
      <c r="K1878" s="10">
        <v>25.67</v>
      </c>
      <c r="L1878" s="10">
        <v>0</v>
      </c>
      <c r="M1878" s="10">
        <v>249.47</v>
      </c>
      <c r="N1878" s="8">
        <v>5</v>
      </c>
      <c r="O1878" s="6">
        <v>4.4000000000000004</v>
      </c>
    </row>
    <row r="1879" spans="1:15" x14ac:dyDescent="0.25">
      <c r="A1879" s="8">
        <v>82561</v>
      </c>
      <c r="B1879" s="9" t="s">
        <v>39</v>
      </c>
      <c r="C1879" s="9" t="s">
        <v>52</v>
      </c>
      <c r="D1879" s="9" t="s">
        <v>38</v>
      </c>
      <c r="E1879" s="9" t="s">
        <v>32</v>
      </c>
      <c r="F1879" s="9" t="str">
        <f t="shared" si="29"/>
        <v>Not Delivered</v>
      </c>
      <c r="G1879" s="9" t="b">
        <v>1</v>
      </c>
      <c r="H1879" s="9" t="s">
        <v>9</v>
      </c>
      <c r="I1879" s="8">
        <v>1999</v>
      </c>
      <c r="J1879" s="10">
        <v>631.67999999999995</v>
      </c>
      <c r="K1879" s="10">
        <v>0</v>
      </c>
      <c r="L1879" s="10">
        <v>168.43</v>
      </c>
      <c r="M1879" s="10">
        <v>800.11</v>
      </c>
      <c r="N1879" s="8">
        <v>4</v>
      </c>
      <c r="O1879" s="6">
        <v>4.5999999999999996</v>
      </c>
    </row>
    <row r="1880" spans="1:15" x14ac:dyDescent="0.25">
      <c r="A1880" s="8">
        <v>60738</v>
      </c>
      <c r="B1880" s="9" t="s">
        <v>5</v>
      </c>
      <c r="C1880" s="9" t="s">
        <v>6</v>
      </c>
      <c r="D1880" s="9" t="s">
        <v>50</v>
      </c>
      <c r="E1880" s="9" t="s">
        <v>32</v>
      </c>
      <c r="F1880" s="9" t="str">
        <f t="shared" si="29"/>
        <v>Not Delivered</v>
      </c>
      <c r="G1880" s="9" t="b">
        <v>1</v>
      </c>
      <c r="H1880" s="9" t="s">
        <v>4</v>
      </c>
      <c r="I1880" s="8">
        <v>9561</v>
      </c>
      <c r="J1880" s="10">
        <v>1403.8</v>
      </c>
      <c r="K1880" s="10">
        <v>0</v>
      </c>
      <c r="L1880" s="10">
        <v>169.43</v>
      </c>
      <c r="M1880" s="10">
        <v>1573.23</v>
      </c>
      <c r="N1880" s="8">
        <v>6</v>
      </c>
      <c r="O1880" s="6">
        <v>4</v>
      </c>
    </row>
    <row r="1881" spans="1:15" x14ac:dyDescent="0.25">
      <c r="A1881" s="8">
        <v>64870</v>
      </c>
      <c r="B1881" s="9" t="s">
        <v>23</v>
      </c>
      <c r="C1881" s="9" t="s">
        <v>48</v>
      </c>
      <c r="D1881" s="9" t="s">
        <v>16</v>
      </c>
      <c r="E1881" s="9" t="s">
        <v>3</v>
      </c>
      <c r="F1881" s="9" t="str">
        <f t="shared" si="29"/>
        <v>Not Delivered</v>
      </c>
      <c r="G1881" s="9" t="b">
        <v>0</v>
      </c>
      <c r="H1881" s="9" t="s">
        <v>4</v>
      </c>
      <c r="I1881" s="8">
        <v>9773</v>
      </c>
      <c r="J1881" s="10">
        <v>890.36</v>
      </c>
      <c r="K1881" s="10">
        <v>51.2</v>
      </c>
      <c r="L1881" s="10">
        <v>0</v>
      </c>
      <c r="M1881" s="10">
        <v>941.56</v>
      </c>
      <c r="N1881" s="8">
        <v>4</v>
      </c>
      <c r="O1881" s="6">
        <v>2</v>
      </c>
    </row>
    <row r="1882" spans="1:15" x14ac:dyDescent="0.25">
      <c r="A1882" s="8">
        <v>72236</v>
      </c>
      <c r="B1882" s="9" t="s">
        <v>39</v>
      </c>
      <c r="C1882" s="9" t="s">
        <v>52</v>
      </c>
      <c r="D1882" s="9" t="s">
        <v>16</v>
      </c>
      <c r="E1882" s="9" t="s">
        <v>3</v>
      </c>
      <c r="F1882" s="9" t="str">
        <f t="shared" si="29"/>
        <v>Not Delivered</v>
      </c>
      <c r="G1882" s="9" t="b">
        <v>0</v>
      </c>
      <c r="H1882" s="9" t="s">
        <v>9</v>
      </c>
      <c r="I1882" s="8">
        <v>4860</v>
      </c>
      <c r="J1882" s="10">
        <v>612.59</v>
      </c>
      <c r="K1882" s="10">
        <v>109.72</v>
      </c>
      <c r="L1882" s="10">
        <v>0</v>
      </c>
      <c r="M1882" s="10">
        <v>722.31</v>
      </c>
      <c r="N1882" s="8">
        <v>10</v>
      </c>
      <c r="O1882" s="6">
        <v>2.1</v>
      </c>
    </row>
    <row r="1883" spans="1:15" x14ac:dyDescent="0.25">
      <c r="A1883" s="8">
        <v>72424</v>
      </c>
      <c r="B1883" s="9" t="s">
        <v>23</v>
      </c>
      <c r="C1883" s="9" t="s">
        <v>48</v>
      </c>
      <c r="D1883" s="9" t="s">
        <v>7</v>
      </c>
      <c r="E1883" s="9" t="s">
        <v>8</v>
      </c>
      <c r="F1883" s="9" t="str">
        <f t="shared" si="29"/>
        <v>Not Delivered</v>
      </c>
      <c r="G1883" s="9" t="b">
        <v>1</v>
      </c>
      <c r="H1883" s="9" t="s">
        <v>14</v>
      </c>
      <c r="I1883" s="8">
        <v>5896</v>
      </c>
      <c r="J1883" s="10">
        <v>302.95999999999998</v>
      </c>
      <c r="K1883" s="10">
        <v>29.39</v>
      </c>
      <c r="L1883" s="10">
        <v>188.12</v>
      </c>
      <c r="M1883" s="10">
        <v>520.47</v>
      </c>
      <c r="N1883" s="8">
        <v>12</v>
      </c>
    </row>
    <row r="1884" spans="1:15" x14ac:dyDescent="0.25">
      <c r="A1884" s="8">
        <v>20348</v>
      </c>
      <c r="B1884" s="9" t="s">
        <v>41</v>
      </c>
      <c r="C1884" s="9" t="s">
        <v>47</v>
      </c>
      <c r="D1884" s="9" t="s">
        <v>25</v>
      </c>
      <c r="E1884" s="9" t="s">
        <v>32</v>
      </c>
      <c r="F1884" s="9" t="str">
        <f t="shared" si="29"/>
        <v>Not Delivered</v>
      </c>
      <c r="G1884" s="9" t="b">
        <v>1</v>
      </c>
      <c r="H1884" s="9" t="s">
        <v>9</v>
      </c>
      <c r="I1884" s="8">
        <v>7468</v>
      </c>
      <c r="J1884" s="10">
        <v>1815.18</v>
      </c>
      <c r="K1884" s="10">
        <v>0</v>
      </c>
      <c r="L1884" s="10">
        <v>75.67</v>
      </c>
      <c r="M1884" s="10">
        <v>1890.85</v>
      </c>
      <c r="N1884" s="8">
        <v>10</v>
      </c>
      <c r="O1884" s="6">
        <v>2.2000000000000002</v>
      </c>
    </row>
    <row r="1885" spans="1:15" x14ac:dyDescent="0.25">
      <c r="A1885" s="8">
        <v>14551</v>
      </c>
      <c r="B1885" s="9" t="s">
        <v>23</v>
      </c>
      <c r="C1885" s="9" t="s">
        <v>60</v>
      </c>
      <c r="D1885" s="9" t="s">
        <v>19</v>
      </c>
      <c r="E1885" s="9" t="s">
        <v>13</v>
      </c>
      <c r="F1885" s="9" t="str">
        <f t="shared" si="29"/>
        <v>Delivered</v>
      </c>
      <c r="G1885" s="9" t="b">
        <v>0</v>
      </c>
      <c r="H1885" s="9" t="s">
        <v>22</v>
      </c>
      <c r="I1885" s="8">
        <v>9226</v>
      </c>
      <c r="J1885" s="10">
        <v>1663</v>
      </c>
      <c r="K1885" s="10">
        <v>57</v>
      </c>
      <c r="L1885" s="10">
        <v>0</v>
      </c>
      <c r="M1885" s="10">
        <v>1720</v>
      </c>
      <c r="N1885" s="8">
        <v>12</v>
      </c>
      <c r="O1885" s="6">
        <v>1.5</v>
      </c>
    </row>
    <row r="1886" spans="1:15" x14ac:dyDescent="0.25">
      <c r="A1886" s="8">
        <v>84870</v>
      </c>
      <c r="B1886" s="9" t="s">
        <v>23</v>
      </c>
      <c r="C1886" s="9" t="s">
        <v>54</v>
      </c>
      <c r="D1886" s="9" t="s">
        <v>12</v>
      </c>
      <c r="E1886" s="9" t="s">
        <v>32</v>
      </c>
      <c r="F1886" s="9" t="str">
        <f t="shared" si="29"/>
        <v>Not Delivered</v>
      </c>
      <c r="G1886" s="9" t="b">
        <v>0</v>
      </c>
      <c r="H1886" s="9" t="s">
        <v>18</v>
      </c>
      <c r="I1886" s="8">
        <v>9467</v>
      </c>
      <c r="J1886" s="10">
        <v>1037.98</v>
      </c>
      <c r="K1886" s="10">
        <v>72.23</v>
      </c>
      <c r="L1886" s="10">
        <v>0</v>
      </c>
      <c r="M1886" s="10">
        <v>1110.21</v>
      </c>
      <c r="N1886" s="8">
        <v>1</v>
      </c>
    </row>
    <row r="1887" spans="1:15" x14ac:dyDescent="0.25">
      <c r="A1887" s="8">
        <v>84905</v>
      </c>
      <c r="B1887" s="9" t="s">
        <v>5</v>
      </c>
      <c r="C1887" s="9" t="s">
        <v>59</v>
      </c>
      <c r="D1887" s="9" t="s">
        <v>35</v>
      </c>
      <c r="E1887" s="9" t="s">
        <v>13</v>
      </c>
      <c r="F1887" s="9" t="str">
        <f t="shared" si="29"/>
        <v>Delivered</v>
      </c>
      <c r="G1887" s="9" t="b">
        <v>1</v>
      </c>
      <c r="H1887" s="9" t="s">
        <v>18</v>
      </c>
      <c r="I1887" s="8">
        <v>3415</v>
      </c>
      <c r="J1887" s="10">
        <v>2385.96</v>
      </c>
      <c r="K1887" s="10">
        <v>83.2</v>
      </c>
      <c r="L1887" s="10">
        <v>290.74</v>
      </c>
      <c r="M1887" s="10">
        <v>2759.9</v>
      </c>
      <c r="N1887" s="8">
        <v>11</v>
      </c>
      <c r="O1887" s="6">
        <v>3.5</v>
      </c>
    </row>
    <row r="1888" spans="1:15" x14ac:dyDescent="0.25">
      <c r="A1888" s="8">
        <v>25765</v>
      </c>
      <c r="B1888" s="9" t="s">
        <v>5</v>
      </c>
      <c r="C1888" s="9" t="s">
        <v>56</v>
      </c>
      <c r="D1888" s="9" t="s">
        <v>16</v>
      </c>
      <c r="E1888" s="9" t="s">
        <v>17</v>
      </c>
      <c r="F1888" s="9" t="str">
        <f t="shared" si="29"/>
        <v>Not Delivered</v>
      </c>
      <c r="G1888" s="9" t="b">
        <v>1</v>
      </c>
      <c r="H1888" s="9" t="s">
        <v>4</v>
      </c>
      <c r="I1888" s="8">
        <v>8357</v>
      </c>
      <c r="J1888" s="10">
        <v>1730.78</v>
      </c>
      <c r="K1888" s="10">
        <v>61.44</v>
      </c>
      <c r="L1888" s="10">
        <v>36.619999999999997</v>
      </c>
      <c r="M1888" s="10">
        <v>1828.84</v>
      </c>
      <c r="N1888" s="8">
        <v>3</v>
      </c>
      <c r="O1888" s="6">
        <v>2.1</v>
      </c>
    </row>
    <row r="1889" spans="1:15" x14ac:dyDescent="0.25">
      <c r="A1889" s="8">
        <v>32659</v>
      </c>
      <c r="B1889" s="9" t="s">
        <v>5</v>
      </c>
      <c r="C1889" s="9" t="s">
        <v>36</v>
      </c>
      <c r="D1889" s="9" t="s">
        <v>7</v>
      </c>
      <c r="E1889" s="9" t="s">
        <v>21</v>
      </c>
      <c r="F1889" s="9" t="str">
        <f t="shared" si="29"/>
        <v>Not Delivered</v>
      </c>
      <c r="G1889" s="9" t="b">
        <v>1</v>
      </c>
      <c r="H1889" s="9" t="s">
        <v>22</v>
      </c>
      <c r="I1889" s="8">
        <v>3738</v>
      </c>
      <c r="J1889" s="10">
        <v>1491.58</v>
      </c>
      <c r="K1889" s="10">
        <v>95.83</v>
      </c>
      <c r="L1889" s="10">
        <v>43.09</v>
      </c>
      <c r="M1889" s="10">
        <v>1630.5</v>
      </c>
      <c r="N1889" s="8">
        <v>12</v>
      </c>
      <c r="O1889" s="6">
        <v>1.8</v>
      </c>
    </row>
    <row r="1890" spans="1:15" x14ac:dyDescent="0.25">
      <c r="A1890" s="8">
        <v>37772</v>
      </c>
      <c r="B1890" s="9" t="s">
        <v>0</v>
      </c>
      <c r="C1890" s="9" t="s">
        <v>37</v>
      </c>
      <c r="D1890" s="9" t="s">
        <v>16</v>
      </c>
      <c r="E1890" s="9" t="s">
        <v>3</v>
      </c>
      <c r="F1890" s="9" t="str">
        <f t="shared" si="29"/>
        <v>Not Delivered</v>
      </c>
      <c r="G1890" s="9" t="b">
        <v>1</v>
      </c>
      <c r="H1890" s="9" t="s">
        <v>14</v>
      </c>
      <c r="I1890" s="8">
        <v>4157</v>
      </c>
      <c r="J1890" s="10">
        <v>263.26</v>
      </c>
      <c r="K1890" s="10">
        <v>31.72</v>
      </c>
      <c r="L1890" s="10">
        <v>194.65</v>
      </c>
      <c r="M1890" s="10">
        <v>489.63</v>
      </c>
      <c r="N1890" s="8">
        <v>12</v>
      </c>
      <c r="O1890" s="6">
        <v>3</v>
      </c>
    </row>
    <row r="1891" spans="1:15" x14ac:dyDescent="0.25">
      <c r="A1891" s="8">
        <v>26539</v>
      </c>
      <c r="B1891" s="9" t="s">
        <v>10</v>
      </c>
      <c r="C1891" s="9" t="s">
        <v>29</v>
      </c>
      <c r="D1891" s="9" t="s">
        <v>50</v>
      </c>
      <c r="E1891" s="9" t="s">
        <v>8</v>
      </c>
      <c r="F1891" s="9" t="str">
        <f t="shared" si="29"/>
        <v>Not Delivered</v>
      </c>
      <c r="G1891" s="9" t="b">
        <v>0</v>
      </c>
      <c r="H1891" s="9" t="s">
        <v>28</v>
      </c>
      <c r="I1891" s="8">
        <v>1699</v>
      </c>
      <c r="J1891" s="10">
        <v>1915.87</v>
      </c>
      <c r="K1891" s="10">
        <v>123.05</v>
      </c>
      <c r="L1891" s="10">
        <v>0</v>
      </c>
      <c r="M1891" s="10">
        <v>2038.92</v>
      </c>
      <c r="N1891" s="8">
        <v>5</v>
      </c>
      <c r="O1891" s="6">
        <v>1.2</v>
      </c>
    </row>
    <row r="1892" spans="1:15" x14ac:dyDescent="0.25">
      <c r="A1892" s="8">
        <v>65492</v>
      </c>
      <c r="B1892" s="9" t="s">
        <v>23</v>
      </c>
      <c r="C1892" s="9" t="s">
        <v>54</v>
      </c>
      <c r="D1892" s="9" t="s">
        <v>2</v>
      </c>
      <c r="E1892" s="9" t="s">
        <v>17</v>
      </c>
      <c r="F1892" s="9" t="str">
        <f t="shared" si="29"/>
        <v>Not Delivered</v>
      </c>
      <c r="G1892" s="9" t="b">
        <v>0</v>
      </c>
      <c r="H1892" s="9" t="s">
        <v>33</v>
      </c>
      <c r="I1892" s="8">
        <v>2283</v>
      </c>
      <c r="J1892" s="10">
        <v>1344.04</v>
      </c>
      <c r="K1892" s="10">
        <v>0</v>
      </c>
      <c r="L1892" s="10">
        <v>0</v>
      </c>
      <c r="M1892" s="10">
        <v>1344.04</v>
      </c>
      <c r="N1892" s="8">
        <v>7</v>
      </c>
      <c r="O1892" s="6">
        <v>1.1000000000000001</v>
      </c>
    </row>
    <row r="1893" spans="1:15" x14ac:dyDescent="0.25">
      <c r="A1893" s="8">
        <v>99538</v>
      </c>
      <c r="B1893" s="9" t="s">
        <v>23</v>
      </c>
      <c r="C1893" s="9" t="s">
        <v>60</v>
      </c>
      <c r="D1893" s="9" t="s">
        <v>16</v>
      </c>
      <c r="E1893" s="9" t="s">
        <v>17</v>
      </c>
      <c r="F1893" s="9" t="str">
        <f t="shared" si="29"/>
        <v>Not Delivered</v>
      </c>
      <c r="G1893" s="9" t="b">
        <v>1</v>
      </c>
      <c r="H1893" s="9" t="s">
        <v>9</v>
      </c>
      <c r="I1893" s="8">
        <v>8133</v>
      </c>
      <c r="J1893" s="10">
        <v>1192.96</v>
      </c>
      <c r="K1893" s="10">
        <v>129.85</v>
      </c>
      <c r="L1893" s="10">
        <v>149.18</v>
      </c>
      <c r="M1893" s="10">
        <v>1471.99</v>
      </c>
      <c r="N1893" s="8">
        <v>3</v>
      </c>
      <c r="O1893" s="6">
        <v>2.4</v>
      </c>
    </row>
    <row r="1894" spans="1:15" x14ac:dyDescent="0.25">
      <c r="A1894" s="8">
        <v>36465</v>
      </c>
      <c r="B1894" s="9" t="s">
        <v>39</v>
      </c>
      <c r="C1894" s="9" t="s">
        <v>55</v>
      </c>
      <c r="D1894" s="9" t="s">
        <v>25</v>
      </c>
      <c r="E1894" s="9" t="s">
        <v>21</v>
      </c>
      <c r="F1894" s="9" t="str">
        <f t="shared" si="29"/>
        <v>Not Delivered</v>
      </c>
      <c r="G1894" s="9" t="b">
        <v>1</v>
      </c>
      <c r="H1894" s="9" t="s">
        <v>9</v>
      </c>
      <c r="I1894" s="8">
        <v>3422</v>
      </c>
      <c r="J1894" s="10">
        <v>320.08999999999997</v>
      </c>
      <c r="K1894" s="10">
        <v>95.52</v>
      </c>
      <c r="L1894" s="10">
        <v>91.3</v>
      </c>
      <c r="M1894" s="10">
        <v>506.91</v>
      </c>
      <c r="N1894" s="8">
        <v>11</v>
      </c>
      <c r="O1894" s="6">
        <v>2.6</v>
      </c>
    </row>
    <row r="1895" spans="1:15" x14ac:dyDescent="0.25">
      <c r="A1895" s="8">
        <v>87994</v>
      </c>
      <c r="B1895" s="9" t="s">
        <v>39</v>
      </c>
      <c r="C1895" s="9" t="s">
        <v>58</v>
      </c>
      <c r="D1895" s="9" t="s">
        <v>45</v>
      </c>
      <c r="E1895" s="9" t="s">
        <v>3</v>
      </c>
      <c r="F1895" s="9" t="str">
        <f t="shared" si="29"/>
        <v>Not Delivered</v>
      </c>
      <c r="G1895" s="9" t="b">
        <v>1</v>
      </c>
      <c r="H1895" s="9" t="s">
        <v>14</v>
      </c>
      <c r="I1895" s="8">
        <v>5225</v>
      </c>
      <c r="J1895" s="10">
        <v>1407.63</v>
      </c>
      <c r="K1895" s="10">
        <v>128.32</v>
      </c>
      <c r="L1895" s="10">
        <v>63.8</v>
      </c>
      <c r="M1895" s="10">
        <v>1599.75</v>
      </c>
      <c r="N1895" s="8">
        <v>2</v>
      </c>
      <c r="O1895" s="6">
        <v>3.5</v>
      </c>
    </row>
    <row r="1896" spans="1:15" x14ac:dyDescent="0.25">
      <c r="A1896" s="8">
        <v>51910</v>
      </c>
      <c r="B1896" s="9" t="s">
        <v>41</v>
      </c>
      <c r="C1896" s="9" t="s">
        <v>42</v>
      </c>
      <c r="E1896" s="9" t="s">
        <v>21</v>
      </c>
      <c r="F1896" s="9" t="str">
        <f t="shared" si="29"/>
        <v>Not Delivered</v>
      </c>
      <c r="G1896" s="9" t="b">
        <v>0</v>
      </c>
      <c r="H1896" s="9" t="s">
        <v>4</v>
      </c>
      <c r="I1896" s="8">
        <v>2097</v>
      </c>
      <c r="J1896" s="10">
        <v>1423.4</v>
      </c>
      <c r="K1896" s="10">
        <v>129.01</v>
      </c>
      <c r="L1896" s="10">
        <v>0</v>
      </c>
      <c r="M1896" s="10">
        <v>1552.41</v>
      </c>
      <c r="N1896" s="8">
        <v>8</v>
      </c>
      <c r="O1896" s="6">
        <v>1.3</v>
      </c>
    </row>
    <row r="1897" spans="1:15" x14ac:dyDescent="0.25">
      <c r="A1897" s="8">
        <v>21406</v>
      </c>
      <c r="B1897" s="9" t="s">
        <v>0</v>
      </c>
      <c r="C1897" s="9" t="s">
        <v>53</v>
      </c>
      <c r="D1897" s="9" t="s">
        <v>7</v>
      </c>
      <c r="E1897" s="9" t="s">
        <v>32</v>
      </c>
      <c r="F1897" s="9" t="str">
        <f t="shared" si="29"/>
        <v>Not Delivered</v>
      </c>
      <c r="G1897" s="9" t="b">
        <v>1</v>
      </c>
      <c r="H1897" s="9" t="s">
        <v>33</v>
      </c>
      <c r="I1897" s="8">
        <v>7358</v>
      </c>
      <c r="J1897" s="10">
        <v>746.65</v>
      </c>
      <c r="K1897" s="10">
        <v>0</v>
      </c>
      <c r="L1897" s="10">
        <v>150.06</v>
      </c>
      <c r="M1897" s="10">
        <v>896.71</v>
      </c>
      <c r="N1897" s="8">
        <v>8</v>
      </c>
      <c r="O1897" s="6">
        <v>4.9000000000000004</v>
      </c>
    </row>
    <row r="1898" spans="1:15" x14ac:dyDescent="0.25">
      <c r="A1898" s="8">
        <v>82923</v>
      </c>
      <c r="B1898" s="9" t="s">
        <v>10</v>
      </c>
      <c r="C1898" s="9" t="s">
        <v>29</v>
      </c>
      <c r="D1898" s="9" t="s">
        <v>12</v>
      </c>
      <c r="E1898" s="9" t="s">
        <v>13</v>
      </c>
      <c r="F1898" s="9" t="str">
        <f t="shared" si="29"/>
        <v>Delivered</v>
      </c>
      <c r="G1898" s="9" t="b">
        <v>0</v>
      </c>
      <c r="H1898" s="9" t="s">
        <v>14</v>
      </c>
      <c r="I1898" s="8">
        <v>7510</v>
      </c>
      <c r="J1898" s="10">
        <v>684.44</v>
      </c>
      <c r="K1898" s="10">
        <v>91.93</v>
      </c>
      <c r="L1898" s="10">
        <v>0</v>
      </c>
      <c r="M1898" s="10">
        <v>776.37</v>
      </c>
      <c r="N1898" s="8">
        <v>9</v>
      </c>
      <c r="O1898" s="6">
        <v>1.4</v>
      </c>
    </row>
    <row r="1899" spans="1:15" x14ac:dyDescent="0.25">
      <c r="A1899" s="8">
        <v>82358</v>
      </c>
      <c r="B1899" s="9" t="s">
        <v>0</v>
      </c>
      <c r="C1899" s="9" t="s">
        <v>37</v>
      </c>
      <c r="D1899" s="9" t="s">
        <v>27</v>
      </c>
      <c r="E1899" s="9" t="s">
        <v>8</v>
      </c>
      <c r="F1899" s="9" t="str">
        <f t="shared" si="29"/>
        <v>Not Delivered</v>
      </c>
      <c r="G1899" s="9" t="b">
        <v>1</v>
      </c>
      <c r="H1899" s="9" t="s">
        <v>33</v>
      </c>
      <c r="I1899" s="8">
        <v>6343</v>
      </c>
      <c r="J1899" s="10">
        <v>1541.74</v>
      </c>
      <c r="K1899" s="10">
        <v>125.12</v>
      </c>
      <c r="L1899" s="10">
        <v>125.68</v>
      </c>
      <c r="M1899" s="10">
        <v>1792.54</v>
      </c>
      <c r="N1899" s="8">
        <v>13</v>
      </c>
      <c r="O1899" s="6">
        <v>4.9000000000000004</v>
      </c>
    </row>
    <row r="1900" spans="1:15" x14ac:dyDescent="0.25">
      <c r="A1900" s="8">
        <v>46202</v>
      </c>
      <c r="B1900" s="9" t="s">
        <v>10</v>
      </c>
      <c r="C1900" s="9" t="s">
        <v>26</v>
      </c>
      <c r="D1900" s="9" t="s">
        <v>30</v>
      </c>
      <c r="E1900" s="9" t="s">
        <v>32</v>
      </c>
      <c r="F1900" s="9" t="str">
        <f t="shared" si="29"/>
        <v>Not Delivered</v>
      </c>
      <c r="G1900" s="9" t="b">
        <v>0</v>
      </c>
      <c r="H1900" s="9" t="s">
        <v>9</v>
      </c>
      <c r="I1900" s="8">
        <v>9514</v>
      </c>
      <c r="J1900" s="10">
        <v>1556.19</v>
      </c>
      <c r="K1900" s="10">
        <v>0</v>
      </c>
      <c r="L1900" s="10">
        <v>0</v>
      </c>
      <c r="M1900" s="10">
        <v>1556.19</v>
      </c>
      <c r="N1900" s="8">
        <v>13</v>
      </c>
      <c r="O1900" s="6">
        <v>3.2</v>
      </c>
    </row>
    <row r="1901" spans="1:15" x14ac:dyDescent="0.25">
      <c r="A1901" s="8">
        <v>70051</v>
      </c>
      <c r="B1901" s="9" t="s">
        <v>23</v>
      </c>
      <c r="C1901" s="9" t="s">
        <v>60</v>
      </c>
      <c r="D1901" s="9" t="s">
        <v>30</v>
      </c>
      <c r="E1901" s="9" t="s">
        <v>32</v>
      </c>
      <c r="F1901" s="9" t="str">
        <f t="shared" si="29"/>
        <v>Not Delivered</v>
      </c>
      <c r="G1901" s="9" t="b">
        <v>0</v>
      </c>
      <c r="H1901" s="9" t="s">
        <v>22</v>
      </c>
      <c r="I1901" s="8">
        <v>1202</v>
      </c>
      <c r="J1901" s="10">
        <v>2592.9499999999998</v>
      </c>
      <c r="K1901" s="10">
        <v>80.67</v>
      </c>
      <c r="L1901" s="10">
        <v>0</v>
      </c>
      <c r="M1901" s="10">
        <v>2673.62</v>
      </c>
      <c r="N1901" s="8">
        <v>11</v>
      </c>
      <c r="O1901" s="6">
        <v>2.2000000000000002</v>
      </c>
    </row>
    <row r="1902" spans="1:15" x14ac:dyDescent="0.25">
      <c r="A1902" s="8">
        <v>91665</v>
      </c>
      <c r="B1902" s="9" t="s">
        <v>5</v>
      </c>
      <c r="C1902" s="9" t="s">
        <v>59</v>
      </c>
      <c r="D1902" s="9" t="s">
        <v>12</v>
      </c>
      <c r="E1902" s="9" t="s">
        <v>17</v>
      </c>
      <c r="F1902" s="9" t="str">
        <f t="shared" si="29"/>
        <v>Not Delivered</v>
      </c>
      <c r="G1902" s="9" t="b">
        <v>1</v>
      </c>
      <c r="H1902" s="9" t="s">
        <v>4</v>
      </c>
      <c r="I1902" s="8">
        <v>9561</v>
      </c>
      <c r="J1902" s="10">
        <v>1388.68</v>
      </c>
      <c r="K1902" s="10">
        <v>91.98</v>
      </c>
      <c r="L1902" s="10">
        <v>210.77</v>
      </c>
      <c r="M1902" s="10">
        <v>1691.43</v>
      </c>
      <c r="N1902" s="8">
        <v>14</v>
      </c>
      <c r="O1902" s="6">
        <v>2.4</v>
      </c>
    </row>
    <row r="1903" spans="1:15" x14ac:dyDescent="0.25">
      <c r="A1903" s="8">
        <v>64997</v>
      </c>
      <c r="B1903" s="9" t="s">
        <v>23</v>
      </c>
      <c r="C1903" s="9" t="s">
        <v>60</v>
      </c>
      <c r="D1903" s="9" t="s">
        <v>25</v>
      </c>
      <c r="E1903" s="9" t="s">
        <v>17</v>
      </c>
      <c r="F1903" s="9" t="str">
        <f t="shared" si="29"/>
        <v>Not Delivered</v>
      </c>
      <c r="G1903" s="9" t="b">
        <v>0</v>
      </c>
      <c r="H1903" s="9" t="s">
        <v>22</v>
      </c>
      <c r="I1903" s="8">
        <v>2843</v>
      </c>
      <c r="J1903" s="10">
        <v>608.84</v>
      </c>
      <c r="K1903" s="10">
        <v>81.099999999999994</v>
      </c>
      <c r="L1903" s="10">
        <v>0</v>
      </c>
      <c r="M1903" s="10">
        <v>689.94</v>
      </c>
      <c r="N1903" s="8">
        <v>2</v>
      </c>
      <c r="O1903" s="6">
        <v>1.7</v>
      </c>
    </row>
    <row r="1904" spans="1:15" x14ac:dyDescent="0.25">
      <c r="A1904" s="8">
        <v>64321</v>
      </c>
      <c r="B1904" s="9" t="s">
        <v>39</v>
      </c>
      <c r="C1904" s="9" t="s">
        <v>57</v>
      </c>
      <c r="D1904" s="9" t="s">
        <v>30</v>
      </c>
      <c r="E1904" s="9" t="s">
        <v>3</v>
      </c>
      <c r="F1904" s="9" t="str">
        <f t="shared" si="29"/>
        <v>Not Delivered</v>
      </c>
      <c r="G1904" s="9" t="b">
        <v>1</v>
      </c>
      <c r="H1904" s="9" t="s">
        <v>4</v>
      </c>
      <c r="I1904" s="8">
        <v>3451</v>
      </c>
      <c r="J1904" s="10">
        <v>521.55999999999995</v>
      </c>
      <c r="K1904" s="10">
        <v>102.79</v>
      </c>
      <c r="L1904" s="10">
        <v>74.83</v>
      </c>
      <c r="M1904" s="10">
        <v>699.18</v>
      </c>
      <c r="N1904" s="8">
        <v>2</v>
      </c>
      <c r="O1904" s="6">
        <v>3.6</v>
      </c>
    </row>
    <row r="1905" spans="1:15" x14ac:dyDescent="0.25">
      <c r="A1905" s="8">
        <v>29424</v>
      </c>
      <c r="B1905" s="9" t="s">
        <v>5</v>
      </c>
      <c r="C1905" s="9" t="s">
        <v>36</v>
      </c>
      <c r="D1905" s="9" t="s">
        <v>25</v>
      </c>
      <c r="E1905" s="9" t="s">
        <v>17</v>
      </c>
      <c r="F1905" s="9" t="str">
        <f t="shared" si="29"/>
        <v>Not Delivered</v>
      </c>
      <c r="G1905" s="9" t="b">
        <v>0</v>
      </c>
      <c r="H1905" s="9" t="s">
        <v>4</v>
      </c>
      <c r="I1905" s="8">
        <v>2641</v>
      </c>
      <c r="J1905" s="10">
        <v>575.26</v>
      </c>
      <c r="K1905" s="10">
        <v>70.16</v>
      </c>
      <c r="L1905" s="10">
        <v>0</v>
      </c>
      <c r="M1905" s="10">
        <v>645.41999999999996</v>
      </c>
      <c r="N1905" s="8">
        <v>9</v>
      </c>
      <c r="O1905" s="6">
        <v>3.5</v>
      </c>
    </row>
    <row r="1906" spans="1:15" x14ac:dyDescent="0.25">
      <c r="A1906" s="8">
        <v>23845</v>
      </c>
      <c r="B1906" s="9" t="s">
        <v>10</v>
      </c>
      <c r="C1906" s="9" t="s">
        <v>26</v>
      </c>
      <c r="D1906" s="9" t="s">
        <v>12</v>
      </c>
      <c r="E1906" s="9" t="s">
        <v>8</v>
      </c>
      <c r="F1906" s="9" t="str">
        <f t="shared" si="29"/>
        <v>Not Delivered</v>
      </c>
      <c r="G1906" s="9" t="b">
        <v>0</v>
      </c>
      <c r="H1906" s="9" t="s">
        <v>9</v>
      </c>
      <c r="I1906" s="8">
        <v>2654</v>
      </c>
      <c r="J1906" s="10">
        <v>1882.88</v>
      </c>
      <c r="K1906" s="10">
        <v>0</v>
      </c>
      <c r="L1906" s="10">
        <v>0</v>
      </c>
      <c r="M1906" s="10">
        <v>1882.88</v>
      </c>
      <c r="N1906" s="8">
        <v>14</v>
      </c>
    </row>
    <row r="1907" spans="1:15" x14ac:dyDescent="0.25">
      <c r="A1907" s="8">
        <v>47498</v>
      </c>
      <c r="B1907" s="9" t="s">
        <v>0</v>
      </c>
      <c r="C1907" s="9" t="s">
        <v>1</v>
      </c>
      <c r="D1907" s="9" t="s">
        <v>27</v>
      </c>
      <c r="E1907" s="9" t="s">
        <v>3</v>
      </c>
      <c r="F1907" s="9" t="str">
        <f t="shared" si="29"/>
        <v>Not Delivered</v>
      </c>
      <c r="G1907" s="9" t="b">
        <v>0</v>
      </c>
      <c r="H1907" s="9" t="s">
        <v>28</v>
      </c>
      <c r="I1907" s="8">
        <v>9775</v>
      </c>
      <c r="J1907" s="10">
        <v>1123</v>
      </c>
      <c r="K1907" s="10">
        <v>115.22</v>
      </c>
      <c r="L1907" s="10">
        <v>0</v>
      </c>
      <c r="M1907" s="10">
        <v>1238.22</v>
      </c>
      <c r="N1907" s="8">
        <v>1</v>
      </c>
      <c r="O1907" s="6">
        <v>1.4</v>
      </c>
    </row>
    <row r="1908" spans="1:15" x14ac:dyDescent="0.25">
      <c r="A1908" s="8">
        <v>55071</v>
      </c>
      <c r="B1908" s="9" t="s">
        <v>10</v>
      </c>
      <c r="C1908" s="9" t="s">
        <v>15</v>
      </c>
      <c r="D1908" s="9" t="s">
        <v>27</v>
      </c>
      <c r="E1908" s="9" t="s">
        <v>3</v>
      </c>
      <c r="F1908" s="9" t="str">
        <f t="shared" si="29"/>
        <v>Not Delivered</v>
      </c>
      <c r="G1908" s="9" t="b">
        <v>0</v>
      </c>
      <c r="H1908" s="9" t="s">
        <v>14</v>
      </c>
      <c r="I1908" s="8">
        <v>7732</v>
      </c>
      <c r="J1908" s="10">
        <v>1957.76</v>
      </c>
      <c r="K1908" s="10">
        <v>122.18</v>
      </c>
      <c r="L1908" s="10">
        <v>0</v>
      </c>
      <c r="M1908" s="10">
        <v>2079.94</v>
      </c>
      <c r="N1908" s="8">
        <v>2</v>
      </c>
      <c r="O1908" s="6">
        <v>2.1</v>
      </c>
    </row>
    <row r="1909" spans="1:15" x14ac:dyDescent="0.25">
      <c r="A1909" s="8">
        <v>44620</v>
      </c>
      <c r="B1909" s="9" t="s">
        <v>41</v>
      </c>
      <c r="C1909" s="9" t="s">
        <v>61</v>
      </c>
      <c r="D1909" s="9" t="s">
        <v>38</v>
      </c>
      <c r="E1909" s="9" t="s">
        <v>17</v>
      </c>
      <c r="F1909" s="9" t="str">
        <f t="shared" si="29"/>
        <v>Not Delivered</v>
      </c>
      <c r="G1909" s="9" t="b">
        <v>1</v>
      </c>
      <c r="H1909" s="9" t="s">
        <v>4</v>
      </c>
      <c r="I1909" s="8">
        <v>7275</v>
      </c>
      <c r="J1909" s="10">
        <v>2208.14</v>
      </c>
      <c r="L1909" s="10">
        <v>97.91</v>
      </c>
      <c r="M1909" s="10">
        <v>2418.92</v>
      </c>
      <c r="N1909" s="8">
        <v>6</v>
      </c>
      <c r="O1909" s="6">
        <v>3.1</v>
      </c>
    </row>
    <row r="1910" spans="1:15" x14ac:dyDescent="0.25">
      <c r="A1910" s="8">
        <v>95824</v>
      </c>
      <c r="B1910" s="9" t="s">
        <v>39</v>
      </c>
      <c r="C1910" s="9" t="s">
        <v>40</v>
      </c>
      <c r="D1910" s="9" t="s">
        <v>19</v>
      </c>
      <c r="E1910" s="9" t="s">
        <v>3</v>
      </c>
      <c r="F1910" s="9" t="str">
        <f t="shared" si="29"/>
        <v>Not Delivered</v>
      </c>
      <c r="G1910" s="9" t="b">
        <v>1</v>
      </c>
      <c r="H1910" s="9" t="s">
        <v>4</v>
      </c>
      <c r="I1910" s="8">
        <v>8955</v>
      </c>
      <c r="J1910" s="10">
        <v>872.52</v>
      </c>
      <c r="K1910" s="10">
        <v>133.71</v>
      </c>
      <c r="L1910" s="10">
        <v>170.64</v>
      </c>
      <c r="M1910" s="10">
        <v>1176.8699999999999</v>
      </c>
      <c r="N1910" s="8">
        <v>8</v>
      </c>
      <c r="O1910" s="6">
        <v>1.2</v>
      </c>
    </row>
    <row r="1911" spans="1:15" x14ac:dyDescent="0.25">
      <c r="A1911" s="8">
        <v>84976</v>
      </c>
      <c r="B1911" s="9" t="s">
        <v>39</v>
      </c>
      <c r="C1911" s="9" t="s">
        <v>57</v>
      </c>
      <c r="D1911" s="9" t="s">
        <v>27</v>
      </c>
      <c r="E1911" s="9" t="s">
        <v>21</v>
      </c>
      <c r="F1911" s="9" t="str">
        <f t="shared" si="29"/>
        <v>Not Delivered</v>
      </c>
      <c r="G1911" s="9" t="b">
        <v>0</v>
      </c>
      <c r="H1911" s="9" t="s">
        <v>14</v>
      </c>
      <c r="I1911" s="8">
        <v>8750</v>
      </c>
      <c r="J1911" s="10">
        <v>685.99</v>
      </c>
      <c r="K1911" s="10">
        <v>101.2</v>
      </c>
      <c r="L1911" s="10">
        <v>0</v>
      </c>
      <c r="M1911" s="10">
        <v>787.19</v>
      </c>
      <c r="N1911" s="8">
        <v>14</v>
      </c>
      <c r="O1911" s="6">
        <v>4.5999999999999996</v>
      </c>
    </row>
    <row r="1912" spans="1:15" x14ac:dyDescent="0.25">
      <c r="A1912" s="8">
        <v>14910</v>
      </c>
      <c r="B1912" s="9" t="s">
        <v>41</v>
      </c>
      <c r="C1912" s="9" t="s">
        <v>42</v>
      </c>
      <c r="D1912" s="9" t="s">
        <v>16</v>
      </c>
      <c r="E1912" s="9" t="s">
        <v>21</v>
      </c>
      <c r="F1912" s="9" t="str">
        <f t="shared" si="29"/>
        <v>Not Delivered</v>
      </c>
      <c r="G1912" s="9" t="b">
        <v>1</v>
      </c>
      <c r="H1912" s="9" t="s">
        <v>14</v>
      </c>
      <c r="I1912" s="8">
        <v>3821</v>
      </c>
      <c r="J1912" s="10">
        <v>852.89</v>
      </c>
      <c r="K1912" s="10">
        <v>62.06</v>
      </c>
      <c r="L1912" s="10">
        <v>200.83</v>
      </c>
      <c r="M1912" s="10">
        <v>1115.78</v>
      </c>
      <c r="N1912" s="8">
        <v>4</v>
      </c>
    </row>
    <row r="1913" spans="1:15" x14ac:dyDescent="0.25">
      <c r="A1913" s="8">
        <v>46099</v>
      </c>
      <c r="B1913" s="9" t="s">
        <v>5</v>
      </c>
      <c r="C1913" s="9" t="s">
        <v>6</v>
      </c>
      <c r="D1913" s="9" t="s">
        <v>25</v>
      </c>
      <c r="E1913" s="9" t="s">
        <v>32</v>
      </c>
      <c r="F1913" s="9" t="str">
        <f t="shared" si="29"/>
        <v>Not Delivered</v>
      </c>
      <c r="G1913" s="9" t="b">
        <v>1</v>
      </c>
      <c r="H1913" s="9" t="s">
        <v>22</v>
      </c>
      <c r="I1913" s="8">
        <v>7602</v>
      </c>
      <c r="J1913" s="10">
        <v>618.74</v>
      </c>
      <c r="K1913" s="10">
        <v>0</v>
      </c>
      <c r="L1913" s="10">
        <v>178.44</v>
      </c>
      <c r="M1913" s="10">
        <v>797.18</v>
      </c>
      <c r="N1913" s="8">
        <v>8</v>
      </c>
      <c r="O1913" s="6">
        <v>3</v>
      </c>
    </row>
    <row r="1914" spans="1:15" x14ac:dyDescent="0.25">
      <c r="A1914" s="8">
        <v>28855</v>
      </c>
      <c r="B1914" s="9" t="s">
        <v>10</v>
      </c>
      <c r="C1914" s="9" t="s">
        <v>11</v>
      </c>
      <c r="D1914" s="9" t="s">
        <v>2</v>
      </c>
      <c r="E1914" s="9" t="s">
        <v>17</v>
      </c>
      <c r="F1914" s="9" t="str">
        <f t="shared" si="29"/>
        <v>Not Delivered</v>
      </c>
      <c r="G1914" s="9" t="b">
        <v>1</v>
      </c>
      <c r="H1914" s="9" t="s">
        <v>14</v>
      </c>
      <c r="I1914" s="8">
        <v>7581</v>
      </c>
      <c r="J1914" s="10">
        <v>468.89</v>
      </c>
      <c r="K1914" s="10">
        <v>82.6</v>
      </c>
      <c r="L1914" s="10">
        <v>294.60000000000002</v>
      </c>
      <c r="M1914" s="10">
        <v>846.09</v>
      </c>
      <c r="N1914" s="8">
        <v>3</v>
      </c>
      <c r="O1914" s="6">
        <v>1.5</v>
      </c>
    </row>
    <row r="1915" spans="1:15" x14ac:dyDescent="0.25">
      <c r="A1915" s="8">
        <v>15083</v>
      </c>
      <c r="B1915" s="9" t="s">
        <v>39</v>
      </c>
      <c r="C1915" s="9" t="s">
        <v>55</v>
      </c>
      <c r="D1915" s="9" t="s">
        <v>16</v>
      </c>
      <c r="E1915" s="9" t="s">
        <v>3</v>
      </c>
      <c r="F1915" s="9" t="str">
        <f t="shared" si="29"/>
        <v>Not Delivered</v>
      </c>
      <c r="G1915" s="9" t="b">
        <v>0</v>
      </c>
      <c r="H1915" s="9" t="s">
        <v>22</v>
      </c>
      <c r="I1915" s="8">
        <v>7484</v>
      </c>
      <c r="J1915" s="10">
        <v>1029.82</v>
      </c>
      <c r="K1915" s="10">
        <v>85.24</v>
      </c>
      <c r="L1915" s="10">
        <v>0</v>
      </c>
      <c r="M1915" s="10">
        <v>1115.06</v>
      </c>
      <c r="N1915" s="8">
        <v>5</v>
      </c>
      <c r="O1915" s="6">
        <v>2.9</v>
      </c>
    </row>
    <row r="1916" spans="1:15" x14ac:dyDescent="0.25">
      <c r="A1916" s="8">
        <v>53449</v>
      </c>
      <c r="B1916" s="9" t="s">
        <v>0</v>
      </c>
      <c r="C1916" s="9" t="s">
        <v>51</v>
      </c>
      <c r="D1916" s="9" t="s">
        <v>7</v>
      </c>
      <c r="E1916" s="9" t="s">
        <v>17</v>
      </c>
      <c r="F1916" s="9" t="str">
        <f t="shared" si="29"/>
        <v>Not Delivered</v>
      </c>
      <c r="G1916" s="9" t="b">
        <v>1</v>
      </c>
      <c r="H1916" s="9" t="s">
        <v>33</v>
      </c>
      <c r="I1916" s="8">
        <v>4892</v>
      </c>
      <c r="J1916" s="10">
        <v>259.38</v>
      </c>
      <c r="K1916" s="10">
        <v>71.48</v>
      </c>
      <c r="L1916" s="10">
        <v>78.900000000000006</v>
      </c>
      <c r="M1916" s="10">
        <v>409.76</v>
      </c>
      <c r="N1916" s="8">
        <v>6</v>
      </c>
      <c r="O1916" s="6">
        <v>4.8</v>
      </c>
    </row>
    <row r="1917" spans="1:15" x14ac:dyDescent="0.25">
      <c r="A1917" s="8">
        <v>16460</v>
      </c>
      <c r="B1917" s="9" t="s">
        <v>5</v>
      </c>
      <c r="C1917" s="9" t="s">
        <v>31</v>
      </c>
      <c r="D1917" s="9" t="s">
        <v>12</v>
      </c>
      <c r="E1917" s="9" t="s">
        <v>17</v>
      </c>
      <c r="F1917" s="9" t="str">
        <f t="shared" si="29"/>
        <v>Not Delivered</v>
      </c>
      <c r="G1917" s="9" t="b">
        <v>0</v>
      </c>
      <c r="H1917" s="9" t="s">
        <v>9</v>
      </c>
      <c r="I1917" s="8">
        <v>8785</v>
      </c>
      <c r="J1917" s="10">
        <v>465.51</v>
      </c>
      <c r="K1917" s="10">
        <v>55.49</v>
      </c>
      <c r="L1917" s="10">
        <v>0</v>
      </c>
      <c r="M1917" s="10">
        <v>521</v>
      </c>
      <c r="N1917" s="8">
        <v>14</v>
      </c>
    </row>
    <row r="1918" spans="1:15" x14ac:dyDescent="0.25">
      <c r="A1918" s="8">
        <v>45203</v>
      </c>
      <c r="B1918" s="9" t="s">
        <v>5</v>
      </c>
      <c r="C1918" s="9" t="s">
        <v>36</v>
      </c>
      <c r="D1918" s="9" t="s">
        <v>38</v>
      </c>
      <c r="E1918" s="9" t="s">
        <v>8</v>
      </c>
      <c r="F1918" s="9" t="str">
        <f t="shared" si="29"/>
        <v>Not Delivered</v>
      </c>
      <c r="G1918" s="9" t="b">
        <v>0</v>
      </c>
      <c r="H1918" s="9" t="s">
        <v>22</v>
      </c>
      <c r="I1918" s="8">
        <v>7102</v>
      </c>
      <c r="J1918" s="10">
        <v>654.54</v>
      </c>
      <c r="K1918" s="10">
        <v>0</v>
      </c>
      <c r="L1918" s="10">
        <v>0</v>
      </c>
      <c r="M1918" s="10">
        <v>654.54</v>
      </c>
      <c r="N1918" s="8">
        <v>13</v>
      </c>
      <c r="O1918" s="6">
        <v>4.4000000000000004</v>
      </c>
    </row>
    <row r="1919" spans="1:15" x14ac:dyDescent="0.25">
      <c r="A1919" s="8">
        <v>12651</v>
      </c>
      <c r="B1919" s="9" t="s">
        <v>5</v>
      </c>
      <c r="C1919" s="9" t="s">
        <v>59</v>
      </c>
      <c r="D1919" s="9" t="s">
        <v>25</v>
      </c>
      <c r="E1919" s="9" t="s">
        <v>13</v>
      </c>
      <c r="F1919" s="9" t="str">
        <f t="shared" si="29"/>
        <v>Delivered</v>
      </c>
      <c r="G1919" s="9" t="b">
        <v>1</v>
      </c>
      <c r="H1919" s="9" t="s">
        <v>4</v>
      </c>
      <c r="I1919" s="8">
        <v>6535</v>
      </c>
      <c r="J1919" s="10">
        <v>1437.85</v>
      </c>
      <c r="K1919" s="10">
        <v>0</v>
      </c>
      <c r="L1919" s="10">
        <v>154.18</v>
      </c>
      <c r="M1919" s="10">
        <v>1592.03</v>
      </c>
      <c r="N1919" s="8">
        <v>5</v>
      </c>
      <c r="O1919" s="6">
        <v>1.9</v>
      </c>
    </row>
    <row r="1920" spans="1:15" x14ac:dyDescent="0.25">
      <c r="A1920" s="8">
        <v>49722</v>
      </c>
      <c r="B1920" s="9" t="s">
        <v>0</v>
      </c>
      <c r="C1920" s="9" t="s">
        <v>37</v>
      </c>
      <c r="D1920" s="9" t="s">
        <v>35</v>
      </c>
      <c r="E1920" s="9" t="s">
        <v>17</v>
      </c>
      <c r="F1920" s="9" t="str">
        <f t="shared" si="29"/>
        <v>Not Delivered</v>
      </c>
      <c r="G1920" s="9" t="b">
        <v>0</v>
      </c>
      <c r="H1920" s="9" t="s">
        <v>9</v>
      </c>
      <c r="I1920" s="8">
        <v>6094</v>
      </c>
      <c r="J1920" s="10">
        <v>1141.1300000000001</v>
      </c>
      <c r="K1920" s="10">
        <v>131.4</v>
      </c>
      <c r="L1920" s="10">
        <v>0</v>
      </c>
      <c r="M1920" s="10">
        <v>1272.53</v>
      </c>
      <c r="N1920" s="8">
        <v>14</v>
      </c>
      <c r="O1920" s="6">
        <v>1.6</v>
      </c>
    </row>
    <row r="1921" spans="1:15" x14ac:dyDescent="0.25">
      <c r="A1921" s="8">
        <v>46745</v>
      </c>
      <c r="B1921" s="9" t="s">
        <v>39</v>
      </c>
      <c r="C1921" s="9" t="s">
        <v>52</v>
      </c>
      <c r="D1921" s="9" t="s">
        <v>27</v>
      </c>
      <c r="E1921" s="9" t="s">
        <v>21</v>
      </c>
      <c r="F1921" s="9" t="str">
        <f t="shared" si="29"/>
        <v>Not Delivered</v>
      </c>
      <c r="G1921" s="9" t="b">
        <v>0</v>
      </c>
      <c r="H1921" s="9" t="s">
        <v>14</v>
      </c>
      <c r="I1921" s="8">
        <v>9054</v>
      </c>
      <c r="J1921" s="10">
        <v>1164.3800000000001</v>
      </c>
      <c r="K1921" s="10">
        <v>148.91999999999999</v>
      </c>
      <c r="L1921" s="10">
        <v>0</v>
      </c>
      <c r="M1921" s="10">
        <v>1313.3</v>
      </c>
      <c r="N1921" s="8">
        <v>7</v>
      </c>
      <c r="O1921" s="6">
        <v>2</v>
      </c>
    </row>
    <row r="1922" spans="1:15" x14ac:dyDescent="0.25">
      <c r="A1922" s="8">
        <v>99764</v>
      </c>
      <c r="B1922" s="9" t="s">
        <v>10</v>
      </c>
      <c r="C1922" s="9" t="s">
        <v>29</v>
      </c>
      <c r="D1922" s="9" t="s">
        <v>45</v>
      </c>
      <c r="E1922" s="9" t="s">
        <v>3</v>
      </c>
      <c r="F1922" s="9" t="str">
        <f t="shared" si="29"/>
        <v>Not Delivered</v>
      </c>
      <c r="G1922" s="9" t="b">
        <v>1</v>
      </c>
      <c r="H1922" s="9" t="s">
        <v>33</v>
      </c>
      <c r="I1922" s="8">
        <v>2609</v>
      </c>
      <c r="J1922" s="10">
        <v>688.73</v>
      </c>
      <c r="L1922" s="10">
        <v>101.71</v>
      </c>
      <c r="M1922" s="10">
        <v>790.44</v>
      </c>
      <c r="N1922" s="8">
        <v>2</v>
      </c>
      <c r="O1922" s="6">
        <v>2.1</v>
      </c>
    </row>
    <row r="1923" spans="1:15" x14ac:dyDescent="0.25">
      <c r="A1923" s="8">
        <v>39878</v>
      </c>
      <c r="B1923" s="9" t="s">
        <v>23</v>
      </c>
      <c r="C1923" s="9" t="s">
        <v>54</v>
      </c>
      <c r="D1923" s="9" t="s">
        <v>12</v>
      </c>
      <c r="E1923" s="9" t="s">
        <v>32</v>
      </c>
      <c r="F1923" s="9" t="str">
        <f t="shared" ref="F1923:F1939" si="30">IF(OR(
E1923="Failed Delivery",
E1923="Cancelled",
E1923="Pending",
E1923="Rescheduled",
E1923="In Transit"
),"Not Delivered","Delivered")</f>
        <v>Not Delivered</v>
      </c>
      <c r="G1923" s="9" t="b">
        <v>1</v>
      </c>
      <c r="H1923" s="9" t="s">
        <v>18</v>
      </c>
      <c r="I1923" s="8">
        <v>3201</v>
      </c>
      <c r="J1923" s="10">
        <v>1590.86</v>
      </c>
      <c r="K1923" s="10">
        <v>128.72</v>
      </c>
      <c r="L1923" s="10">
        <v>147.25</v>
      </c>
      <c r="M1923" s="10">
        <v>1866.83</v>
      </c>
      <c r="N1923" s="8">
        <v>9</v>
      </c>
      <c r="O1923" s="6">
        <v>4</v>
      </c>
    </row>
    <row r="1924" spans="1:15" x14ac:dyDescent="0.25">
      <c r="A1924" s="8">
        <v>49384</v>
      </c>
      <c r="B1924" s="9" t="s">
        <v>5</v>
      </c>
      <c r="C1924" s="9" t="s">
        <v>44</v>
      </c>
      <c r="D1924" s="9" t="s">
        <v>50</v>
      </c>
      <c r="E1924" s="9" t="s">
        <v>32</v>
      </c>
      <c r="F1924" s="9" t="str">
        <f t="shared" si="30"/>
        <v>Not Delivered</v>
      </c>
      <c r="G1924" s="9" t="b">
        <v>1</v>
      </c>
      <c r="H1924" s="9" t="s">
        <v>9</v>
      </c>
      <c r="I1924" s="8">
        <v>8259</v>
      </c>
      <c r="J1924" s="10">
        <v>2287.5</v>
      </c>
      <c r="K1924" s="10">
        <v>59.85</v>
      </c>
      <c r="L1924" s="10">
        <v>176.51</v>
      </c>
      <c r="M1924" s="10">
        <v>2523.86</v>
      </c>
      <c r="N1924" s="8">
        <v>8</v>
      </c>
      <c r="O1924" s="6">
        <v>2.4</v>
      </c>
    </row>
    <row r="1925" spans="1:15" x14ac:dyDescent="0.25">
      <c r="A1925" s="8">
        <v>52056</v>
      </c>
      <c r="B1925" s="9" t="s">
        <v>0</v>
      </c>
      <c r="C1925" s="9" t="s">
        <v>1</v>
      </c>
      <c r="D1925" s="9" t="s">
        <v>38</v>
      </c>
      <c r="E1925" s="9" t="s">
        <v>13</v>
      </c>
      <c r="F1925" s="9" t="str">
        <f t="shared" si="30"/>
        <v>Delivered</v>
      </c>
      <c r="G1925" s="9" t="b">
        <v>1</v>
      </c>
      <c r="H1925" s="9" t="s">
        <v>14</v>
      </c>
      <c r="I1925" s="8">
        <v>5414</v>
      </c>
      <c r="J1925" s="10">
        <v>1408</v>
      </c>
      <c r="K1925" s="10">
        <v>96.19</v>
      </c>
      <c r="L1925" s="10">
        <v>152.83000000000001</v>
      </c>
      <c r="M1925" s="10">
        <v>1657.02</v>
      </c>
      <c r="N1925" s="8">
        <v>5</v>
      </c>
      <c r="O1925" s="6">
        <v>2.7</v>
      </c>
    </row>
    <row r="1926" spans="1:15" x14ac:dyDescent="0.25">
      <c r="A1926" s="8">
        <v>64627</v>
      </c>
      <c r="B1926" s="9" t="s">
        <v>10</v>
      </c>
      <c r="C1926" s="9" t="s">
        <v>20</v>
      </c>
      <c r="D1926" s="9" t="s">
        <v>45</v>
      </c>
      <c r="E1926" s="9" t="s">
        <v>17</v>
      </c>
      <c r="F1926" s="9" t="str">
        <f t="shared" si="30"/>
        <v>Not Delivered</v>
      </c>
      <c r="G1926" s="9" t="b">
        <v>1</v>
      </c>
      <c r="H1926" s="9" t="s">
        <v>33</v>
      </c>
      <c r="I1926" s="8">
        <v>2462</v>
      </c>
      <c r="J1926" s="10">
        <v>1569.01</v>
      </c>
      <c r="K1926" s="10">
        <v>53.67</v>
      </c>
      <c r="L1926" s="10">
        <v>165.26</v>
      </c>
      <c r="M1926" s="10">
        <v>1787.94</v>
      </c>
      <c r="N1926" s="8">
        <v>8</v>
      </c>
      <c r="O1926" s="6">
        <v>4.3</v>
      </c>
    </row>
    <row r="1927" spans="1:15" x14ac:dyDescent="0.25">
      <c r="A1927" s="8">
        <v>34633</v>
      </c>
      <c r="B1927" s="9" t="s">
        <v>39</v>
      </c>
      <c r="C1927" s="9" t="s">
        <v>52</v>
      </c>
      <c r="D1927" s="9" t="s">
        <v>50</v>
      </c>
      <c r="E1927" s="9" t="s">
        <v>32</v>
      </c>
      <c r="F1927" s="9" t="str">
        <f t="shared" si="30"/>
        <v>Not Delivered</v>
      </c>
      <c r="G1927" s="9" t="b">
        <v>1</v>
      </c>
      <c r="H1927" s="9" t="s">
        <v>18</v>
      </c>
      <c r="I1927" s="8">
        <v>8237</v>
      </c>
      <c r="J1927" s="10">
        <v>1151.67</v>
      </c>
      <c r="K1927" s="10">
        <v>149.49</v>
      </c>
      <c r="L1927" s="10">
        <v>249.69</v>
      </c>
      <c r="M1927" s="10">
        <v>1550.85</v>
      </c>
      <c r="N1927" s="8">
        <v>1</v>
      </c>
      <c r="O1927" s="6">
        <v>2.9</v>
      </c>
    </row>
    <row r="1928" spans="1:15" x14ac:dyDescent="0.25">
      <c r="A1928" s="8">
        <v>37707</v>
      </c>
      <c r="B1928" s="9" t="s">
        <v>5</v>
      </c>
      <c r="C1928" s="9" t="s">
        <v>36</v>
      </c>
      <c r="D1928" s="9" t="s">
        <v>16</v>
      </c>
      <c r="E1928" s="9" t="s">
        <v>17</v>
      </c>
      <c r="F1928" s="9" t="str">
        <f t="shared" si="30"/>
        <v>Not Delivered</v>
      </c>
      <c r="G1928" s="9" t="b">
        <v>1</v>
      </c>
      <c r="H1928" s="9" t="s">
        <v>28</v>
      </c>
      <c r="I1928" s="8">
        <v>7671</v>
      </c>
      <c r="J1928" s="10">
        <v>2243.9299999999998</v>
      </c>
      <c r="K1928" s="10">
        <v>0</v>
      </c>
      <c r="L1928" s="10">
        <v>150.33000000000001</v>
      </c>
      <c r="M1928" s="10">
        <v>2394.2600000000002</v>
      </c>
      <c r="N1928" s="8">
        <v>6</v>
      </c>
      <c r="O1928" s="6">
        <v>3.7</v>
      </c>
    </row>
    <row r="1929" spans="1:15" x14ac:dyDescent="0.25">
      <c r="A1929" s="8">
        <v>73499</v>
      </c>
      <c r="B1929" s="9" t="s">
        <v>41</v>
      </c>
      <c r="C1929" s="9" t="s">
        <v>46</v>
      </c>
      <c r="D1929" s="9" t="s">
        <v>30</v>
      </c>
      <c r="E1929" s="9" t="s">
        <v>13</v>
      </c>
      <c r="F1929" s="9" t="str">
        <f t="shared" si="30"/>
        <v>Delivered</v>
      </c>
      <c r="G1929" s="9" t="b">
        <v>0</v>
      </c>
      <c r="H1929" s="9" t="s">
        <v>4</v>
      </c>
      <c r="I1929" s="8">
        <v>9462</v>
      </c>
      <c r="J1929" s="10">
        <v>1031.1300000000001</v>
      </c>
      <c r="K1929" s="10">
        <v>89.44</v>
      </c>
      <c r="L1929" s="10">
        <v>0</v>
      </c>
      <c r="M1929" s="10">
        <v>1120.57</v>
      </c>
      <c r="N1929" s="8">
        <v>3</v>
      </c>
      <c r="O1929" s="6">
        <v>1.7</v>
      </c>
    </row>
    <row r="1930" spans="1:15" x14ac:dyDescent="0.25">
      <c r="A1930" s="8">
        <v>59009</v>
      </c>
      <c r="B1930" s="9" t="s">
        <v>39</v>
      </c>
      <c r="C1930" s="9" t="s">
        <v>58</v>
      </c>
      <c r="D1930" s="9" t="s">
        <v>7</v>
      </c>
      <c r="E1930" s="9" t="s">
        <v>3</v>
      </c>
      <c r="F1930" s="9" t="str">
        <f t="shared" si="30"/>
        <v>Not Delivered</v>
      </c>
      <c r="G1930" s="9" t="b">
        <v>0</v>
      </c>
      <c r="H1930" s="9" t="s">
        <v>4</v>
      </c>
      <c r="I1930" s="8">
        <v>1920</v>
      </c>
      <c r="J1930" s="10">
        <v>688.63</v>
      </c>
      <c r="K1930" s="10">
        <v>0</v>
      </c>
      <c r="L1930" s="10">
        <v>0</v>
      </c>
      <c r="M1930" s="10">
        <v>688.63</v>
      </c>
      <c r="N1930" s="8">
        <v>11</v>
      </c>
      <c r="O1930" s="6">
        <v>3.7</v>
      </c>
    </row>
    <row r="1931" spans="1:15" x14ac:dyDescent="0.25">
      <c r="A1931" s="8">
        <v>77537</v>
      </c>
      <c r="B1931" s="9" t="s">
        <v>0</v>
      </c>
      <c r="C1931" s="9" t="s">
        <v>53</v>
      </c>
      <c r="D1931" s="9" t="s">
        <v>2</v>
      </c>
      <c r="E1931" s="9" t="s">
        <v>32</v>
      </c>
      <c r="F1931" s="9" t="str">
        <f t="shared" si="30"/>
        <v>Not Delivered</v>
      </c>
      <c r="G1931" s="9" t="b">
        <v>0</v>
      </c>
      <c r="H1931" s="9" t="s">
        <v>28</v>
      </c>
      <c r="I1931" s="8">
        <v>3604</v>
      </c>
      <c r="J1931" s="10">
        <v>1706.08</v>
      </c>
      <c r="K1931" s="10">
        <v>0</v>
      </c>
      <c r="L1931" s="10">
        <v>0</v>
      </c>
      <c r="M1931" s="10">
        <v>1706.08</v>
      </c>
      <c r="N1931" s="8">
        <v>8</v>
      </c>
      <c r="O1931" s="6">
        <v>1.6</v>
      </c>
    </row>
    <row r="1932" spans="1:15" x14ac:dyDescent="0.25">
      <c r="A1932" s="8">
        <v>18600</v>
      </c>
      <c r="B1932" s="9" t="s">
        <v>41</v>
      </c>
      <c r="C1932" s="9" t="s">
        <v>42</v>
      </c>
      <c r="D1932" s="9" t="s">
        <v>30</v>
      </c>
      <c r="E1932" s="9" t="s">
        <v>21</v>
      </c>
      <c r="F1932" s="9" t="str">
        <f t="shared" si="30"/>
        <v>Not Delivered</v>
      </c>
      <c r="G1932" s="9" t="b">
        <v>0</v>
      </c>
      <c r="H1932" s="9" t="s">
        <v>9</v>
      </c>
      <c r="I1932" s="8">
        <v>6097</v>
      </c>
      <c r="J1932" s="10">
        <v>1888.48</v>
      </c>
      <c r="L1932" s="10">
        <v>0</v>
      </c>
      <c r="M1932" s="10">
        <v>1999.22</v>
      </c>
      <c r="N1932" s="8">
        <v>11</v>
      </c>
      <c r="O1932" s="6">
        <v>4.2</v>
      </c>
    </row>
    <row r="1933" spans="1:15" x14ac:dyDescent="0.25">
      <c r="A1933" s="8">
        <v>76426</v>
      </c>
      <c r="B1933" s="9" t="s">
        <v>41</v>
      </c>
      <c r="C1933" s="9" t="s">
        <v>46</v>
      </c>
      <c r="D1933" s="9" t="s">
        <v>30</v>
      </c>
      <c r="E1933" s="9" t="s">
        <v>21</v>
      </c>
      <c r="F1933" s="9" t="str">
        <f t="shared" si="30"/>
        <v>Not Delivered</v>
      </c>
      <c r="G1933" s="9" t="b">
        <v>1</v>
      </c>
      <c r="H1933" s="9" t="s">
        <v>14</v>
      </c>
      <c r="I1933" s="8">
        <v>7609</v>
      </c>
      <c r="J1933" s="10">
        <v>688</v>
      </c>
      <c r="L1933" s="10">
        <v>100.6</v>
      </c>
      <c r="M1933" s="10">
        <v>916.62</v>
      </c>
      <c r="N1933" s="8">
        <v>13</v>
      </c>
    </row>
    <row r="1934" spans="1:15" x14ac:dyDescent="0.25">
      <c r="A1934" s="8">
        <v>27779</v>
      </c>
      <c r="B1934" s="9" t="s">
        <v>23</v>
      </c>
      <c r="C1934" s="9" t="s">
        <v>54</v>
      </c>
      <c r="D1934" s="9" t="s">
        <v>50</v>
      </c>
      <c r="E1934" s="9" t="s">
        <v>17</v>
      </c>
      <c r="F1934" s="9" t="str">
        <f t="shared" si="30"/>
        <v>Not Delivered</v>
      </c>
      <c r="G1934" s="9" t="b">
        <v>0</v>
      </c>
      <c r="H1934" s="9" t="s">
        <v>33</v>
      </c>
      <c r="I1934" s="8">
        <v>9589</v>
      </c>
      <c r="J1934" s="10">
        <v>720.04</v>
      </c>
      <c r="K1934" s="10">
        <v>58.38</v>
      </c>
      <c r="L1934" s="10">
        <v>0</v>
      </c>
      <c r="M1934" s="10">
        <v>778.42</v>
      </c>
      <c r="N1934" s="8">
        <v>10</v>
      </c>
      <c r="O1934" s="6">
        <v>2.7</v>
      </c>
    </row>
    <row r="1935" spans="1:15" x14ac:dyDescent="0.25">
      <c r="A1935" s="8">
        <v>84537</v>
      </c>
      <c r="B1935" s="9" t="s">
        <v>23</v>
      </c>
      <c r="C1935" s="9" t="s">
        <v>48</v>
      </c>
      <c r="D1935" s="9" t="s">
        <v>38</v>
      </c>
      <c r="E1935" s="9" t="s">
        <v>13</v>
      </c>
      <c r="F1935" s="9" t="str">
        <f t="shared" si="30"/>
        <v>Delivered</v>
      </c>
      <c r="G1935" s="9" t="b">
        <v>0</v>
      </c>
      <c r="H1935" s="9" t="s">
        <v>33</v>
      </c>
      <c r="I1935" s="8">
        <v>1474</v>
      </c>
      <c r="J1935" s="10">
        <v>2020.28</v>
      </c>
      <c r="K1935" s="10">
        <v>95.02</v>
      </c>
      <c r="L1935" s="10">
        <v>0</v>
      </c>
      <c r="M1935" s="10">
        <v>2115.3000000000002</v>
      </c>
      <c r="N1935" s="8">
        <v>9</v>
      </c>
      <c r="O1935" s="6">
        <v>2.9</v>
      </c>
    </row>
    <row r="1936" spans="1:15" x14ac:dyDescent="0.25">
      <c r="A1936" s="8">
        <v>32772</v>
      </c>
      <c r="B1936" s="9" t="s">
        <v>10</v>
      </c>
      <c r="C1936" s="9" t="s">
        <v>29</v>
      </c>
      <c r="D1936" s="9" t="s">
        <v>45</v>
      </c>
      <c r="E1936" s="9" t="s">
        <v>32</v>
      </c>
      <c r="F1936" s="9" t="str">
        <f t="shared" si="30"/>
        <v>Not Delivered</v>
      </c>
      <c r="G1936" s="9" t="b">
        <v>1</v>
      </c>
      <c r="H1936" s="9" t="s">
        <v>14</v>
      </c>
      <c r="I1936" s="8">
        <v>4158</v>
      </c>
      <c r="J1936" s="10">
        <v>929.03</v>
      </c>
      <c r="K1936" s="10">
        <v>0</v>
      </c>
      <c r="L1936" s="10">
        <v>91.56</v>
      </c>
      <c r="M1936" s="10">
        <v>1020.59</v>
      </c>
      <c r="N1936" s="8">
        <v>9</v>
      </c>
      <c r="O1936" s="6">
        <v>4.4000000000000004</v>
      </c>
    </row>
    <row r="1937" spans="1:15" x14ac:dyDescent="0.25">
      <c r="A1937" s="8">
        <v>36309</v>
      </c>
      <c r="B1937" s="9" t="s">
        <v>39</v>
      </c>
      <c r="C1937" s="9" t="s">
        <v>40</v>
      </c>
      <c r="D1937" s="9" t="s">
        <v>12</v>
      </c>
      <c r="E1937" s="9" t="s">
        <v>17</v>
      </c>
      <c r="F1937" s="9" t="str">
        <f t="shared" si="30"/>
        <v>Not Delivered</v>
      </c>
      <c r="G1937" s="9" t="b">
        <v>1</v>
      </c>
      <c r="H1937" s="9" t="s">
        <v>14</v>
      </c>
      <c r="I1937" s="8">
        <v>1944</v>
      </c>
      <c r="J1937" s="10">
        <v>726.73</v>
      </c>
      <c r="K1937" s="10">
        <v>0</v>
      </c>
      <c r="L1937" s="10">
        <v>58.77</v>
      </c>
      <c r="M1937" s="10">
        <v>785.5</v>
      </c>
      <c r="N1937" s="8">
        <v>11</v>
      </c>
    </row>
    <row r="1938" spans="1:15" x14ac:dyDescent="0.25">
      <c r="A1938" s="8">
        <v>42701</v>
      </c>
      <c r="B1938" s="9" t="s">
        <v>5</v>
      </c>
      <c r="C1938" s="9" t="s">
        <v>44</v>
      </c>
      <c r="D1938" s="9" t="s">
        <v>50</v>
      </c>
      <c r="E1938" s="9" t="s">
        <v>32</v>
      </c>
      <c r="F1938" s="9" t="str">
        <f t="shared" si="30"/>
        <v>Not Delivered</v>
      </c>
      <c r="G1938" s="9" t="b">
        <v>1</v>
      </c>
      <c r="H1938" s="9" t="s">
        <v>18</v>
      </c>
      <c r="I1938" s="8">
        <v>1541</v>
      </c>
      <c r="J1938" s="10">
        <v>2109.3000000000002</v>
      </c>
      <c r="M1938" s="10">
        <v>2374.3000000000002</v>
      </c>
      <c r="N1938" s="8">
        <v>3</v>
      </c>
    </row>
    <row r="1939" spans="1:15" x14ac:dyDescent="0.25">
      <c r="A1939" s="8">
        <v>69827</v>
      </c>
      <c r="B1939" s="9" t="s">
        <v>41</v>
      </c>
      <c r="C1939" s="9" t="s">
        <v>61</v>
      </c>
      <c r="D1939" s="9" t="s">
        <v>7</v>
      </c>
      <c r="E1939" s="9" t="s">
        <v>17</v>
      </c>
      <c r="F1939" s="9" t="str">
        <f t="shared" si="30"/>
        <v>Not Delivered</v>
      </c>
      <c r="G1939" s="9" t="b">
        <v>0</v>
      </c>
      <c r="H1939" s="9" t="s">
        <v>14</v>
      </c>
      <c r="I1939" s="8">
        <v>1828</v>
      </c>
      <c r="J1939" s="10">
        <v>550.84</v>
      </c>
      <c r="K1939" s="10">
        <v>0</v>
      </c>
      <c r="L1939" s="10">
        <v>0</v>
      </c>
      <c r="M1939" s="10">
        <v>550.84</v>
      </c>
      <c r="N1939" s="8">
        <v>10</v>
      </c>
      <c r="O1939" s="6">
        <v>1.1000000000000001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7A5B9-A7C9-4731-BCBC-6FB2CC652700}">
  <dimension ref="A1:L15"/>
  <sheetViews>
    <sheetView workbookViewId="0">
      <selection activeCell="G28" sqref="G28"/>
    </sheetView>
  </sheetViews>
  <sheetFormatPr defaultRowHeight="15" x14ac:dyDescent="0.25"/>
  <cols>
    <col min="1" max="1" width="14.7109375" customWidth="1"/>
    <col min="2" max="2" width="11.5703125" style="6" bestFit="1" customWidth="1"/>
    <col min="3" max="3" width="14.85546875" customWidth="1"/>
    <col min="4" max="4" width="10.5703125" style="6" bestFit="1" customWidth="1"/>
    <col min="5" max="5" width="14.5703125" customWidth="1"/>
    <col min="6" max="6" width="23.7109375" style="6" customWidth="1"/>
    <col min="7" max="7" width="26.5703125" customWidth="1"/>
    <col min="8" max="8" width="21.42578125" style="6" customWidth="1"/>
    <col min="9" max="9" width="14.5703125" customWidth="1"/>
    <col min="10" max="10" width="13.7109375" style="6" customWidth="1"/>
    <col min="11" max="11" width="18.140625" bestFit="1" customWidth="1"/>
    <col min="12" max="12" width="20.5703125" style="6" customWidth="1"/>
  </cols>
  <sheetData>
    <row r="1" spans="1:12" x14ac:dyDescent="0.25">
      <c r="A1" s="1" t="s">
        <v>70</v>
      </c>
      <c r="B1" s="5"/>
      <c r="C1" s="1" t="s">
        <v>71</v>
      </c>
      <c r="D1" s="5"/>
      <c r="E1" s="1" t="s">
        <v>72</v>
      </c>
      <c r="F1" s="5"/>
      <c r="G1" s="1" t="s">
        <v>73</v>
      </c>
      <c r="H1" s="5"/>
      <c r="I1" s="1" t="s">
        <v>74</v>
      </c>
      <c r="J1" s="5"/>
      <c r="K1" s="1" t="s">
        <v>75</v>
      </c>
      <c r="L1" s="5"/>
    </row>
    <row r="3" spans="1:12" x14ac:dyDescent="0.25">
      <c r="A3" s="2" t="s">
        <v>76</v>
      </c>
      <c r="B3" s="4">
        <v>1155.9300257997941</v>
      </c>
      <c r="C3" s="2" t="s">
        <v>76</v>
      </c>
      <c r="D3" s="4">
        <v>69.622250000000037</v>
      </c>
      <c r="E3" s="2" t="s">
        <v>76</v>
      </c>
      <c r="F3" s="4">
        <v>62.698136842105299</v>
      </c>
      <c r="G3" s="2" t="s">
        <v>76</v>
      </c>
      <c r="H3" s="4">
        <v>1288.3900103199144</v>
      </c>
      <c r="I3" s="2" t="s">
        <v>76</v>
      </c>
      <c r="J3" s="4">
        <v>7.5283797729618165</v>
      </c>
      <c r="K3" s="2" t="s">
        <v>76</v>
      </c>
      <c r="L3" s="4">
        <v>3.0590470446320834</v>
      </c>
    </row>
    <row r="4" spans="1:12" x14ac:dyDescent="0.25">
      <c r="A4" s="2" t="s">
        <v>77</v>
      </c>
      <c r="B4" s="4">
        <v>14.957978224848178</v>
      </c>
      <c r="C4" s="2" t="s">
        <v>77</v>
      </c>
      <c r="D4" s="4">
        <v>1.0967743605382951</v>
      </c>
      <c r="E4" s="2" t="s">
        <v>77</v>
      </c>
      <c r="F4" s="4">
        <v>1.89388656027966</v>
      </c>
      <c r="G4" s="2" t="s">
        <v>77</v>
      </c>
      <c r="H4" s="4">
        <v>15.201891908202439</v>
      </c>
      <c r="I4" s="2" t="s">
        <v>77</v>
      </c>
      <c r="J4" s="4">
        <v>9.0566955918927855E-2</v>
      </c>
      <c r="K4" s="2" t="s">
        <v>77</v>
      </c>
      <c r="L4" s="4">
        <v>2.8293693035787371E-2</v>
      </c>
    </row>
    <row r="5" spans="1:12" x14ac:dyDescent="0.25">
      <c r="A5" s="2" t="s">
        <v>78</v>
      </c>
      <c r="B5" s="4">
        <v>1076.23</v>
      </c>
      <c r="C5" s="2" t="s">
        <v>78</v>
      </c>
      <c r="D5" s="4">
        <v>74.055000000000007</v>
      </c>
      <c r="E5" s="2" t="s">
        <v>78</v>
      </c>
      <c r="F5" s="4">
        <v>26.285</v>
      </c>
      <c r="G5" s="2" t="s">
        <v>78</v>
      </c>
      <c r="H5" s="4">
        <v>1224.1750000000002</v>
      </c>
      <c r="I5" s="2" t="s">
        <v>78</v>
      </c>
      <c r="J5" s="4">
        <v>8</v>
      </c>
      <c r="K5" s="2" t="s">
        <v>78</v>
      </c>
      <c r="L5" s="4">
        <v>3.1</v>
      </c>
    </row>
    <row r="6" spans="1:12" x14ac:dyDescent="0.25">
      <c r="A6" s="2" t="s">
        <v>79</v>
      </c>
      <c r="B6" s="4">
        <v>592.85</v>
      </c>
      <c r="C6" s="2" t="s">
        <v>79</v>
      </c>
      <c r="D6" s="4">
        <v>0</v>
      </c>
      <c r="E6" s="2" t="s">
        <v>79</v>
      </c>
      <c r="F6" s="4">
        <v>0</v>
      </c>
      <c r="G6" s="2" t="s">
        <v>79</v>
      </c>
      <c r="H6" s="4">
        <v>1759.86</v>
      </c>
      <c r="I6" s="2" t="s">
        <v>79</v>
      </c>
      <c r="J6" s="4">
        <v>11</v>
      </c>
      <c r="K6" s="2" t="s">
        <v>79</v>
      </c>
      <c r="L6" s="4">
        <v>3.7</v>
      </c>
    </row>
    <row r="7" spans="1:12" x14ac:dyDescent="0.25">
      <c r="A7" s="2" t="s">
        <v>80</v>
      </c>
      <c r="B7" s="4">
        <v>658.49090819115531</v>
      </c>
      <c r="C7" s="2" t="s">
        <v>80</v>
      </c>
      <c r="D7" s="4">
        <v>47.555003060837564</v>
      </c>
      <c r="E7" s="2" t="s">
        <v>80</v>
      </c>
      <c r="F7" s="4">
        <v>82.552601267888747</v>
      </c>
      <c r="G7" s="2" t="s">
        <v>80</v>
      </c>
      <c r="H7" s="4">
        <v>669.22865232059814</v>
      </c>
      <c r="I7" s="2" t="s">
        <v>80</v>
      </c>
      <c r="J7" s="4">
        <v>3.9870038690184315</v>
      </c>
      <c r="K7" s="2" t="s">
        <v>80</v>
      </c>
      <c r="L7" s="4">
        <v>1.1520780454337178</v>
      </c>
    </row>
    <row r="8" spans="1:12" x14ac:dyDescent="0.25">
      <c r="A8" s="2" t="s">
        <v>81</v>
      </c>
      <c r="B8" s="4">
        <v>433610.27617041254</v>
      </c>
      <c r="C8" s="2" t="s">
        <v>81</v>
      </c>
      <c r="D8" s="4">
        <v>2261.47831611627</v>
      </c>
      <c r="E8" s="2" t="s">
        <v>81</v>
      </c>
      <c r="F8" s="4">
        <v>6814.9319760950275</v>
      </c>
      <c r="G8" s="2" t="s">
        <v>81</v>
      </c>
      <c r="H8" s="4">
        <v>447866.98908684409</v>
      </c>
      <c r="I8" s="2" t="s">
        <v>81</v>
      </c>
      <c r="J8" s="4">
        <v>15.896199851567943</v>
      </c>
      <c r="K8" s="2" t="s">
        <v>81</v>
      </c>
      <c r="L8" s="4">
        <v>1.3272838227703758</v>
      </c>
    </row>
    <row r="9" spans="1:12" x14ac:dyDescent="0.25">
      <c r="A9" s="2" t="s">
        <v>82</v>
      </c>
      <c r="B9" s="4">
        <v>-0.67088463293976952</v>
      </c>
      <c r="C9" s="2" t="s">
        <v>82</v>
      </c>
      <c r="D9" s="4">
        <v>-1.1197343527910937</v>
      </c>
      <c r="E9" s="2" t="s">
        <v>82</v>
      </c>
      <c r="F9" s="4">
        <v>9.5709812677773787E-2</v>
      </c>
      <c r="G9" s="2" t="s">
        <v>82</v>
      </c>
      <c r="H9" s="4">
        <v>-0.63810467353746292</v>
      </c>
      <c r="I9" s="2" t="s">
        <v>82</v>
      </c>
      <c r="J9" s="4">
        <v>-1.221663292154606</v>
      </c>
      <c r="K9" s="2" t="s">
        <v>82</v>
      </c>
      <c r="L9" s="4">
        <v>-1.1558728880341651</v>
      </c>
    </row>
    <row r="10" spans="1:12" x14ac:dyDescent="0.25">
      <c r="A10" s="2" t="s">
        <v>83</v>
      </c>
      <c r="B10" s="4">
        <v>0.41619926245701017</v>
      </c>
      <c r="C10" s="2" t="s">
        <v>83</v>
      </c>
      <c r="D10" s="4">
        <v>-0.17584967780128252</v>
      </c>
      <c r="E10" s="2" t="s">
        <v>83</v>
      </c>
      <c r="F10" s="4">
        <v>1.1535464233154367</v>
      </c>
      <c r="G10" s="2" t="s">
        <v>83</v>
      </c>
      <c r="H10" s="4">
        <v>0.40827268027023922</v>
      </c>
      <c r="I10" s="2" t="s">
        <v>83</v>
      </c>
      <c r="J10" s="4">
        <v>-1.8902457340142541E-3</v>
      </c>
      <c r="K10" s="2" t="s">
        <v>83</v>
      </c>
      <c r="L10" s="4">
        <v>-7.4812903458838731E-2</v>
      </c>
    </row>
    <row r="11" spans="1:12" x14ac:dyDescent="0.25">
      <c r="A11" s="2" t="s">
        <v>84</v>
      </c>
      <c r="B11" s="4">
        <v>2898.13</v>
      </c>
      <c r="C11" s="2" t="s">
        <v>84</v>
      </c>
      <c r="D11" s="4">
        <v>150</v>
      </c>
      <c r="E11" s="2" t="s">
        <v>84</v>
      </c>
      <c r="F11" s="4">
        <v>299.35000000000002</v>
      </c>
      <c r="G11" s="2" t="s">
        <v>84</v>
      </c>
      <c r="H11" s="4">
        <v>2946.36</v>
      </c>
      <c r="I11" s="2" t="s">
        <v>84</v>
      </c>
      <c r="J11" s="4">
        <v>13</v>
      </c>
      <c r="K11" s="2" t="s">
        <v>84</v>
      </c>
      <c r="L11" s="4">
        <v>4</v>
      </c>
    </row>
    <row r="12" spans="1:12" x14ac:dyDescent="0.25">
      <c r="A12" s="2" t="s">
        <v>85</v>
      </c>
      <c r="B12" s="4">
        <v>81.430000000000007</v>
      </c>
      <c r="C12" s="2" t="s">
        <v>85</v>
      </c>
      <c r="D12" s="4">
        <v>0</v>
      </c>
      <c r="E12" s="2" t="s">
        <v>85</v>
      </c>
      <c r="F12" s="4">
        <v>0</v>
      </c>
      <c r="G12" s="2" t="s">
        <v>85</v>
      </c>
      <c r="H12" s="4">
        <v>146.93</v>
      </c>
      <c r="I12" s="2" t="s">
        <v>85</v>
      </c>
      <c r="J12" s="4">
        <v>1</v>
      </c>
      <c r="K12" s="2" t="s">
        <v>85</v>
      </c>
      <c r="L12" s="4">
        <v>1</v>
      </c>
    </row>
    <row r="13" spans="1:12" x14ac:dyDescent="0.25">
      <c r="A13" s="2" t="s">
        <v>86</v>
      </c>
      <c r="B13" s="4">
        <v>2979.56</v>
      </c>
      <c r="C13" s="2" t="s">
        <v>86</v>
      </c>
      <c r="D13" s="4">
        <v>150</v>
      </c>
      <c r="E13" s="2" t="s">
        <v>86</v>
      </c>
      <c r="F13" s="4">
        <v>299.35000000000002</v>
      </c>
      <c r="G13" s="2" t="s">
        <v>86</v>
      </c>
      <c r="H13" s="4">
        <v>3093.29</v>
      </c>
      <c r="I13" s="2" t="s">
        <v>86</v>
      </c>
      <c r="J13" s="4">
        <v>14</v>
      </c>
      <c r="K13" s="2" t="s">
        <v>86</v>
      </c>
      <c r="L13" s="4">
        <v>5</v>
      </c>
    </row>
    <row r="14" spans="1:12" x14ac:dyDescent="0.25">
      <c r="A14" s="2" t="s">
        <v>87</v>
      </c>
      <c r="B14" s="4">
        <v>2240192.3900000011</v>
      </c>
      <c r="C14" s="2" t="s">
        <v>87</v>
      </c>
      <c r="D14" s="4">
        <v>130889.83000000006</v>
      </c>
      <c r="E14" s="2" t="s">
        <v>87</v>
      </c>
      <c r="F14" s="4">
        <v>119126.46000000006</v>
      </c>
      <c r="G14" s="2" t="s">
        <v>87</v>
      </c>
      <c r="H14" s="4">
        <v>2496899.8399999943</v>
      </c>
      <c r="I14" s="2" t="s">
        <v>87</v>
      </c>
      <c r="J14" s="4">
        <v>14590</v>
      </c>
      <c r="K14" s="2" t="s">
        <v>87</v>
      </c>
      <c r="L14" s="4">
        <v>5071.8999999999942</v>
      </c>
    </row>
    <row r="15" spans="1:12" ht="15.75" thickBot="1" x14ac:dyDescent="0.3">
      <c r="A15" s="3" t="s">
        <v>88</v>
      </c>
      <c r="B15" s="7">
        <v>1938</v>
      </c>
      <c r="C15" s="3" t="s">
        <v>88</v>
      </c>
      <c r="D15" s="7">
        <v>1880</v>
      </c>
      <c r="E15" s="3" t="s">
        <v>88</v>
      </c>
      <c r="F15" s="7">
        <v>1900</v>
      </c>
      <c r="G15" s="3" t="s">
        <v>88</v>
      </c>
      <c r="H15" s="7">
        <v>1938</v>
      </c>
      <c r="I15" s="3" t="s">
        <v>88</v>
      </c>
      <c r="J15" s="7">
        <v>1938</v>
      </c>
      <c r="K15" s="3" t="s">
        <v>88</v>
      </c>
      <c r="L15" s="7">
        <v>1658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A6A9-AC6F-43EA-847E-67DDF8FCCE6B}">
  <dimension ref="C3:N37"/>
  <sheetViews>
    <sheetView zoomScaleNormal="100" workbookViewId="0">
      <selection activeCell="G27" sqref="G27"/>
    </sheetView>
  </sheetViews>
  <sheetFormatPr defaultRowHeight="15" x14ac:dyDescent="0.25"/>
  <cols>
    <col min="1" max="1" width="16.5703125" bestFit="1" customWidth="1"/>
    <col min="2" max="2" width="15.85546875" bestFit="1" customWidth="1"/>
    <col min="3" max="3" width="20" bestFit="1" customWidth="1"/>
    <col min="4" max="4" width="16.5703125" bestFit="1" customWidth="1"/>
    <col min="5" max="5" width="13.5703125" bestFit="1" customWidth="1"/>
    <col min="6" max="6" width="14.5703125" customWidth="1"/>
    <col min="7" max="7" width="16.85546875" customWidth="1"/>
    <col min="8" max="8" width="14.42578125" bestFit="1" customWidth="1"/>
    <col min="9" max="9" width="16.5703125" bestFit="1" customWidth="1"/>
    <col min="10" max="10" width="13.28515625" bestFit="1" customWidth="1"/>
    <col min="11" max="11" width="16.5703125" bestFit="1" customWidth="1"/>
    <col min="15" max="15" width="16.5703125" bestFit="1" customWidth="1"/>
    <col min="16" max="16" width="16.28515625" bestFit="1" customWidth="1"/>
    <col min="17" max="17" width="7.140625" bestFit="1" customWidth="1"/>
    <col min="18" max="18" width="11.28515625" bestFit="1" customWidth="1"/>
  </cols>
  <sheetData>
    <row r="3" spans="3:11" x14ac:dyDescent="0.25">
      <c r="C3" s="11" t="s">
        <v>90</v>
      </c>
      <c r="D3" t="s">
        <v>92</v>
      </c>
      <c r="F3" s="11" t="s">
        <v>90</v>
      </c>
      <c r="G3" t="s">
        <v>92</v>
      </c>
      <c r="I3" s="11" t="s">
        <v>92</v>
      </c>
      <c r="J3" s="11" t="s">
        <v>95</v>
      </c>
    </row>
    <row r="4" spans="3:11" x14ac:dyDescent="0.25">
      <c r="C4" s="12" t="s">
        <v>13</v>
      </c>
      <c r="D4" s="13">
        <v>0.17801857585139319</v>
      </c>
      <c r="F4" s="12" t="s">
        <v>13</v>
      </c>
      <c r="G4">
        <v>345</v>
      </c>
      <c r="I4" s="11" t="s">
        <v>90</v>
      </c>
      <c r="J4" t="s">
        <v>94</v>
      </c>
      <c r="K4" t="s">
        <v>93</v>
      </c>
    </row>
    <row r="5" spans="3:11" x14ac:dyDescent="0.25">
      <c r="C5" s="12" t="s">
        <v>96</v>
      </c>
      <c r="D5" s="13">
        <v>0.82198142414860687</v>
      </c>
      <c r="F5" s="12" t="s">
        <v>3</v>
      </c>
      <c r="G5">
        <v>326</v>
      </c>
      <c r="I5" s="12" t="s">
        <v>13</v>
      </c>
      <c r="J5" s="13">
        <v>8.9267285861713105E-2</v>
      </c>
      <c r="K5" s="13">
        <v>8.8751289989680085E-2</v>
      </c>
    </row>
    <row r="6" spans="3:11" x14ac:dyDescent="0.25">
      <c r="C6" s="12" t="s">
        <v>91</v>
      </c>
      <c r="D6" s="13">
        <v>1</v>
      </c>
      <c r="F6" s="12" t="s">
        <v>8</v>
      </c>
      <c r="G6">
        <v>318</v>
      </c>
      <c r="I6" s="12" t="s">
        <v>8</v>
      </c>
      <c r="J6" s="13">
        <v>8.720330237358101E-2</v>
      </c>
      <c r="K6" s="13">
        <v>7.6883384932920532E-2</v>
      </c>
    </row>
    <row r="7" spans="3:11" x14ac:dyDescent="0.25">
      <c r="F7" s="12" t="s">
        <v>17</v>
      </c>
      <c r="G7">
        <v>318</v>
      </c>
      <c r="I7" s="12" t="s">
        <v>21</v>
      </c>
      <c r="J7" s="13">
        <v>8.4623323013415894E-2</v>
      </c>
      <c r="K7" s="13">
        <v>7.7915376676986586E-2</v>
      </c>
    </row>
    <row r="8" spans="3:11" x14ac:dyDescent="0.25">
      <c r="F8" s="12" t="s">
        <v>32</v>
      </c>
      <c r="G8">
        <v>316</v>
      </c>
      <c r="I8" s="12" t="s">
        <v>17</v>
      </c>
      <c r="J8" s="13">
        <v>8.4623323013415894E-2</v>
      </c>
      <c r="K8" s="13">
        <v>7.9463364293085662E-2</v>
      </c>
    </row>
    <row r="9" spans="3:11" x14ac:dyDescent="0.25">
      <c r="F9" s="12" t="s">
        <v>21</v>
      </c>
      <c r="G9">
        <v>315</v>
      </c>
      <c r="I9" s="12" t="s">
        <v>32</v>
      </c>
      <c r="J9" s="13">
        <v>8.2043343653250778E-2</v>
      </c>
      <c r="K9" s="13">
        <v>8.1011351909184723E-2</v>
      </c>
    </row>
    <row r="10" spans="3:11" x14ac:dyDescent="0.25">
      <c r="C10" s="11" t="s">
        <v>90</v>
      </c>
      <c r="D10" t="s">
        <v>92</v>
      </c>
      <c r="F10" s="12" t="s">
        <v>91</v>
      </c>
      <c r="G10">
        <v>1938</v>
      </c>
      <c r="I10" s="12" t="s">
        <v>3</v>
      </c>
      <c r="J10" s="13">
        <v>7.8431372549019607E-2</v>
      </c>
      <c r="K10" s="13">
        <v>8.9783281733746126E-2</v>
      </c>
    </row>
    <row r="11" spans="3:11" x14ac:dyDescent="0.25">
      <c r="C11" s="12" t="s">
        <v>33</v>
      </c>
      <c r="D11">
        <v>240</v>
      </c>
      <c r="I11" s="12" t="s">
        <v>91</v>
      </c>
      <c r="J11" s="13">
        <v>0.50619195046439625</v>
      </c>
      <c r="K11" s="13">
        <v>0.4938080495356037</v>
      </c>
    </row>
    <row r="12" spans="3:11" x14ac:dyDescent="0.25">
      <c r="C12" s="12" t="s">
        <v>22</v>
      </c>
      <c r="D12">
        <v>257</v>
      </c>
    </row>
    <row r="13" spans="3:11" x14ac:dyDescent="0.25">
      <c r="C13" s="12" t="s">
        <v>18</v>
      </c>
      <c r="D13">
        <v>272</v>
      </c>
    </row>
    <row r="14" spans="3:11" x14ac:dyDescent="0.25">
      <c r="C14" s="12" t="s">
        <v>14</v>
      </c>
      <c r="D14">
        <v>287</v>
      </c>
      <c r="F14" s="11" t="s">
        <v>90</v>
      </c>
      <c r="G14" t="s">
        <v>92</v>
      </c>
    </row>
    <row r="15" spans="3:11" x14ac:dyDescent="0.25">
      <c r="C15" s="12" t="s">
        <v>28</v>
      </c>
      <c r="D15">
        <v>287</v>
      </c>
      <c r="F15" s="12" t="s">
        <v>38</v>
      </c>
      <c r="G15">
        <v>168</v>
      </c>
    </row>
    <row r="16" spans="3:11" x14ac:dyDescent="0.25">
      <c r="C16" s="12" t="s">
        <v>9</v>
      </c>
      <c r="D16">
        <v>293</v>
      </c>
      <c r="F16" s="12" t="s">
        <v>16</v>
      </c>
      <c r="G16">
        <v>165</v>
      </c>
    </row>
    <row r="17" spans="3:7" x14ac:dyDescent="0.25">
      <c r="C17" s="12" t="s">
        <v>4</v>
      </c>
      <c r="D17">
        <v>302</v>
      </c>
      <c r="F17" s="12" t="s">
        <v>2</v>
      </c>
      <c r="G17">
        <v>160</v>
      </c>
    </row>
    <row r="18" spans="3:7" x14ac:dyDescent="0.25">
      <c r="C18" s="12" t="s">
        <v>91</v>
      </c>
      <c r="D18">
        <v>1938</v>
      </c>
      <c r="F18" s="12" t="s">
        <v>19</v>
      </c>
      <c r="G18">
        <v>154</v>
      </c>
    </row>
    <row r="19" spans="3:7" x14ac:dyDescent="0.25">
      <c r="F19" s="12" t="s">
        <v>25</v>
      </c>
      <c r="G19">
        <v>154</v>
      </c>
    </row>
    <row r="30" spans="3:7" x14ac:dyDescent="0.25">
      <c r="C30" t="s">
        <v>97</v>
      </c>
    </row>
    <row r="37" spans="14:14" x14ac:dyDescent="0.25">
      <c r="N37" t="s">
        <v>98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Project_Online_Furniture_Retail</vt:lpstr>
      <vt:lpstr>Descriptive Stats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eric rullepa</cp:lastModifiedBy>
  <dcterms:created xsi:type="dcterms:W3CDTF">2026-02-02T13:03:02Z</dcterms:created>
  <dcterms:modified xsi:type="dcterms:W3CDTF">2026-02-06T10:53:00Z</dcterms:modified>
</cp:coreProperties>
</file>